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13\d\BU10\1.Work Schedule\2026\"/>
    </mc:Choice>
  </mc:AlternateContent>
  <xr:revisionPtr revIDLastSave="0" documentId="13_ncr:1_{1F943332-44B2-4E47-B80C-D0EF12531547}" xr6:coauthVersionLast="47" xr6:coauthVersionMax="47" xr10:uidLastSave="{00000000-0000-0000-0000-000000000000}"/>
  <bookViews>
    <workbookView xWindow="-24120" yWindow="-2190" windowWidth="24240" windowHeight="13140" tabRatio="631" activeTab="1" xr2:uid="{00000000-000D-0000-FFFF-FFFF00000000}"/>
  </bookViews>
  <sheets>
    <sheet name="Template" sheetId="74" r:id="rId1"/>
    <sheet name="ต.ค.69" sheetId="76" r:id="rId2"/>
    <sheet name="DECEMBER" sheetId="32" state="hidden" r:id="rId3"/>
    <sheet name="Sheet2" sheetId="29" r:id="rId4"/>
  </sheets>
  <definedNames>
    <definedName name="_xlnm._FilterDatabase" localSheetId="2" hidden="1">DECEMBER!$A$2:$S$632</definedName>
    <definedName name="_xlnm._FilterDatabase" localSheetId="0" hidden="1">Template!$A$3:$AH$612</definedName>
    <definedName name="_xlnm._FilterDatabase" localSheetId="1" hidden="1">'ต.ค.69'!$A$3:$K$612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4" i="76" l="1"/>
  <c r="E606" i="76" s="1"/>
  <c r="D616" i="76"/>
  <c r="F616" i="76"/>
  <c r="E610" i="76"/>
  <c r="F604" i="76"/>
  <c r="E607" i="76" s="1"/>
  <c r="E608" i="76" l="1"/>
  <c r="E609" i="76" s="1"/>
  <c r="E611" i="76" s="1"/>
  <c r="F611" i="76" s="1"/>
  <c r="E612" i="76"/>
  <c r="F612" i="76" s="1"/>
  <c r="J7" i="74" l="1"/>
  <c r="AG604" i="74" l="1"/>
  <c r="M8" i="74" l="1"/>
  <c r="M9" i="74"/>
  <c r="M10" i="74"/>
  <c r="M11" i="74"/>
  <c r="M12" i="74"/>
  <c r="M43" i="74"/>
  <c r="M68" i="74"/>
  <c r="M88" i="74"/>
  <c r="M93" i="74"/>
  <c r="M94" i="74"/>
  <c r="E616" i="74"/>
  <c r="C616" i="74"/>
  <c r="AF604" i="74"/>
  <c r="AE604" i="74"/>
  <c r="D610" i="74" s="1"/>
  <c r="E604" i="74"/>
  <c r="D607" i="74" s="1"/>
  <c r="C604" i="74"/>
  <c r="D606" i="74" s="1"/>
  <c r="AD603" i="74"/>
  <c r="U603" i="74"/>
  <c r="S603" i="74"/>
  <c r="P603" i="74"/>
  <c r="M603" i="74"/>
  <c r="J603" i="74"/>
  <c r="G603" i="74"/>
  <c r="H603" i="74" s="1"/>
  <c r="AD602" i="74"/>
  <c r="U602" i="74"/>
  <c r="S602" i="74"/>
  <c r="P602" i="74"/>
  <c r="M602" i="74"/>
  <c r="J602" i="74"/>
  <c r="G602" i="74"/>
  <c r="H602" i="74" s="1"/>
  <c r="AD601" i="74"/>
  <c r="U601" i="74"/>
  <c r="S601" i="74"/>
  <c r="P601" i="74"/>
  <c r="M601" i="74"/>
  <c r="J601" i="74"/>
  <c r="G601" i="74"/>
  <c r="H601" i="74" s="1"/>
  <c r="AD600" i="74"/>
  <c r="U600" i="74"/>
  <c r="S600" i="74"/>
  <c r="P600" i="74"/>
  <c r="M600" i="74"/>
  <c r="J600" i="74"/>
  <c r="G600" i="74"/>
  <c r="H600" i="74" s="1"/>
  <c r="AD599" i="74"/>
  <c r="U599" i="74"/>
  <c r="S599" i="74"/>
  <c r="P599" i="74"/>
  <c r="M599" i="74"/>
  <c r="J599" i="74"/>
  <c r="G599" i="74"/>
  <c r="H599" i="74" s="1"/>
  <c r="AD598" i="74"/>
  <c r="U598" i="74"/>
  <c r="S598" i="74"/>
  <c r="P598" i="74"/>
  <c r="M598" i="74"/>
  <c r="J598" i="74"/>
  <c r="G598" i="74"/>
  <c r="H598" i="74" s="1"/>
  <c r="AD597" i="74"/>
  <c r="U597" i="74"/>
  <c r="S597" i="74"/>
  <c r="P597" i="74"/>
  <c r="M597" i="74"/>
  <c r="J597" i="74"/>
  <c r="G597" i="74"/>
  <c r="H597" i="74" s="1"/>
  <c r="AD596" i="74"/>
  <c r="U596" i="74"/>
  <c r="S596" i="74"/>
  <c r="P596" i="74"/>
  <c r="M596" i="74"/>
  <c r="J596" i="74"/>
  <c r="G596" i="74"/>
  <c r="H596" i="74" s="1"/>
  <c r="AD595" i="74"/>
  <c r="U595" i="74"/>
  <c r="S595" i="74"/>
  <c r="P595" i="74"/>
  <c r="M595" i="74"/>
  <c r="J595" i="74"/>
  <c r="G595" i="74"/>
  <c r="H595" i="74" s="1"/>
  <c r="AD594" i="74"/>
  <c r="U594" i="74"/>
  <c r="S594" i="74"/>
  <c r="P594" i="74"/>
  <c r="M594" i="74"/>
  <c r="J594" i="74"/>
  <c r="G594" i="74"/>
  <c r="H594" i="74" s="1"/>
  <c r="AD593" i="74"/>
  <c r="U593" i="74"/>
  <c r="S593" i="74"/>
  <c r="P593" i="74"/>
  <c r="M593" i="74"/>
  <c r="J593" i="74"/>
  <c r="G593" i="74"/>
  <c r="H593" i="74" s="1"/>
  <c r="AD592" i="74"/>
  <c r="U592" i="74"/>
  <c r="S592" i="74"/>
  <c r="P592" i="74"/>
  <c r="M592" i="74"/>
  <c r="J592" i="74"/>
  <c r="G592" i="74"/>
  <c r="H592" i="74" s="1"/>
  <c r="AD591" i="74"/>
  <c r="U591" i="74"/>
  <c r="S591" i="74"/>
  <c r="P591" i="74"/>
  <c r="M591" i="74"/>
  <c r="J591" i="74"/>
  <c r="G591" i="74"/>
  <c r="H591" i="74" s="1"/>
  <c r="AD590" i="74"/>
  <c r="U590" i="74"/>
  <c r="S590" i="74"/>
  <c r="P590" i="74"/>
  <c r="M590" i="74"/>
  <c r="J590" i="74"/>
  <c r="G590" i="74"/>
  <c r="H590" i="74" s="1"/>
  <c r="AD589" i="74"/>
  <c r="U589" i="74"/>
  <c r="S589" i="74"/>
  <c r="P589" i="74"/>
  <c r="M589" i="74"/>
  <c r="J589" i="74"/>
  <c r="G589" i="74"/>
  <c r="H589" i="74" s="1"/>
  <c r="AD588" i="74"/>
  <c r="U588" i="74"/>
  <c r="S588" i="74"/>
  <c r="P588" i="74"/>
  <c r="M588" i="74"/>
  <c r="J588" i="74"/>
  <c r="G588" i="74"/>
  <c r="H588" i="74" s="1"/>
  <c r="AD587" i="74"/>
  <c r="U587" i="74"/>
  <c r="S587" i="74"/>
  <c r="P587" i="74"/>
  <c r="M587" i="74"/>
  <c r="J587" i="74"/>
  <c r="G587" i="74"/>
  <c r="H587" i="74" s="1"/>
  <c r="AD586" i="74"/>
  <c r="U586" i="74"/>
  <c r="S586" i="74"/>
  <c r="P586" i="74"/>
  <c r="M586" i="74"/>
  <c r="J586" i="74"/>
  <c r="G586" i="74"/>
  <c r="H586" i="74" s="1"/>
  <c r="AD585" i="74"/>
  <c r="U585" i="74"/>
  <c r="S585" i="74"/>
  <c r="P585" i="74"/>
  <c r="M585" i="74"/>
  <c r="J585" i="74"/>
  <c r="G585" i="74"/>
  <c r="H585" i="74" s="1"/>
  <c r="AD584" i="74"/>
  <c r="U584" i="74"/>
  <c r="S584" i="74"/>
  <c r="P584" i="74"/>
  <c r="M584" i="74"/>
  <c r="J584" i="74"/>
  <c r="G584" i="74"/>
  <c r="H584" i="74" s="1"/>
  <c r="AD583" i="74"/>
  <c r="U583" i="74"/>
  <c r="S583" i="74"/>
  <c r="P583" i="74"/>
  <c r="M583" i="74"/>
  <c r="J583" i="74"/>
  <c r="G583" i="74"/>
  <c r="H583" i="74" s="1"/>
  <c r="AD582" i="74"/>
  <c r="U582" i="74"/>
  <c r="S582" i="74"/>
  <c r="P582" i="74"/>
  <c r="M582" i="74"/>
  <c r="J582" i="74"/>
  <c r="G582" i="74"/>
  <c r="H582" i="74" s="1"/>
  <c r="AD581" i="74"/>
  <c r="U581" i="74"/>
  <c r="S581" i="74"/>
  <c r="P581" i="74"/>
  <c r="M581" i="74"/>
  <c r="J581" i="74"/>
  <c r="G581" i="74"/>
  <c r="H581" i="74" s="1"/>
  <c r="AD580" i="74"/>
  <c r="U580" i="74"/>
  <c r="S580" i="74"/>
  <c r="P580" i="74"/>
  <c r="M580" i="74"/>
  <c r="J580" i="74"/>
  <c r="G580" i="74"/>
  <c r="H580" i="74" s="1"/>
  <c r="AD579" i="74"/>
  <c r="U579" i="74"/>
  <c r="S579" i="74"/>
  <c r="P579" i="74"/>
  <c r="M579" i="74"/>
  <c r="J579" i="74"/>
  <c r="G579" i="74"/>
  <c r="H579" i="74" s="1"/>
  <c r="AD578" i="74"/>
  <c r="U578" i="74"/>
  <c r="S578" i="74"/>
  <c r="P578" i="74"/>
  <c r="M578" i="74"/>
  <c r="J578" i="74"/>
  <c r="G578" i="74"/>
  <c r="H578" i="74" s="1"/>
  <c r="AD577" i="74"/>
  <c r="U577" i="74"/>
  <c r="S577" i="74"/>
  <c r="P577" i="74"/>
  <c r="M577" i="74"/>
  <c r="J577" i="74"/>
  <c r="G577" i="74"/>
  <c r="H577" i="74" s="1"/>
  <c r="AD576" i="74"/>
  <c r="U576" i="74"/>
  <c r="S576" i="74"/>
  <c r="P576" i="74"/>
  <c r="M576" i="74"/>
  <c r="J576" i="74"/>
  <c r="G576" i="74"/>
  <c r="H576" i="74" s="1"/>
  <c r="AD575" i="74"/>
  <c r="U575" i="74"/>
  <c r="S575" i="74"/>
  <c r="P575" i="74"/>
  <c r="M575" i="74"/>
  <c r="J575" i="74"/>
  <c r="G575" i="74"/>
  <c r="H575" i="74" s="1"/>
  <c r="AD574" i="74"/>
  <c r="U574" i="74"/>
  <c r="S574" i="74"/>
  <c r="P574" i="74"/>
  <c r="M574" i="74"/>
  <c r="J574" i="74"/>
  <c r="G574" i="74"/>
  <c r="H574" i="74" s="1"/>
  <c r="AD573" i="74"/>
  <c r="U573" i="74"/>
  <c r="S573" i="74"/>
  <c r="P573" i="74"/>
  <c r="M573" i="74"/>
  <c r="J573" i="74"/>
  <c r="G573" i="74"/>
  <c r="H573" i="74" s="1"/>
  <c r="AD572" i="74"/>
  <c r="U572" i="74"/>
  <c r="S572" i="74"/>
  <c r="P572" i="74"/>
  <c r="M572" i="74"/>
  <c r="J572" i="74"/>
  <c r="G572" i="74"/>
  <c r="H572" i="74" s="1"/>
  <c r="AD571" i="74"/>
  <c r="U571" i="74"/>
  <c r="S571" i="74"/>
  <c r="P571" i="74"/>
  <c r="M571" i="74"/>
  <c r="J571" i="74"/>
  <c r="G571" i="74"/>
  <c r="H571" i="74" s="1"/>
  <c r="AD570" i="74"/>
  <c r="U570" i="74"/>
  <c r="S570" i="74"/>
  <c r="P570" i="74"/>
  <c r="M570" i="74"/>
  <c r="J570" i="74"/>
  <c r="G570" i="74"/>
  <c r="H570" i="74" s="1"/>
  <c r="AD569" i="74"/>
  <c r="U569" i="74"/>
  <c r="S569" i="74"/>
  <c r="P569" i="74"/>
  <c r="M569" i="74"/>
  <c r="J569" i="74"/>
  <c r="G569" i="74"/>
  <c r="H569" i="74" s="1"/>
  <c r="AD568" i="74"/>
  <c r="U568" i="74"/>
  <c r="S568" i="74"/>
  <c r="P568" i="74"/>
  <c r="M568" i="74"/>
  <c r="J568" i="74"/>
  <c r="G568" i="74"/>
  <c r="H568" i="74" s="1"/>
  <c r="AD567" i="74"/>
  <c r="U567" i="74"/>
  <c r="S567" i="74"/>
  <c r="P567" i="74"/>
  <c r="M567" i="74"/>
  <c r="J567" i="74"/>
  <c r="G567" i="74"/>
  <c r="H567" i="74" s="1"/>
  <c r="AD566" i="74"/>
  <c r="U566" i="74"/>
  <c r="S566" i="74"/>
  <c r="P566" i="74"/>
  <c r="M566" i="74"/>
  <c r="J566" i="74"/>
  <c r="G566" i="74"/>
  <c r="H566" i="74" s="1"/>
  <c r="AD565" i="74"/>
  <c r="U565" i="74"/>
  <c r="S565" i="74"/>
  <c r="P565" i="74"/>
  <c r="M565" i="74"/>
  <c r="J565" i="74"/>
  <c r="G565" i="74"/>
  <c r="H565" i="74" s="1"/>
  <c r="AD564" i="74"/>
  <c r="U564" i="74"/>
  <c r="S564" i="74"/>
  <c r="P564" i="74"/>
  <c r="M564" i="74"/>
  <c r="J564" i="74"/>
  <c r="G564" i="74"/>
  <c r="H564" i="74" s="1"/>
  <c r="AD563" i="74"/>
  <c r="U563" i="74"/>
  <c r="S563" i="74"/>
  <c r="P563" i="74"/>
  <c r="M563" i="74"/>
  <c r="J563" i="74"/>
  <c r="G563" i="74"/>
  <c r="H563" i="74" s="1"/>
  <c r="AD562" i="74"/>
  <c r="U562" i="74"/>
  <c r="S562" i="74"/>
  <c r="P562" i="74"/>
  <c r="M562" i="74"/>
  <c r="J562" i="74"/>
  <c r="G562" i="74"/>
  <c r="H562" i="74" s="1"/>
  <c r="AD561" i="74"/>
  <c r="U561" i="74"/>
  <c r="S561" i="74"/>
  <c r="P561" i="74"/>
  <c r="M561" i="74"/>
  <c r="J561" i="74"/>
  <c r="G561" i="74"/>
  <c r="H561" i="74" s="1"/>
  <c r="AD560" i="74"/>
  <c r="U560" i="74"/>
  <c r="S560" i="74"/>
  <c r="P560" i="74"/>
  <c r="M560" i="74"/>
  <c r="J560" i="74"/>
  <c r="G560" i="74"/>
  <c r="H560" i="74" s="1"/>
  <c r="AD559" i="74"/>
  <c r="U559" i="74"/>
  <c r="S559" i="74"/>
  <c r="P559" i="74"/>
  <c r="M559" i="74"/>
  <c r="J559" i="74"/>
  <c r="G559" i="74"/>
  <c r="H559" i="74" s="1"/>
  <c r="AD558" i="74"/>
  <c r="U558" i="74"/>
  <c r="S558" i="74"/>
  <c r="P558" i="74"/>
  <c r="M558" i="74"/>
  <c r="J558" i="74"/>
  <c r="G558" i="74"/>
  <c r="H558" i="74" s="1"/>
  <c r="AD557" i="74"/>
  <c r="U557" i="74"/>
  <c r="S557" i="74"/>
  <c r="P557" i="74"/>
  <c r="M557" i="74"/>
  <c r="J557" i="74"/>
  <c r="G557" i="74"/>
  <c r="H557" i="74" s="1"/>
  <c r="AD556" i="74"/>
  <c r="U556" i="74"/>
  <c r="S556" i="74"/>
  <c r="P556" i="74"/>
  <c r="M556" i="74"/>
  <c r="J556" i="74"/>
  <c r="G556" i="74"/>
  <c r="H556" i="74" s="1"/>
  <c r="AD555" i="74"/>
  <c r="U555" i="74"/>
  <c r="S555" i="74"/>
  <c r="P555" i="74"/>
  <c r="M555" i="74"/>
  <c r="J555" i="74"/>
  <c r="G555" i="74"/>
  <c r="H555" i="74" s="1"/>
  <c r="AD554" i="74"/>
  <c r="U554" i="74"/>
  <c r="S554" i="74"/>
  <c r="P554" i="74"/>
  <c r="M554" i="74"/>
  <c r="J554" i="74"/>
  <c r="G554" i="74"/>
  <c r="H554" i="74" s="1"/>
  <c r="AD553" i="74"/>
  <c r="U553" i="74"/>
  <c r="S553" i="74"/>
  <c r="P553" i="74"/>
  <c r="M553" i="74"/>
  <c r="J553" i="74"/>
  <c r="G553" i="74"/>
  <c r="H553" i="74" s="1"/>
  <c r="AD552" i="74"/>
  <c r="U552" i="74"/>
  <c r="S552" i="74"/>
  <c r="P552" i="74"/>
  <c r="M552" i="74"/>
  <c r="J552" i="74"/>
  <c r="G552" i="74"/>
  <c r="H552" i="74" s="1"/>
  <c r="AD551" i="74"/>
  <c r="U551" i="74"/>
  <c r="S551" i="74"/>
  <c r="P551" i="74"/>
  <c r="M551" i="74"/>
  <c r="J551" i="74"/>
  <c r="G551" i="74"/>
  <c r="H551" i="74" s="1"/>
  <c r="AD550" i="74"/>
  <c r="U550" i="74"/>
  <c r="S550" i="74"/>
  <c r="P550" i="74"/>
  <c r="M550" i="74"/>
  <c r="J550" i="74"/>
  <c r="G550" i="74"/>
  <c r="H550" i="74" s="1"/>
  <c r="AD549" i="74"/>
  <c r="U549" i="74"/>
  <c r="S549" i="74"/>
  <c r="P549" i="74"/>
  <c r="M549" i="74"/>
  <c r="J549" i="74"/>
  <c r="G549" i="74"/>
  <c r="H549" i="74" s="1"/>
  <c r="AD548" i="74"/>
  <c r="U548" i="74"/>
  <c r="S548" i="74"/>
  <c r="P548" i="74"/>
  <c r="M548" i="74"/>
  <c r="J548" i="74"/>
  <c r="G548" i="74"/>
  <c r="H548" i="74" s="1"/>
  <c r="AD547" i="74"/>
  <c r="U547" i="74"/>
  <c r="S547" i="74"/>
  <c r="P547" i="74"/>
  <c r="M547" i="74"/>
  <c r="J547" i="74"/>
  <c r="G547" i="74"/>
  <c r="H547" i="74" s="1"/>
  <c r="AD546" i="74"/>
  <c r="U546" i="74"/>
  <c r="S546" i="74"/>
  <c r="P546" i="74"/>
  <c r="M546" i="74"/>
  <c r="J546" i="74"/>
  <c r="G546" i="74"/>
  <c r="H546" i="74" s="1"/>
  <c r="AD545" i="74"/>
  <c r="U545" i="74"/>
  <c r="S545" i="74"/>
  <c r="P545" i="74"/>
  <c r="M545" i="74"/>
  <c r="J545" i="74"/>
  <c r="G545" i="74"/>
  <c r="H545" i="74" s="1"/>
  <c r="AD544" i="74"/>
  <c r="U544" i="74"/>
  <c r="S544" i="74"/>
  <c r="P544" i="74"/>
  <c r="M544" i="74"/>
  <c r="J544" i="74"/>
  <c r="G544" i="74"/>
  <c r="H544" i="74" s="1"/>
  <c r="AD543" i="74"/>
  <c r="U543" i="74"/>
  <c r="S543" i="74"/>
  <c r="P543" i="74"/>
  <c r="M543" i="74"/>
  <c r="J543" i="74"/>
  <c r="G543" i="74"/>
  <c r="H543" i="74" s="1"/>
  <c r="AD542" i="74"/>
  <c r="U542" i="74"/>
  <c r="S542" i="74"/>
  <c r="P542" i="74"/>
  <c r="M542" i="74"/>
  <c r="J542" i="74"/>
  <c r="G542" i="74"/>
  <c r="H542" i="74" s="1"/>
  <c r="AD541" i="74"/>
  <c r="U541" i="74"/>
  <c r="S541" i="74"/>
  <c r="P541" i="74"/>
  <c r="M541" i="74"/>
  <c r="J541" i="74"/>
  <c r="G541" i="74"/>
  <c r="H541" i="74" s="1"/>
  <c r="AD540" i="74"/>
  <c r="U540" i="74"/>
  <c r="S540" i="74"/>
  <c r="P540" i="74"/>
  <c r="M540" i="74"/>
  <c r="J540" i="74"/>
  <c r="G540" i="74"/>
  <c r="H540" i="74" s="1"/>
  <c r="AD539" i="74"/>
  <c r="U539" i="74"/>
  <c r="S539" i="74"/>
  <c r="P539" i="74"/>
  <c r="M539" i="74"/>
  <c r="J539" i="74"/>
  <c r="G539" i="74"/>
  <c r="H539" i="74" s="1"/>
  <c r="AD538" i="74"/>
  <c r="U538" i="74"/>
  <c r="S538" i="74"/>
  <c r="P538" i="74"/>
  <c r="M538" i="74"/>
  <c r="J538" i="74"/>
  <c r="G538" i="74"/>
  <c r="H538" i="74" s="1"/>
  <c r="AD537" i="74"/>
  <c r="U537" i="74"/>
  <c r="S537" i="74"/>
  <c r="P537" i="74"/>
  <c r="M537" i="74"/>
  <c r="J537" i="74"/>
  <c r="G537" i="74"/>
  <c r="H537" i="74" s="1"/>
  <c r="AD536" i="74"/>
  <c r="U536" i="74"/>
  <c r="S536" i="74"/>
  <c r="P536" i="74"/>
  <c r="M536" i="74"/>
  <c r="J536" i="74"/>
  <c r="G536" i="74"/>
  <c r="H536" i="74" s="1"/>
  <c r="AD535" i="74"/>
  <c r="U535" i="74"/>
  <c r="S535" i="74"/>
  <c r="P535" i="74"/>
  <c r="M535" i="74"/>
  <c r="J535" i="74"/>
  <c r="G535" i="74"/>
  <c r="H535" i="74" s="1"/>
  <c r="AD534" i="74"/>
  <c r="U534" i="74"/>
  <c r="S534" i="74"/>
  <c r="P534" i="74"/>
  <c r="M534" i="74"/>
  <c r="J534" i="74"/>
  <c r="G534" i="74"/>
  <c r="H534" i="74" s="1"/>
  <c r="AD533" i="74"/>
  <c r="U533" i="74"/>
  <c r="S533" i="74"/>
  <c r="P533" i="74"/>
  <c r="M533" i="74"/>
  <c r="J533" i="74"/>
  <c r="G533" i="74"/>
  <c r="H533" i="74" s="1"/>
  <c r="AD532" i="74"/>
  <c r="U532" i="74"/>
  <c r="S532" i="74"/>
  <c r="P532" i="74"/>
  <c r="M532" i="74"/>
  <c r="J532" i="74"/>
  <c r="G532" i="74"/>
  <c r="H532" i="74" s="1"/>
  <c r="AD531" i="74"/>
  <c r="U531" i="74"/>
  <c r="S531" i="74"/>
  <c r="P531" i="74"/>
  <c r="M531" i="74"/>
  <c r="J531" i="74"/>
  <c r="G531" i="74"/>
  <c r="H531" i="74" s="1"/>
  <c r="AD530" i="74"/>
  <c r="U530" i="74"/>
  <c r="S530" i="74"/>
  <c r="P530" i="74"/>
  <c r="M530" i="74"/>
  <c r="J530" i="74"/>
  <c r="G530" i="74"/>
  <c r="H530" i="74" s="1"/>
  <c r="AD529" i="74"/>
  <c r="U529" i="74"/>
  <c r="S529" i="74"/>
  <c r="P529" i="74"/>
  <c r="M529" i="74"/>
  <c r="J529" i="74"/>
  <c r="G529" i="74"/>
  <c r="H529" i="74" s="1"/>
  <c r="AD528" i="74"/>
  <c r="U528" i="74"/>
  <c r="S528" i="74"/>
  <c r="P528" i="74"/>
  <c r="M528" i="74"/>
  <c r="J528" i="74"/>
  <c r="G528" i="74"/>
  <c r="H528" i="74" s="1"/>
  <c r="AD527" i="74"/>
  <c r="U527" i="74"/>
  <c r="S527" i="74"/>
  <c r="P527" i="74"/>
  <c r="M527" i="74"/>
  <c r="J527" i="74"/>
  <c r="G527" i="74"/>
  <c r="H527" i="74" s="1"/>
  <c r="AD526" i="74"/>
  <c r="U526" i="74"/>
  <c r="S526" i="74"/>
  <c r="P526" i="74"/>
  <c r="M526" i="74"/>
  <c r="J526" i="74"/>
  <c r="G526" i="74"/>
  <c r="H526" i="74" s="1"/>
  <c r="AD525" i="74"/>
  <c r="U525" i="74"/>
  <c r="S525" i="74"/>
  <c r="P525" i="74"/>
  <c r="M525" i="74"/>
  <c r="J525" i="74"/>
  <c r="G525" i="74"/>
  <c r="H525" i="74" s="1"/>
  <c r="AD524" i="74"/>
  <c r="U524" i="74"/>
  <c r="S524" i="74"/>
  <c r="P524" i="74"/>
  <c r="M524" i="74"/>
  <c r="J524" i="74"/>
  <c r="G524" i="74"/>
  <c r="H524" i="74" s="1"/>
  <c r="AD523" i="74"/>
  <c r="U523" i="74"/>
  <c r="S523" i="74"/>
  <c r="P523" i="74"/>
  <c r="M523" i="74"/>
  <c r="J523" i="74"/>
  <c r="G523" i="74"/>
  <c r="H523" i="74" s="1"/>
  <c r="AD522" i="74"/>
  <c r="U522" i="74"/>
  <c r="S522" i="74"/>
  <c r="P522" i="74"/>
  <c r="M522" i="74"/>
  <c r="J522" i="74"/>
  <c r="G522" i="74"/>
  <c r="H522" i="74" s="1"/>
  <c r="AD521" i="74"/>
  <c r="U521" i="74"/>
  <c r="S521" i="74"/>
  <c r="P521" i="74"/>
  <c r="M521" i="74"/>
  <c r="J521" i="74"/>
  <c r="G521" i="74"/>
  <c r="H521" i="74" s="1"/>
  <c r="AD520" i="74"/>
  <c r="U520" i="74"/>
  <c r="S520" i="74"/>
  <c r="P520" i="74"/>
  <c r="M520" i="74"/>
  <c r="J520" i="74"/>
  <c r="G520" i="74"/>
  <c r="H520" i="74" s="1"/>
  <c r="AD519" i="74"/>
  <c r="U519" i="74"/>
  <c r="S519" i="74"/>
  <c r="P519" i="74"/>
  <c r="M519" i="74"/>
  <c r="J519" i="74"/>
  <c r="G519" i="74"/>
  <c r="H519" i="74" s="1"/>
  <c r="AD518" i="74"/>
  <c r="U518" i="74"/>
  <c r="S518" i="74"/>
  <c r="P518" i="74"/>
  <c r="M518" i="74"/>
  <c r="J518" i="74"/>
  <c r="G518" i="74"/>
  <c r="H518" i="74" s="1"/>
  <c r="AD517" i="74"/>
  <c r="U517" i="74"/>
  <c r="S517" i="74"/>
  <c r="P517" i="74"/>
  <c r="M517" i="74"/>
  <c r="J517" i="74"/>
  <c r="G517" i="74"/>
  <c r="H517" i="74" s="1"/>
  <c r="AD516" i="74"/>
  <c r="U516" i="74"/>
  <c r="S516" i="74"/>
  <c r="P516" i="74"/>
  <c r="M516" i="74"/>
  <c r="J516" i="74"/>
  <c r="G516" i="74"/>
  <c r="H516" i="74" s="1"/>
  <c r="AD515" i="74"/>
  <c r="U515" i="74"/>
  <c r="S515" i="74"/>
  <c r="P515" i="74"/>
  <c r="M515" i="74"/>
  <c r="J515" i="74"/>
  <c r="G515" i="74"/>
  <c r="H515" i="74" s="1"/>
  <c r="AD514" i="74"/>
  <c r="U514" i="74"/>
  <c r="S514" i="74"/>
  <c r="P514" i="74"/>
  <c r="M514" i="74"/>
  <c r="J514" i="74"/>
  <c r="G514" i="74"/>
  <c r="H514" i="74" s="1"/>
  <c r="AD513" i="74"/>
  <c r="U513" i="74"/>
  <c r="S513" i="74"/>
  <c r="P513" i="74"/>
  <c r="M513" i="74"/>
  <c r="J513" i="74"/>
  <c r="G513" i="74"/>
  <c r="H513" i="74" s="1"/>
  <c r="AD512" i="74"/>
  <c r="U512" i="74"/>
  <c r="S512" i="74"/>
  <c r="P512" i="74"/>
  <c r="M512" i="74"/>
  <c r="J512" i="74"/>
  <c r="G512" i="74"/>
  <c r="H512" i="74" s="1"/>
  <c r="AD511" i="74"/>
  <c r="U511" i="74"/>
  <c r="S511" i="74"/>
  <c r="P511" i="74"/>
  <c r="M511" i="74"/>
  <c r="J511" i="74"/>
  <c r="G511" i="74"/>
  <c r="H511" i="74" s="1"/>
  <c r="AD510" i="74"/>
  <c r="U510" i="74"/>
  <c r="S510" i="74"/>
  <c r="P510" i="74"/>
  <c r="M510" i="74"/>
  <c r="J510" i="74"/>
  <c r="G510" i="74"/>
  <c r="H510" i="74" s="1"/>
  <c r="AD509" i="74"/>
  <c r="U509" i="74"/>
  <c r="S509" i="74"/>
  <c r="P509" i="74"/>
  <c r="M509" i="74"/>
  <c r="J509" i="74"/>
  <c r="G509" i="74"/>
  <c r="H509" i="74" s="1"/>
  <c r="AD508" i="74"/>
  <c r="U508" i="74"/>
  <c r="S508" i="74"/>
  <c r="P508" i="74"/>
  <c r="M508" i="74"/>
  <c r="J508" i="74"/>
  <c r="G508" i="74"/>
  <c r="H508" i="74" s="1"/>
  <c r="AD507" i="74"/>
  <c r="U507" i="74"/>
  <c r="S507" i="74"/>
  <c r="P507" i="74"/>
  <c r="M507" i="74"/>
  <c r="J507" i="74"/>
  <c r="G507" i="74"/>
  <c r="H507" i="74" s="1"/>
  <c r="AD506" i="74"/>
  <c r="U506" i="74"/>
  <c r="S506" i="74"/>
  <c r="P506" i="74"/>
  <c r="M506" i="74"/>
  <c r="J506" i="74"/>
  <c r="G506" i="74"/>
  <c r="H506" i="74" s="1"/>
  <c r="AD505" i="74"/>
  <c r="U505" i="74"/>
  <c r="S505" i="74"/>
  <c r="P505" i="74"/>
  <c r="M505" i="74"/>
  <c r="J505" i="74"/>
  <c r="G505" i="74"/>
  <c r="H505" i="74" s="1"/>
  <c r="AD504" i="74"/>
  <c r="U504" i="74"/>
  <c r="S504" i="74"/>
  <c r="P504" i="74"/>
  <c r="M504" i="74"/>
  <c r="J504" i="74"/>
  <c r="G504" i="74"/>
  <c r="H504" i="74" s="1"/>
  <c r="AD503" i="74"/>
  <c r="U503" i="74"/>
  <c r="S503" i="74"/>
  <c r="P503" i="74"/>
  <c r="M503" i="74"/>
  <c r="J503" i="74"/>
  <c r="G503" i="74"/>
  <c r="H503" i="74" s="1"/>
  <c r="AD502" i="74"/>
  <c r="U502" i="74"/>
  <c r="S502" i="74"/>
  <c r="P502" i="74"/>
  <c r="M502" i="74"/>
  <c r="J502" i="74"/>
  <c r="G502" i="74"/>
  <c r="H502" i="74" s="1"/>
  <c r="AD501" i="74"/>
  <c r="U501" i="74"/>
  <c r="S501" i="74"/>
  <c r="P501" i="74"/>
  <c r="M501" i="74"/>
  <c r="J501" i="74"/>
  <c r="G501" i="74"/>
  <c r="H501" i="74" s="1"/>
  <c r="AD500" i="74"/>
  <c r="U500" i="74"/>
  <c r="S500" i="74"/>
  <c r="P500" i="74"/>
  <c r="M500" i="74"/>
  <c r="J500" i="74"/>
  <c r="G500" i="74"/>
  <c r="H500" i="74" s="1"/>
  <c r="AD499" i="74"/>
  <c r="U499" i="74"/>
  <c r="S499" i="74"/>
  <c r="P499" i="74"/>
  <c r="M499" i="74"/>
  <c r="J499" i="74"/>
  <c r="G499" i="74"/>
  <c r="H499" i="74" s="1"/>
  <c r="AD498" i="74"/>
  <c r="U498" i="74"/>
  <c r="S498" i="74"/>
  <c r="P498" i="74"/>
  <c r="M498" i="74"/>
  <c r="J498" i="74"/>
  <c r="G498" i="74"/>
  <c r="H498" i="74" s="1"/>
  <c r="AD497" i="74"/>
  <c r="U497" i="74"/>
  <c r="S497" i="74"/>
  <c r="P497" i="74"/>
  <c r="M497" i="74"/>
  <c r="J497" i="74"/>
  <c r="G497" i="74"/>
  <c r="H497" i="74" s="1"/>
  <c r="AD496" i="74"/>
  <c r="U496" i="74"/>
  <c r="S496" i="74"/>
  <c r="P496" i="74"/>
  <c r="M496" i="74"/>
  <c r="J496" i="74"/>
  <c r="G496" i="74"/>
  <c r="H496" i="74" s="1"/>
  <c r="AD495" i="74"/>
  <c r="U495" i="74"/>
  <c r="S495" i="74"/>
  <c r="P495" i="74"/>
  <c r="M495" i="74"/>
  <c r="J495" i="74"/>
  <c r="G495" i="74"/>
  <c r="H495" i="74" s="1"/>
  <c r="AD494" i="74"/>
  <c r="U494" i="74"/>
  <c r="S494" i="74"/>
  <c r="P494" i="74"/>
  <c r="M494" i="74"/>
  <c r="J494" i="74"/>
  <c r="G494" i="74"/>
  <c r="H494" i="74" s="1"/>
  <c r="AD493" i="74"/>
  <c r="U493" i="74"/>
  <c r="S493" i="74"/>
  <c r="P493" i="74"/>
  <c r="M493" i="74"/>
  <c r="J493" i="74"/>
  <c r="G493" i="74"/>
  <c r="H493" i="74" s="1"/>
  <c r="AD492" i="74"/>
  <c r="U492" i="74"/>
  <c r="S492" i="74"/>
  <c r="P492" i="74"/>
  <c r="M492" i="74"/>
  <c r="J492" i="74"/>
  <c r="G492" i="74"/>
  <c r="H492" i="74" s="1"/>
  <c r="AD491" i="74"/>
  <c r="U491" i="74"/>
  <c r="S491" i="74"/>
  <c r="P491" i="74"/>
  <c r="M491" i="74"/>
  <c r="J491" i="74"/>
  <c r="G491" i="74"/>
  <c r="H491" i="74" s="1"/>
  <c r="AD490" i="74"/>
  <c r="U490" i="74"/>
  <c r="S490" i="74"/>
  <c r="P490" i="74"/>
  <c r="M490" i="74"/>
  <c r="J490" i="74"/>
  <c r="G490" i="74"/>
  <c r="H490" i="74" s="1"/>
  <c r="AD489" i="74"/>
  <c r="U489" i="74"/>
  <c r="S489" i="74"/>
  <c r="P489" i="74"/>
  <c r="M489" i="74"/>
  <c r="J489" i="74"/>
  <c r="G489" i="74"/>
  <c r="H489" i="74" s="1"/>
  <c r="AD488" i="74"/>
  <c r="U488" i="74"/>
  <c r="S488" i="74"/>
  <c r="P488" i="74"/>
  <c r="M488" i="74"/>
  <c r="J488" i="74"/>
  <c r="G488" i="74"/>
  <c r="H488" i="74" s="1"/>
  <c r="AD487" i="74"/>
  <c r="U487" i="74"/>
  <c r="S487" i="74"/>
  <c r="P487" i="74"/>
  <c r="M487" i="74"/>
  <c r="J487" i="74"/>
  <c r="G487" i="74"/>
  <c r="H487" i="74" s="1"/>
  <c r="AD486" i="74"/>
  <c r="U486" i="74"/>
  <c r="S486" i="74"/>
  <c r="P486" i="74"/>
  <c r="M486" i="74"/>
  <c r="J486" i="74"/>
  <c r="G486" i="74"/>
  <c r="H486" i="74" s="1"/>
  <c r="AD485" i="74"/>
  <c r="U485" i="74"/>
  <c r="S485" i="74"/>
  <c r="P485" i="74"/>
  <c r="M485" i="74"/>
  <c r="J485" i="74"/>
  <c r="G485" i="74"/>
  <c r="H485" i="74" s="1"/>
  <c r="AD484" i="74"/>
  <c r="U484" i="74"/>
  <c r="S484" i="74"/>
  <c r="P484" i="74"/>
  <c r="M484" i="74"/>
  <c r="J484" i="74"/>
  <c r="G484" i="74"/>
  <c r="H484" i="74" s="1"/>
  <c r="AD483" i="74"/>
  <c r="U483" i="74"/>
  <c r="S483" i="74"/>
  <c r="P483" i="74"/>
  <c r="M483" i="74"/>
  <c r="J483" i="74"/>
  <c r="G483" i="74"/>
  <c r="H483" i="74" s="1"/>
  <c r="AD482" i="74"/>
  <c r="U482" i="74"/>
  <c r="S482" i="74"/>
  <c r="P482" i="74"/>
  <c r="M482" i="74"/>
  <c r="J482" i="74"/>
  <c r="G482" i="74"/>
  <c r="H482" i="74" s="1"/>
  <c r="AD481" i="74"/>
  <c r="U481" i="74"/>
  <c r="S481" i="74"/>
  <c r="P481" i="74"/>
  <c r="M481" i="74"/>
  <c r="J481" i="74"/>
  <c r="G481" i="74"/>
  <c r="H481" i="74" s="1"/>
  <c r="AD480" i="74"/>
  <c r="U480" i="74"/>
  <c r="S480" i="74"/>
  <c r="P480" i="74"/>
  <c r="M480" i="74"/>
  <c r="J480" i="74"/>
  <c r="G480" i="74"/>
  <c r="H480" i="74" s="1"/>
  <c r="AD479" i="74"/>
  <c r="U479" i="74"/>
  <c r="S479" i="74"/>
  <c r="P479" i="74"/>
  <c r="M479" i="74"/>
  <c r="J479" i="74"/>
  <c r="G479" i="74"/>
  <c r="H479" i="74" s="1"/>
  <c r="AD478" i="74"/>
  <c r="U478" i="74"/>
  <c r="S478" i="74"/>
  <c r="P478" i="74"/>
  <c r="M478" i="74"/>
  <c r="J478" i="74"/>
  <c r="G478" i="74"/>
  <c r="H478" i="74" s="1"/>
  <c r="AD477" i="74"/>
  <c r="U477" i="74"/>
  <c r="S477" i="74"/>
  <c r="P477" i="74"/>
  <c r="M477" i="74"/>
  <c r="J477" i="74"/>
  <c r="G477" i="74"/>
  <c r="H477" i="74" s="1"/>
  <c r="AD476" i="74"/>
  <c r="U476" i="74"/>
  <c r="S476" i="74"/>
  <c r="P476" i="74"/>
  <c r="M476" i="74"/>
  <c r="J476" i="74"/>
  <c r="G476" i="74"/>
  <c r="H476" i="74" s="1"/>
  <c r="AD475" i="74"/>
  <c r="U475" i="74"/>
  <c r="S475" i="74"/>
  <c r="P475" i="74"/>
  <c r="M475" i="74"/>
  <c r="J475" i="74"/>
  <c r="G475" i="74"/>
  <c r="H475" i="74" s="1"/>
  <c r="AD474" i="74"/>
  <c r="U474" i="74"/>
  <c r="S474" i="74"/>
  <c r="P474" i="74"/>
  <c r="M474" i="74"/>
  <c r="J474" i="74"/>
  <c r="G474" i="74"/>
  <c r="H474" i="74" s="1"/>
  <c r="AD473" i="74"/>
  <c r="U473" i="74"/>
  <c r="S473" i="74"/>
  <c r="P473" i="74"/>
  <c r="M473" i="74"/>
  <c r="J473" i="74"/>
  <c r="G473" i="74"/>
  <c r="H473" i="74" s="1"/>
  <c r="AD472" i="74"/>
  <c r="U472" i="74"/>
  <c r="S472" i="74"/>
  <c r="P472" i="74"/>
  <c r="M472" i="74"/>
  <c r="J472" i="74"/>
  <c r="G472" i="74"/>
  <c r="H472" i="74" s="1"/>
  <c r="AD471" i="74"/>
  <c r="U471" i="74"/>
  <c r="S471" i="74"/>
  <c r="P471" i="74"/>
  <c r="M471" i="74"/>
  <c r="J471" i="74"/>
  <c r="G471" i="74"/>
  <c r="H471" i="74" s="1"/>
  <c r="AD470" i="74"/>
  <c r="U470" i="74"/>
  <c r="S470" i="74"/>
  <c r="P470" i="74"/>
  <c r="M470" i="74"/>
  <c r="J470" i="74"/>
  <c r="G470" i="74"/>
  <c r="H470" i="74" s="1"/>
  <c r="AD469" i="74"/>
  <c r="U469" i="74"/>
  <c r="S469" i="74"/>
  <c r="P469" i="74"/>
  <c r="M469" i="74"/>
  <c r="J469" i="74"/>
  <c r="G469" i="74"/>
  <c r="H469" i="74" s="1"/>
  <c r="AD468" i="74"/>
  <c r="U468" i="74"/>
  <c r="S468" i="74"/>
  <c r="P468" i="74"/>
  <c r="M468" i="74"/>
  <c r="J468" i="74"/>
  <c r="G468" i="74"/>
  <c r="H468" i="74" s="1"/>
  <c r="AD467" i="74"/>
  <c r="U467" i="74"/>
  <c r="S467" i="74"/>
  <c r="P467" i="74"/>
  <c r="M467" i="74"/>
  <c r="J467" i="74"/>
  <c r="G467" i="74"/>
  <c r="H467" i="74" s="1"/>
  <c r="AD466" i="74"/>
  <c r="U466" i="74"/>
  <c r="S466" i="74"/>
  <c r="P466" i="74"/>
  <c r="M466" i="74"/>
  <c r="J466" i="74"/>
  <c r="G466" i="74"/>
  <c r="H466" i="74" s="1"/>
  <c r="AD465" i="74"/>
  <c r="U465" i="74"/>
  <c r="S465" i="74"/>
  <c r="P465" i="74"/>
  <c r="M465" i="74"/>
  <c r="J465" i="74"/>
  <c r="G465" i="74"/>
  <c r="H465" i="74" s="1"/>
  <c r="AD464" i="74"/>
  <c r="U464" i="74"/>
  <c r="S464" i="74"/>
  <c r="P464" i="74"/>
  <c r="M464" i="74"/>
  <c r="J464" i="74"/>
  <c r="G464" i="74"/>
  <c r="H464" i="74" s="1"/>
  <c r="AD463" i="74"/>
  <c r="U463" i="74"/>
  <c r="S463" i="74"/>
  <c r="P463" i="74"/>
  <c r="M463" i="74"/>
  <c r="J463" i="74"/>
  <c r="G463" i="74"/>
  <c r="H463" i="74" s="1"/>
  <c r="AD462" i="74"/>
  <c r="U462" i="74"/>
  <c r="S462" i="74"/>
  <c r="P462" i="74"/>
  <c r="M462" i="74"/>
  <c r="J462" i="74"/>
  <c r="G462" i="74"/>
  <c r="H462" i="74" s="1"/>
  <c r="AD461" i="74"/>
  <c r="U461" i="74"/>
  <c r="S461" i="74"/>
  <c r="P461" i="74"/>
  <c r="M461" i="74"/>
  <c r="J461" i="74"/>
  <c r="G461" i="74"/>
  <c r="H461" i="74" s="1"/>
  <c r="AD460" i="74"/>
  <c r="U460" i="74"/>
  <c r="S460" i="74"/>
  <c r="P460" i="74"/>
  <c r="M460" i="74"/>
  <c r="J460" i="74"/>
  <c r="G460" i="74"/>
  <c r="H460" i="74" s="1"/>
  <c r="AD459" i="74"/>
  <c r="U459" i="74"/>
  <c r="S459" i="74"/>
  <c r="P459" i="74"/>
  <c r="M459" i="74"/>
  <c r="J459" i="74"/>
  <c r="G459" i="74"/>
  <c r="H459" i="74" s="1"/>
  <c r="AD458" i="74"/>
  <c r="U458" i="74"/>
  <c r="S458" i="74"/>
  <c r="P458" i="74"/>
  <c r="M458" i="74"/>
  <c r="J458" i="74"/>
  <c r="G458" i="74"/>
  <c r="H458" i="74" s="1"/>
  <c r="AD457" i="74"/>
  <c r="U457" i="74"/>
  <c r="S457" i="74"/>
  <c r="P457" i="74"/>
  <c r="M457" i="74"/>
  <c r="J457" i="74"/>
  <c r="G457" i="74"/>
  <c r="H457" i="74" s="1"/>
  <c r="AD456" i="74"/>
  <c r="U456" i="74"/>
  <c r="S456" i="74"/>
  <c r="P456" i="74"/>
  <c r="M456" i="74"/>
  <c r="J456" i="74"/>
  <c r="G456" i="74"/>
  <c r="H456" i="74" s="1"/>
  <c r="AD455" i="74"/>
  <c r="U455" i="74"/>
  <c r="S455" i="74"/>
  <c r="P455" i="74"/>
  <c r="M455" i="74"/>
  <c r="J455" i="74"/>
  <c r="G455" i="74"/>
  <c r="H455" i="74" s="1"/>
  <c r="AD454" i="74"/>
  <c r="U454" i="74"/>
  <c r="S454" i="74"/>
  <c r="P454" i="74"/>
  <c r="M454" i="74"/>
  <c r="J454" i="74"/>
  <c r="G454" i="74"/>
  <c r="H454" i="74" s="1"/>
  <c r="AD453" i="74"/>
  <c r="U453" i="74"/>
  <c r="S453" i="74"/>
  <c r="P453" i="74"/>
  <c r="M453" i="74"/>
  <c r="J453" i="74"/>
  <c r="G453" i="74"/>
  <c r="H453" i="74" s="1"/>
  <c r="AD452" i="74"/>
  <c r="U452" i="74"/>
  <c r="S452" i="74"/>
  <c r="P452" i="74"/>
  <c r="M452" i="74"/>
  <c r="J452" i="74"/>
  <c r="G452" i="74"/>
  <c r="H452" i="74" s="1"/>
  <c r="AD451" i="74"/>
  <c r="U451" i="74"/>
  <c r="S451" i="74"/>
  <c r="P451" i="74"/>
  <c r="M451" i="74"/>
  <c r="J451" i="74"/>
  <c r="G451" i="74"/>
  <c r="H451" i="74" s="1"/>
  <c r="AD450" i="74"/>
  <c r="U450" i="74"/>
  <c r="S450" i="74"/>
  <c r="P450" i="74"/>
  <c r="M450" i="74"/>
  <c r="J450" i="74"/>
  <c r="G450" i="74"/>
  <c r="H450" i="74" s="1"/>
  <c r="AD449" i="74"/>
  <c r="U449" i="74"/>
  <c r="S449" i="74"/>
  <c r="P449" i="74"/>
  <c r="M449" i="74"/>
  <c r="J449" i="74"/>
  <c r="G449" i="74"/>
  <c r="H449" i="74" s="1"/>
  <c r="AD448" i="74"/>
  <c r="U448" i="74"/>
  <c r="S448" i="74"/>
  <c r="P448" i="74"/>
  <c r="M448" i="74"/>
  <c r="J448" i="74"/>
  <c r="G448" i="74"/>
  <c r="H448" i="74" s="1"/>
  <c r="AD447" i="74"/>
  <c r="U447" i="74"/>
  <c r="S447" i="74"/>
  <c r="P447" i="74"/>
  <c r="M447" i="74"/>
  <c r="J447" i="74"/>
  <c r="G447" i="74"/>
  <c r="H447" i="74" s="1"/>
  <c r="AD446" i="74"/>
  <c r="U446" i="74"/>
  <c r="S446" i="74"/>
  <c r="P446" i="74"/>
  <c r="M446" i="74"/>
  <c r="J446" i="74"/>
  <c r="G446" i="74"/>
  <c r="H446" i="74" s="1"/>
  <c r="AD445" i="74"/>
  <c r="U445" i="74"/>
  <c r="S445" i="74"/>
  <c r="P445" i="74"/>
  <c r="M445" i="74"/>
  <c r="J445" i="74"/>
  <c r="G445" i="74"/>
  <c r="H445" i="74" s="1"/>
  <c r="AD444" i="74"/>
  <c r="U444" i="74"/>
  <c r="S444" i="74"/>
  <c r="P444" i="74"/>
  <c r="M444" i="74"/>
  <c r="J444" i="74"/>
  <c r="G444" i="74"/>
  <c r="H444" i="74" s="1"/>
  <c r="AD443" i="74"/>
  <c r="U443" i="74"/>
  <c r="S443" i="74"/>
  <c r="P443" i="74"/>
  <c r="M443" i="74"/>
  <c r="J443" i="74"/>
  <c r="G443" i="74"/>
  <c r="H443" i="74" s="1"/>
  <c r="AD442" i="74"/>
  <c r="U442" i="74"/>
  <c r="S442" i="74"/>
  <c r="P442" i="74"/>
  <c r="M442" i="74"/>
  <c r="J442" i="74"/>
  <c r="G442" i="74"/>
  <c r="H442" i="74" s="1"/>
  <c r="AD441" i="74"/>
  <c r="U441" i="74"/>
  <c r="S441" i="74"/>
  <c r="P441" i="74"/>
  <c r="M441" i="74"/>
  <c r="J441" i="74"/>
  <c r="G441" i="74"/>
  <c r="H441" i="74" s="1"/>
  <c r="AD440" i="74"/>
  <c r="U440" i="74"/>
  <c r="S440" i="74"/>
  <c r="P440" i="74"/>
  <c r="M440" i="74"/>
  <c r="J440" i="74"/>
  <c r="G440" i="74"/>
  <c r="H440" i="74" s="1"/>
  <c r="AD439" i="74"/>
  <c r="U439" i="74"/>
  <c r="S439" i="74"/>
  <c r="P439" i="74"/>
  <c r="M439" i="74"/>
  <c r="J439" i="74"/>
  <c r="G439" i="74"/>
  <c r="H439" i="74" s="1"/>
  <c r="AD438" i="74"/>
  <c r="U438" i="74"/>
  <c r="S438" i="74"/>
  <c r="P438" i="74"/>
  <c r="M438" i="74"/>
  <c r="J438" i="74"/>
  <c r="G438" i="74"/>
  <c r="H438" i="74" s="1"/>
  <c r="AD437" i="74"/>
  <c r="U437" i="74"/>
  <c r="S437" i="74"/>
  <c r="P437" i="74"/>
  <c r="M437" i="74"/>
  <c r="J437" i="74"/>
  <c r="G437" i="74"/>
  <c r="H437" i="74" s="1"/>
  <c r="AD436" i="74"/>
  <c r="U436" i="74"/>
  <c r="S436" i="74"/>
  <c r="P436" i="74"/>
  <c r="M436" i="74"/>
  <c r="J436" i="74"/>
  <c r="G436" i="74"/>
  <c r="H436" i="74" s="1"/>
  <c r="AD435" i="74"/>
  <c r="U435" i="74"/>
  <c r="S435" i="74"/>
  <c r="P435" i="74"/>
  <c r="M435" i="74"/>
  <c r="J435" i="74"/>
  <c r="G435" i="74"/>
  <c r="H435" i="74" s="1"/>
  <c r="AD434" i="74"/>
  <c r="U434" i="74"/>
  <c r="S434" i="74"/>
  <c r="P434" i="74"/>
  <c r="M434" i="74"/>
  <c r="J434" i="74"/>
  <c r="G434" i="74"/>
  <c r="H434" i="74" s="1"/>
  <c r="AD433" i="74"/>
  <c r="U433" i="74"/>
  <c r="S433" i="74"/>
  <c r="P433" i="74"/>
  <c r="M433" i="74"/>
  <c r="J433" i="74"/>
  <c r="G433" i="74"/>
  <c r="H433" i="74" s="1"/>
  <c r="AD432" i="74"/>
  <c r="U432" i="74"/>
  <c r="S432" i="74"/>
  <c r="P432" i="74"/>
  <c r="M432" i="74"/>
  <c r="J432" i="74"/>
  <c r="G432" i="74"/>
  <c r="H432" i="74" s="1"/>
  <c r="AD431" i="74"/>
  <c r="U431" i="74"/>
  <c r="S431" i="74"/>
  <c r="P431" i="74"/>
  <c r="M431" i="74"/>
  <c r="J431" i="74"/>
  <c r="G431" i="74"/>
  <c r="H431" i="74" s="1"/>
  <c r="AD430" i="74"/>
  <c r="U430" i="74"/>
  <c r="S430" i="74"/>
  <c r="P430" i="74"/>
  <c r="M430" i="74"/>
  <c r="J430" i="74"/>
  <c r="G430" i="74"/>
  <c r="H430" i="74" s="1"/>
  <c r="AD429" i="74"/>
  <c r="U429" i="74"/>
  <c r="S429" i="74"/>
  <c r="P429" i="74"/>
  <c r="M429" i="74"/>
  <c r="J429" i="74"/>
  <c r="G429" i="74"/>
  <c r="H429" i="74" s="1"/>
  <c r="AD428" i="74"/>
  <c r="U428" i="74"/>
  <c r="S428" i="74"/>
  <c r="P428" i="74"/>
  <c r="M428" i="74"/>
  <c r="J428" i="74"/>
  <c r="G428" i="74"/>
  <c r="H428" i="74" s="1"/>
  <c r="AD427" i="74"/>
  <c r="U427" i="74"/>
  <c r="S427" i="74"/>
  <c r="P427" i="74"/>
  <c r="M427" i="74"/>
  <c r="J427" i="74"/>
  <c r="G427" i="74"/>
  <c r="H427" i="74" s="1"/>
  <c r="AD426" i="74"/>
  <c r="U426" i="74"/>
  <c r="S426" i="74"/>
  <c r="P426" i="74"/>
  <c r="M426" i="74"/>
  <c r="J426" i="74"/>
  <c r="G426" i="74"/>
  <c r="H426" i="74" s="1"/>
  <c r="AD425" i="74"/>
  <c r="U425" i="74"/>
  <c r="S425" i="74"/>
  <c r="P425" i="74"/>
  <c r="M425" i="74"/>
  <c r="J425" i="74"/>
  <c r="G425" i="74"/>
  <c r="H425" i="74" s="1"/>
  <c r="AD424" i="74"/>
  <c r="U424" i="74"/>
  <c r="S424" i="74"/>
  <c r="P424" i="74"/>
  <c r="M424" i="74"/>
  <c r="J424" i="74"/>
  <c r="G424" i="74"/>
  <c r="H424" i="74" s="1"/>
  <c r="AD423" i="74"/>
  <c r="U423" i="74"/>
  <c r="S423" i="74"/>
  <c r="P423" i="74"/>
  <c r="M423" i="74"/>
  <c r="J423" i="74"/>
  <c r="G423" i="74"/>
  <c r="H423" i="74" s="1"/>
  <c r="AD422" i="74"/>
  <c r="U422" i="74"/>
  <c r="S422" i="74"/>
  <c r="P422" i="74"/>
  <c r="M422" i="74"/>
  <c r="J422" i="74"/>
  <c r="G422" i="74"/>
  <c r="H422" i="74" s="1"/>
  <c r="AD421" i="74"/>
  <c r="U421" i="74"/>
  <c r="S421" i="74"/>
  <c r="P421" i="74"/>
  <c r="M421" i="74"/>
  <c r="J421" i="74"/>
  <c r="G421" i="74"/>
  <c r="H421" i="74" s="1"/>
  <c r="AD420" i="74"/>
  <c r="U420" i="74"/>
  <c r="S420" i="74"/>
  <c r="P420" i="74"/>
  <c r="M420" i="74"/>
  <c r="J420" i="74"/>
  <c r="G420" i="74"/>
  <c r="H420" i="74" s="1"/>
  <c r="AD419" i="74"/>
  <c r="U419" i="74"/>
  <c r="S419" i="74"/>
  <c r="P419" i="74"/>
  <c r="M419" i="74"/>
  <c r="J419" i="74"/>
  <c r="G419" i="74"/>
  <c r="H419" i="74" s="1"/>
  <c r="AD418" i="74"/>
  <c r="U418" i="74"/>
  <c r="S418" i="74"/>
  <c r="P418" i="74"/>
  <c r="M418" i="74"/>
  <c r="J418" i="74"/>
  <c r="G418" i="74"/>
  <c r="H418" i="74" s="1"/>
  <c r="AD417" i="74"/>
  <c r="U417" i="74"/>
  <c r="S417" i="74"/>
  <c r="P417" i="74"/>
  <c r="M417" i="74"/>
  <c r="J417" i="74"/>
  <c r="G417" i="74"/>
  <c r="H417" i="74" s="1"/>
  <c r="AD416" i="74"/>
  <c r="U416" i="74"/>
  <c r="S416" i="74"/>
  <c r="P416" i="74"/>
  <c r="M416" i="74"/>
  <c r="J416" i="74"/>
  <c r="G416" i="74"/>
  <c r="H416" i="74" s="1"/>
  <c r="AD415" i="74"/>
  <c r="U415" i="74"/>
  <c r="S415" i="74"/>
  <c r="P415" i="74"/>
  <c r="M415" i="74"/>
  <c r="J415" i="74"/>
  <c r="G415" i="74"/>
  <c r="H415" i="74" s="1"/>
  <c r="AD414" i="74"/>
  <c r="U414" i="74"/>
  <c r="S414" i="74"/>
  <c r="P414" i="74"/>
  <c r="M414" i="74"/>
  <c r="J414" i="74"/>
  <c r="G414" i="74"/>
  <c r="H414" i="74" s="1"/>
  <c r="AD413" i="74"/>
  <c r="U413" i="74"/>
  <c r="S413" i="74"/>
  <c r="P413" i="74"/>
  <c r="M413" i="74"/>
  <c r="J413" i="74"/>
  <c r="G413" i="74"/>
  <c r="H413" i="74" s="1"/>
  <c r="AD412" i="74"/>
  <c r="U412" i="74"/>
  <c r="S412" i="74"/>
  <c r="P412" i="74"/>
  <c r="M412" i="74"/>
  <c r="J412" i="74"/>
  <c r="G412" i="74"/>
  <c r="H412" i="74" s="1"/>
  <c r="AD411" i="74"/>
  <c r="U411" i="74"/>
  <c r="S411" i="74"/>
  <c r="P411" i="74"/>
  <c r="M411" i="74"/>
  <c r="J411" i="74"/>
  <c r="G411" i="74"/>
  <c r="H411" i="74" s="1"/>
  <c r="AD410" i="74"/>
  <c r="U410" i="74"/>
  <c r="S410" i="74"/>
  <c r="P410" i="74"/>
  <c r="M410" i="74"/>
  <c r="J410" i="74"/>
  <c r="G410" i="74"/>
  <c r="H410" i="74" s="1"/>
  <c r="AD409" i="74"/>
  <c r="U409" i="74"/>
  <c r="S409" i="74"/>
  <c r="P409" i="74"/>
  <c r="M409" i="74"/>
  <c r="J409" i="74"/>
  <c r="G409" i="74"/>
  <c r="H409" i="74" s="1"/>
  <c r="AD408" i="74"/>
  <c r="U408" i="74"/>
  <c r="S408" i="74"/>
  <c r="P408" i="74"/>
  <c r="M408" i="74"/>
  <c r="J408" i="74"/>
  <c r="G408" i="74"/>
  <c r="H408" i="74" s="1"/>
  <c r="AD407" i="74"/>
  <c r="U407" i="74"/>
  <c r="S407" i="74"/>
  <c r="P407" i="74"/>
  <c r="M407" i="74"/>
  <c r="J407" i="74"/>
  <c r="G407" i="74"/>
  <c r="H407" i="74" s="1"/>
  <c r="AD406" i="74"/>
  <c r="U406" i="74"/>
  <c r="S406" i="74"/>
  <c r="P406" i="74"/>
  <c r="M406" i="74"/>
  <c r="J406" i="74"/>
  <c r="G406" i="74"/>
  <c r="H406" i="74" s="1"/>
  <c r="AD405" i="74"/>
  <c r="U405" i="74"/>
  <c r="S405" i="74"/>
  <c r="P405" i="74"/>
  <c r="M405" i="74"/>
  <c r="J405" i="74"/>
  <c r="G405" i="74"/>
  <c r="H405" i="74" s="1"/>
  <c r="AD404" i="74"/>
  <c r="U404" i="74"/>
  <c r="S404" i="74"/>
  <c r="P404" i="74"/>
  <c r="M404" i="74"/>
  <c r="J404" i="74"/>
  <c r="G404" i="74"/>
  <c r="H404" i="74" s="1"/>
  <c r="AD403" i="74"/>
  <c r="U403" i="74"/>
  <c r="S403" i="74"/>
  <c r="P403" i="74"/>
  <c r="M403" i="74"/>
  <c r="J403" i="74"/>
  <c r="G403" i="74"/>
  <c r="H403" i="74" s="1"/>
  <c r="AD402" i="74"/>
  <c r="U402" i="74"/>
  <c r="S402" i="74"/>
  <c r="P402" i="74"/>
  <c r="M402" i="74"/>
  <c r="J402" i="74"/>
  <c r="G402" i="74"/>
  <c r="H402" i="74" s="1"/>
  <c r="AD401" i="74"/>
  <c r="U401" i="74"/>
  <c r="S401" i="74"/>
  <c r="P401" i="74"/>
  <c r="M401" i="74"/>
  <c r="J401" i="74"/>
  <c r="G401" i="74"/>
  <c r="H401" i="74" s="1"/>
  <c r="AD400" i="74"/>
  <c r="U400" i="74"/>
  <c r="S400" i="74"/>
  <c r="P400" i="74"/>
  <c r="M400" i="74"/>
  <c r="J400" i="74"/>
  <c r="G400" i="74"/>
  <c r="H400" i="74" s="1"/>
  <c r="AD399" i="74"/>
  <c r="U399" i="74"/>
  <c r="S399" i="74"/>
  <c r="P399" i="74"/>
  <c r="M399" i="74"/>
  <c r="J399" i="74"/>
  <c r="G399" i="74"/>
  <c r="H399" i="74" s="1"/>
  <c r="AD398" i="74"/>
  <c r="U398" i="74"/>
  <c r="S398" i="74"/>
  <c r="P398" i="74"/>
  <c r="M398" i="74"/>
  <c r="J398" i="74"/>
  <c r="G398" i="74"/>
  <c r="H398" i="74" s="1"/>
  <c r="AD397" i="74"/>
  <c r="U397" i="74"/>
  <c r="S397" i="74"/>
  <c r="P397" i="74"/>
  <c r="M397" i="74"/>
  <c r="J397" i="74"/>
  <c r="G397" i="74"/>
  <c r="H397" i="74" s="1"/>
  <c r="AD396" i="74"/>
  <c r="U396" i="74"/>
  <c r="S396" i="74"/>
  <c r="P396" i="74"/>
  <c r="M396" i="74"/>
  <c r="J396" i="74"/>
  <c r="G396" i="74"/>
  <c r="H396" i="74" s="1"/>
  <c r="AD395" i="74"/>
  <c r="U395" i="74"/>
  <c r="S395" i="74"/>
  <c r="P395" i="74"/>
  <c r="M395" i="74"/>
  <c r="J395" i="74"/>
  <c r="G395" i="74"/>
  <c r="H395" i="74" s="1"/>
  <c r="AD394" i="74"/>
  <c r="U394" i="74"/>
  <c r="S394" i="74"/>
  <c r="P394" i="74"/>
  <c r="M394" i="74"/>
  <c r="J394" i="74"/>
  <c r="G394" i="74"/>
  <c r="H394" i="74" s="1"/>
  <c r="AD393" i="74"/>
  <c r="U393" i="74"/>
  <c r="S393" i="74"/>
  <c r="P393" i="74"/>
  <c r="M393" i="74"/>
  <c r="J393" i="74"/>
  <c r="G393" i="74"/>
  <c r="H393" i="74" s="1"/>
  <c r="AD392" i="74"/>
  <c r="U392" i="74"/>
  <c r="S392" i="74"/>
  <c r="P392" i="74"/>
  <c r="M392" i="74"/>
  <c r="J392" i="74"/>
  <c r="G392" i="74"/>
  <c r="H392" i="74" s="1"/>
  <c r="AD391" i="74"/>
  <c r="U391" i="74"/>
  <c r="S391" i="74"/>
  <c r="P391" i="74"/>
  <c r="M391" i="74"/>
  <c r="J391" i="74"/>
  <c r="G391" i="74"/>
  <c r="H391" i="74" s="1"/>
  <c r="AD390" i="74"/>
  <c r="U390" i="74"/>
  <c r="S390" i="74"/>
  <c r="P390" i="74"/>
  <c r="M390" i="74"/>
  <c r="J390" i="74"/>
  <c r="G390" i="74"/>
  <c r="H390" i="74" s="1"/>
  <c r="AD389" i="74"/>
  <c r="U389" i="74"/>
  <c r="S389" i="74"/>
  <c r="P389" i="74"/>
  <c r="M389" i="74"/>
  <c r="J389" i="74"/>
  <c r="G389" i="74"/>
  <c r="H389" i="74" s="1"/>
  <c r="AD388" i="74"/>
  <c r="U388" i="74"/>
  <c r="S388" i="74"/>
  <c r="P388" i="74"/>
  <c r="M388" i="74"/>
  <c r="J388" i="74"/>
  <c r="G388" i="74"/>
  <c r="H388" i="74" s="1"/>
  <c r="AD387" i="74"/>
  <c r="U387" i="74"/>
  <c r="S387" i="74"/>
  <c r="P387" i="74"/>
  <c r="M387" i="74"/>
  <c r="J387" i="74"/>
  <c r="G387" i="74"/>
  <c r="H387" i="74" s="1"/>
  <c r="AD386" i="74"/>
  <c r="U386" i="74"/>
  <c r="S386" i="74"/>
  <c r="P386" i="74"/>
  <c r="M386" i="74"/>
  <c r="J386" i="74"/>
  <c r="G386" i="74"/>
  <c r="H386" i="74" s="1"/>
  <c r="AD385" i="74"/>
  <c r="U385" i="74"/>
  <c r="S385" i="74"/>
  <c r="P385" i="74"/>
  <c r="M385" i="74"/>
  <c r="J385" i="74"/>
  <c r="G385" i="74"/>
  <c r="H385" i="74" s="1"/>
  <c r="AD384" i="74"/>
  <c r="U384" i="74"/>
  <c r="S384" i="74"/>
  <c r="P384" i="74"/>
  <c r="M384" i="74"/>
  <c r="J384" i="74"/>
  <c r="G384" i="74"/>
  <c r="H384" i="74" s="1"/>
  <c r="AD383" i="74"/>
  <c r="U383" i="74"/>
  <c r="S383" i="74"/>
  <c r="P383" i="74"/>
  <c r="M383" i="74"/>
  <c r="J383" i="74"/>
  <c r="G383" i="74"/>
  <c r="H383" i="74" s="1"/>
  <c r="AD382" i="74"/>
  <c r="U382" i="74"/>
  <c r="S382" i="74"/>
  <c r="P382" i="74"/>
  <c r="M382" i="74"/>
  <c r="J382" i="74"/>
  <c r="G382" i="74"/>
  <c r="H382" i="74" s="1"/>
  <c r="AD381" i="74"/>
  <c r="U381" i="74"/>
  <c r="S381" i="74"/>
  <c r="P381" i="74"/>
  <c r="M381" i="74"/>
  <c r="J381" i="74"/>
  <c r="G381" i="74"/>
  <c r="H381" i="74" s="1"/>
  <c r="AD380" i="74"/>
  <c r="U380" i="74"/>
  <c r="S380" i="74"/>
  <c r="P380" i="74"/>
  <c r="M380" i="74"/>
  <c r="J380" i="74"/>
  <c r="G380" i="74"/>
  <c r="H380" i="74" s="1"/>
  <c r="AD379" i="74"/>
  <c r="U379" i="74"/>
  <c r="S379" i="74"/>
  <c r="P379" i="74"/>
  <c r="M379" i="74"/>
  <c r="J379" i="74"/>
  <c r="G379" i="74"/>
  <c r="H379" i="74" s="1"/>
  <c r="AD378" i="74"/>
  <c r="U378" i="74"/>
  <c r="S378" i="74"/>
  <c r="P378" i="74"/>
  <c r="M378" i="74"/>
  <c r="J378" i="74"/>
  <c r="G378" i="74"/>
  <c r="H378" i="74" s="1"/>
  <c r="AD377" i="74"/>
  <c r="U377" i="74"/>
  <c r="S377" i="74"/>
  <c r="P377" i="74"/>
  <c r="M377" i="74"/>
  <c r="J377" i="74"/>
  <c r="G377" i="74"/>
  <c r="H377" i="74" s="1"/>
  <c r="AD376" i="74"/>
  <c r="U376" i="74"/>
  <c r="S376" i="74"/>
  <c r="P376" i="74"/>
  <c r="M376" i="74"/>
  <c r="J376" i="74"/>
  <c r="G376" i="74"/>
  <c r="H376" i="74" s="1"/>
  <c r="AD375" i="74"/>
  <c r="U375" i="74"/>
  <c r="S375" i="74"/>
  <c r="P375" i="74"/>
  <c r="M375" i="74"/>
  <c r="J375" i="74"/>
  <c r="G375" i="74"/>
  <c r="H375" i="74" s="1"/>
  <c r="AD374" i="74"/>
  <c r="U374" i="74"/>
  <c r="S374" i="74"/>
  <c r="P374" i="74"/>
  <c r="M374" i="74"/>
  <c r="J374" i="74"/>
  <c r="G374" i="74"/>
  <c r="H374" i="74" s="1"/>
  <c r="AD373" i="74"/>
  <c r="U373" i="74"/>
  <c r="S373" i="74"/>
  <c r="P373" i="74"/>
  <c r="M373" i="74"/>
  <c r="J373" i="74"/>
  <c r="G373" i="74"/>
  <c r="H373" i="74" s="1"/>
  <c r="AD372" i="74"/>
  <c r="U372" i="74"/>
  <c r="S372" i="74"/>
  <c r="P372" i="74"/>
  <c r="M372" i="74"/>
  <c r="J372" i="74"/>
  <c r="G372" i="74"/>
  <c r="H372" i="74" s="1"/>
  <c r="AD371" i="74"/>
  <c r="U371" i="74"/>
  <c r="S371" i="74"/>
  <c r="P371" i="74"/>
  <c r="M371" i="74"/>
  <c r="J371" i="74"/>
  <c r="G371" i="74"/>
  <c r="H371" i="74" s="1"/>
  <c r="AD370" i="74"/>
  <c r="U370" i="74"/>
  <c r="S370" i="74"/>
  <c r="P370" i="74"/>
  <c r="M370" i="74"/>
  <c r="J370" i="74"/>
  <c r="G370" i="74"/>
  <c r="H370" i="74" s="1"/>
  <c r="AD369" i="74"/>
  <c r="U369" i="74"/>
  <c r="S369" i="74"/>
  <c r="P369" i="74"/>
  <c r="M369" i="74"/>
  <c r="J369" i="74"/>
  <c r="G369" i="74"/>
  <c r="H369" i="74" s="1"/>
  <c r="AD368" i="74"/>
  <c r="U368" i="74"/>
  <c r="S368" i="74"/>
  <c r="P368" i="74"/>
  <c r="M368" i="74"/>
  <c r="J368" i="74"/>
  <c r="G368" i="74"/>
  <c r="H368" i="74" s="1"/>
  <c r="AD367" i="74"/>
  <c r="U367" i="74"/>
  <c r="S367" i="74"/>
  <c r="P367" i="74"/>
  <c r="M367" i="74"/>
  <c r="J367" i="74"/>
  <c r="G367" i="74"/>
  <c r="H367" i="74" s="1"/>
  <c r="AD366" i="74"/>
  <c r="U366" i="74"/>
  <c r="S366" i="74"/>
  <c r="P366" i="74"/>
  <c r="M366" i="74"/>
  <c r="J366" i="74"/>
  <c r="G366" i="74"/>
  <c r="H366" i="74" s="1"/>
  <c r="AD365" i="74"/>
  <c r="U365" i="74"/>
  <c r="S365" i="74"/>
  <c r="P365" i="74"/>
  <c r="M365" i="74"/>
  <c r="J365" i="74"/>
  <c r="G365" i="74"/>
  <c r="H365" i="74" s="1"/>
  <c r="AD364" i="74"/>
  <c r="U364" i="74"/>
  <c r="S364" i="74"/>
  <c r="P364" i="74"/>
  <c r="M364" i="74"/>
  <c r="J364" i="74"/>
  <c r="G364" i="74"/>
  <c r="H364" i="74" s="1"/>
  <c r="AD363" i="74"/>
  <c r="U363" i="74"/>
  <c r="S363" i="74"/>
  <c r="P363" i="74"/>
  <c r="M363" i="74"/>
  <c r="J363" i="74"/>
  <c r="G363" i="74"/>
  <c r="H363" i="74" s="1"/>
  <c r="AD362" i="74"/>
  <c r="U362" i="74"/>
  <c r="S362" i="74"/>
  <c r="P362" i="74"/>
  <c r="M362" i="74"/>
  <c r="J362" i="74"/>
  <c r="G362" i="74"/>
  <c r="H362" i="74" s="1"/>
  <c r="AD361" i="74"/>
  <c r="U361" i="74"/>
  <c r="S361" i="74"/>
  <c r="P361" i="74"/>
  <c r="M361" i="74"/>
  <c r="J361" i="74"/>
  <c r="G361" i="74"/>
  <c r="H361" i="74" s="1"/>
  <c r="AD360" i="74"/>
  <c r="U360" i="74"/>
  <c r="S360" i="74"/>
  <c r="P360" i="74"/>
  <c r="M360" i="74"/>
  <c r="J360" i="74"/>
  <c r="G360" i="74"/>
  <c r="H360" i="74" s="1"/>
  <c r="AD359" i="74"/>
  <c r="U359" i="74"/>
  <c r="S359" i="74"/>
  <c r="P359" i="74"/>
  <c r="M359" i="74"/>
  <c r="J359" i="74"/>
  <c r="G359" i="74"/>
  <c r="H359" i="74" s="1"/>
  <c r="AD358" i="74"/>
  <c r="U358" i="74"/>
  <c r="S358" i="74"/>
  <c r="P358" i="74"/>
  <c r="M358" i="74"/>
  <c r="J358" i="74"/>
  <c r="G358" i="74"/>
  <c r="H358" i="74" s="1"/>
  <c r="AD357" i="74"/>
  <c r="U357" i="74"/>
  <c r="S357" i="74"/>
  <c r="P357" i="74"/>
  <c r="M357" i="74"/>
  <c r="J357" i="74"/>
  <c r="G357" i="74"/>
  <c r="H357" i="74" s="1"/>
  <c r="AD356" i="74"/>
  <c r="U356" i="74"/>
  <c r="S356" i="74"/>
  <c r="P356" i="74"/>
  <c r="M356" i="74"/>
  <c r="J356" i="74"/>
  <c r="G356" i="74"/>
  <c r="H356" i="74" s="1"/>
  <c r="AD355" i="74"/>
  <c r="U355" i="74"/>
  <c r="S355" i="74"/>
  <c r="P355" i="74"/>
  <c r="M355" i="74"/>
  <c r="J355" i="74"/>
  <c r="G355" i="74"/>
  <c r="H355" i="74" s="1"/>
  <c r="AD354" i="74"/>
  <c r="U354" i="74"/>
  <c r="S354" i="74"/>
  <c r="P354" i="74"/>
  <c r="M354" i="74"/>
  <c r="J354" i="74"/>
  <c r="G354" i="74"/>
  <c r="H354" i="74" s="1"/>
  <c r="AD353" i="74"/>
  <c r="U353" i="74"/>
  <c r="S353" i="74"/>
  <c r="P353" i="74"/>
  <c r="M353" i="74"/>
  <c r="J353" i="74"/>
  <c r="G353" i="74"/>
  <c r="H353" i="74" s="1"/>
  <c r="AD352" i="74"/>
  <c r="U352" i="74"/>
  <c r="S352" i="74"/>
  <c r="P352" i="74"/>
  <c r="M352" i="74"/>
  <c r="J352" i="74"/>
  <c r="G352" i="74"/>
  <c r="H352" i="74" s="1"/>
  <c r="AD351" i="74"/>
  <c r="U351" i="74"/>
  <c r="S351" i="74"/>
  <c r="P351" i="74"/>
  <c r="M351" i="74"/>
  <c r="J351" i="74"/>
  <c r="G351" i="74"/>
  <c r="H351" i="74" s="1"/>
  <c r="AD350" i="74"/>
  <c r="U350" i="74"/>
  <c r="S350" i="74"/>
  <c r="P350" i="74"/>
  <c r="M350" i="74"/>
  <c r="J350" i="74"/>
  <c r="G350" i="74"/>
  <c r="H350" i="74" s="1"/>
  <c r="AD349" i="74"/>
  <c r="U349" i="74"/>
  <c r="S349" i="74"/>
  <c r="P349" i="74"/>
  <c r="M349" i="74"/>
  <c r="J349" i="74"/>
  <c r="G349" i="74"/>
  <c r="H349" i="74" s="1"/>
  <c r="AD348" i="74"/>
  <c r="U348" i="74"/>
  <c r="S348" i="74"/>
  <c r="P348" i="74"/>
  <c r="M348" i="74"/>
  <c r="J348" i="74"/>
  <c r="G348" i="74"/>
  <c r="H348" i="74" s="1"/>
  <c r="AD347" i="74"/>
  <c r="U347" i="74"/>
  <c r="S347" i="74"/>
  <c r="P347" i="74"/>
  <c r="M347" i="74"/>
  <c r="J347" i="74"/>
  <c r="G347" i="74"/>
  <c r="H347" i="74" s="1"/>
  <c r="AD346" i="74"/>
  <c r="U346" i="74"/>
  <c r="S346" i="74"/>
  <c r="P346" i="74"/>
  <c r="M346" i="74"/>
  <c r="J346" i="74"/>
  <c r="G346" i="74"/>
  <c r="H346" i="74" s="1"/>
  <c r="AD345" i="74"/>
  <c r="U345" i="74"/>
  <c r="S345" i="74"/>
  <c r="P345" i="74"/>
  <c r="M345" i="74"/>
  <c r="J345" i="74"/>
  <c r="G345" i="74"/>
  <c r="H345" i="74" s="1"/>
  <c r="AD344" i="74"/>
  <c r="U344" i="74"/>
  <c r="S344" i="74"/>
  <c r="P344" i="74"/>
  <c r="M344" i="74"/>
  <c r="J344" i="74"/>
  <c r="G344" i="74"/>
  <c r="H344" i="74" s="1"/>
  <c r="AD343" i="74"/>
  <c r="U343" i="74"/>
  <c r="S343" i="74"/>
  <c r="P343" i="74"/>
  <c r="M343" i="74"/>
  <c r="J343" i="74"/>
  <c r="G343" i="74"/>
  <c r="H343" i="74" s="1"/>
  <c r="AD342" i="74"/>
  <c r="U342" i="74"/>
  <c r="S342" i="74"/>
  <c r="P342" i="74"/>
  <c r="M342" i="74"/>
  <c r="J342" i="74"/>
  <c r="G342" i="74"/>
  <c r="H342" i="74" s="1"/>
  <c r="AD341" i="74"/>
  <c r="U341" i="74"/>
  <c r="S341" i="74"/>
  <c r="P341" i="74"/>
  <c r="M341" i="74"/>
  <c r="J341" i="74"/>
  <c r="G341" i="74"/>
  <c r="H341" i="74" s="1"/>
  <c r="AD340" i="74"/>
  <c r="U340" i="74"/>
  <c r="S340" i="74"/>
  <c r="P340" i="74"/>
  <c r="M340" i="74"/>
  <c r="J340" i="74"/>
  <c r="G340" i="74"/>
  <c r="H340" i="74" s="1"/>
  <c r="AD339" i="74"/>
  <c r="U339" i="74"/>
  <c r="S339" i="74"/>
  <c r="P339" i="74"/>
  <c r="M339" i="74"/>
  <c r="J339" i="74"/>
  <c r="G339" i="74"/>
  <c r="H339" i="74" s="1"/>
  <c r="AD338" i="74"/>
  <c r="U338" i="74"/>
  <c r="S338" i="74"/>
  <c r="P338" i="74"/>
  <c r="M338" i="74"/>
  <c r="J338" i="74"/>
  <c r="G338" i="74"/>
  <c r="H338" i="74" s="1"/>
  <c r="AD337" i="74"/>
  <c r="U337" i="74"/>
  <c r="S337" i="74"/>
  <c r="P337" i="74"/>
  <c r="M337" i="74"/>
  <c r="J337" i="74"/>
  <c r="G337" i="74"/>
  <c r="H337" i="74" s="1"/>
  <c r="AD336" i="74"/>
  <c r="U336" i="74"/>
  <c r="S336" i="74"/>
  <c r="P336" i="74"/>
  <c r="M336" i="74"/>
  <c r="J336" i="74"/>
  <c r="G336" i="74"/>
  <c r="H336" i="74" s="1"/>
  <c r="AD335" i="74"/>
  <c r="U335" i="74"/>
  <c r="S335" i="74"/>
  <c r="P335" i="74"/>
  <c r="M335" i="74"/>
  <c r="J335" i="74"/>
  <c r="G335" i="74"/>
  <c r="H335" i="74" s="1"/>
  <c r="AD334" i="74"/>
  <c r="U334" i="74"/>
  <c r="S334" i="74"/>
  <c r="P334" i="74"/>
  <c r="M334" i="74"/>
  <c r="J334" i="74"/>
  <c r="G334" i="74"/>
  <c r="H334" i="74" s="1"/>
  <c r="AD333" i="74"/>
  <c r="U333" i="74"/>
  <c r="S333" i="74"/>
  <c r="P333" i="74"/>
  <c r="M333" i="74"/>
  <c r="J333" i="74"/>
  <c r="G333" i="74"/>
  <c r="H333" i="74" s="1"/>
  <c r="AD332" i="74"/>
  <c r="U332" i="74"/>
  <c r="S332" i="74"/>
  <c r="P332" i="74"/>
  <c r="M332" i="74"/>
  <c r="J332" i="74"/>
  <c r="G332" i="74"/>
  <c r="H332" i="74" s="1"/>
  <c r="AD331" i="74"/>
  <c r="U331" i="74"/>
  <c r="S331" i="74"/>
  <c r="P331" i="74"/>
  <c r="M331" i="74"/>
  <c r="J331" i="74"/>
  <c r="G331" i="74"/>
  <c r="H331" i="74" s="1"/>
  <c r="AD330" i="74"/>
  <c r="U330" i="74"/>
  <c r="S330" i="74"/>
  <c r="P330" i="74"/>
  <c r="M330" i="74"/>
  <c r="J330" i="74"/>
  <c r="G330" i="74"/>
  <c r="H330" i="74" s="1"/>
  <c r="AD329" i="74"/>
  <c r="U329" i="74"/>
  <c r="S329" i="74"/>
  <c r="P329" i="74"/>
  <c r="M329" i="74"/>
  <c r="J329" i="74"/>
  <c r="G329" i="74"/>
  <c r="H329" i="74" s="1"/>
  <c r="AD328" i="74"/>
  <c r="U328" i="74"/>
  <c r="S328" i="74"/>
  <c r="P328" i="74"/>
  <c r="M328" i="74"/>
  <c r="J328" i="74"/>
  <c r="G328" i="74"/>
  <c r="H328" i="74" s="1"/>
  <c r="AD327" i="74"/>
  <c r="U327" i="74"/>
  <c r="S327" i="74"/>
  <c r="P327" i="74"/>
  <c r="M327" i="74"/>
  <c r="J327" i="74"/>
  <c r="G327" i="74"/>
  <c r="H327" i="74" s="1"/>
  <c r="AD326" i="74"/>
  <c r="U326" i="74"/>
  <c r="S326" i="74"/>
  <c r="P326" i="74"/>
  <c r="M326" i="74"/>
  <c r="J326" i="74"/>
  <c r="G326" i="74"/>
  <c r="H326" i="74" s="1"/>
  <c r="AD325" i="74"/>
  <c r="U325" i="74"/>
  <c r="S325" i="74"/>
  <c r="P325" i="74"/>
  <c r="M325" i="74"/>
  <c r="J325" i="74"/>
  <c r="G325" i="74"/>
  <c r="H325" i="74" s="1"/>
  <c r="AD324" i="74"/>
  <c r="U324" i="74"/>
  <c r="S324" i="74"/>
  <c r="P324" i="74"/>
  <c r="M324" i="74"/>
  <c r="J324" i="74"/>
  <c r="G324" i="74"/>
  <c r="H324" i="74" s="1"/>
  <c r="AD323" i="74"/>
  <c r="U323" i="74"/>
  <c r="S323" i="74"/>
  <c r="P323" i="74"/>
  <c r="M323" i="74"/>
  <c r="J323" i="74"/>
  <c r="G323" i="74"/>
  <c r="H323" i="74" s="1"/>
  <c r="AD322" i="74"/>
  <c r="U322" i="74"/>
  <c r="S322" i="74"/>
  <c r="P322" i="74"/>
  <c r="M322" i="74"/>
  <c r="J322" i="74"/>
  <c r="G322" i="74"/>
  <c r="H322" i="74" s="1"/>
  <c r="AD321" i="74"/>
  <c r="U321" i="74"/>
  <c r="S321" i="74"/>
  <c r="P321" i="74"/>
  <c r="M321" i="74"/>
  <c r="J321" i="74"/>
  <c r="G321" i="74"/>
  <c r="H321" i="74" s="1"/>
  <c r="AD320" i="74"/>
  <c r="U320" i="74"/>
  <c r="S320" i="74"/>
  <c r="P320" i="74"/>
  <c r="M320" i="74"/>
  <c r="J320" i="74"/>
  <c r="G320" i="74"/>
  <c r="H320" i="74" s="1"/>
  <c r="AD319" i="74"/>
  <c r="U319" i="74"/>
  <c r="S319" i="74"/>
  <c r="P319" i="74"/>
  <c r="M319" i="74"/>
  <c r="J319" i="74"/>
  <c r="G319" i="74"/>
  <c r="H319" i="74" s="1"/>
  <c r="AD318" i="74"/>
  <c r="U318" i="74"/>
  <c r="S318" i="74"/>
  <c r="P318" i="74"/>
  <c r="M318" i="74"/>
  <c r="J318" i="74"/>
  <c r="G318" i="74"/>
  <c r="H318" i="74" s="1"/>
  <c r="AD317" i="74"/>
  <c r="U317" i="74"/>
  <c r="S317" i="74"/>
  <c r="P317" i="74"/>
  <c r="M317" i="74"/>
  <c r="J317" i="74"/>
  <c r="G317" i="74"/>
  <c r="H317" i="74" s="1"/>
  <c r="AD316" i="74"/>
  <c r="U316" i="74"/>
  <c r="S316" i="74"/>
  <c r="P316" i="74"/>
  <c r="M316" i="74"/>
  <c r="J316" i="74"/>
  <c r="G316" i="74"/>
  <c r="H316" i="74" s="1"/>
  <c r="AD315" i="74"/>
  <c r="U315" i="74"/>
  <c r="S315" i="74"/>
  <c r="P315" i="74"/>
  <c r="M315" i="74"/>
  <c r="J315" i="74"/>
  <c r="G315" i="74"/>
  <c r="H315" i="74" s="1"/>
  <c r="AD314" i="74"/>
  <c r="U314" i="74"/>
  <c r="S314" i="74"/>
  <c r="P314" i="74"/>
  <c r="M314" i="74"/>
  <c r="J314" i="74"/>
  <c r="G314" i="74"/>
  <c r="H314" i="74" s="1"/>
  <c r="AD313" i="74"/>
  <c r="U313" i="74"/>
  <c r="S313" i="74"/>
  <c r="P313" i="74"/>
  <c r="M313" i="74"/>
  <c r="J313" i="74"/>
  <c r="G313" i="74"/>
  <c r="H313" i="74" s="1"/>
  <c r="AD312" i="74"/>
  <c r="U312" i="74"/>
  <c r="S312" i="74"/>
  <c r="P312" i="74"/>
  <c r="M312" i="74"/>
  <c r="J312" i="74"/>
  <c r="G312" i="74"/>
  <c r="H312" i="74" s="1"/>
  <c r="AD311" i="74"/>
  <c r="U311" i="74"/>
  <c r="S311" i="74"/>
  <c r="P311" i="74"/>
  <c r="M311" i="74"/>
  <c r="J311" i="74"/>
  <c r="G311" i="74"/>
  <c r="H311" i="74" s="1"/>
  <c r="AD310" i="74"/>
  <c r="U310" i="74"/>
  <c r="S310" i="74"/>
  <c r="P310" i="74"/>
  <c r="M310" i="74"/>
  <c r="J310" i="74"/>
  <c r="G310" i="74"/>
  <c r="H310" i="74" s="1"/>
  <c r="AD309" i="74"/>
  <c r="U309" i="74"/>
  <c r="S309" i="74"/>
  <c r="P309" i="74"/>
  <c r="M309" i="74"/>
  <c r="J309" i="74"/>
  <c r="G309" i="74"/>
  <c r="H309" i="74" s="1"/>
  <c r="AD308" i="74"/>
  <c r="U308" i="74"/>
  <c r="S308" i="74"/>
  <c r="P308" i="74"/>
  <c r="M308" i="74"/>
  <c r="J308" i="74"/>
  <c r="G308" i="74"/>
  <c r="H308" i="74" s="1"/>
  <c r="AD307" i="74"/>
  <c r="U307" i="74"/>
  <c r="S307" i="74"/>
  <c r="P307" i="74"/>
  <c r="M307" i="74"/>
  <c r="J307" i="74"/>
  <c r="G307" i="74"/>
  <c r="H307" i="74" s="1"/>
  <c r="AD306" i="74"/>
  <c r="U306" i="74"/>
  <c r="S306" i="74"/>
  <c r="P306" i="74"/>
  <c r="M306" i="74"/>
  <c r="J306" i="74"/>
  <c r="G306" i="74"/>
  <c r="H306" i="74" s="1"/>
  <c r="AD305" i="74"/>
  <c r="U305" i="74"/>
  <c r="S305" i="74"/>
  <c r="P305" i="74"/>
  <c r="M305" i="74"/>
  <c r="J305" i="74"/>
  <c r="G305" i="74"/>
  <c r="H305" i="74" s="1"/>
  <c r="AD304" i="74"/>
  <c r="U304" i="74"/>
  <c r="S304" i="74"/>
  <c r="P304" i="74"/>
  <c r="M304" i="74"/>
  <c r="J304" i="74"/>
  <c r="G304" i="74"/>
  <c r="H304" i="74" s="1"/>
  <c r="AD303" i="74"/>
  <c r="U303" i="74"/>
  <c r="S303" i="74"/>
  <c r="P303" i="74"/>
  <c r="M303" i="74"/>
  <c r="J303" i="74"/>
  <c r="G303" i="74"/>
  <c r="H303" i="74" s="1"/>
  <c r="AD302" i="74"/>
  <c r="U302" i="74"/>
  <c r="S302" i="74"/>
  <c r="P302" i="74"/>
  <c r="M302" i="74"/>
  <c r="J302" i="74"/>
  <c r="G302" i="74"/>
  <c r="H302" i="74" s="1"/>
  <c r="AD301" i="74"/>
  <c r="U301" i="74"/>
  <c r="S301" i="74"/>
  <c r="P301" i="74"/>
  <c r="M301" i="74"/>
  <c r="J301" i="74"/>
  <c r="G301" i="74"/>
  <c r="H301" i="74" s="1"/>
  <c r="AD300" i="74"/>
  <c r="U300" i="74"/>
  <c r="S300" i="74"/>
  <c r="P300" i="74"/>
  <c r="M300" i="74"/>
  <c r="J300" i="74"/>
  <c r="G300" i="74"/>
  <c r="H300" i="74" s="1"/>
  <c r="AD299" i="74"/>
  <c r="U299" i="74"/>
  <c r="S299" i="74"/>
  <c r="P299" i="74"/>
  <c r="M299" i="74"/>
  <c r="J299" i="74"/>
  <c r="G299" i="74"/>
  <c r="H299" i="74" s="1"/>
  <c r="AD298" i="74"/>
  <c r="U298" i="74"/>
  <c r="S298" i="74"/>
  <c r="P298" i="74"/>
  <c r="M298" i="74"/>
  <c r="J298" i="74"/>
  <c r="G298" i="74"/>
  <c r="H298" i="74" s="1"/>
  <c r="AD297" i="74"/>
  <c r="U297" i="74"/>
  <c r="S297" i="74"/>
  <c r="P297" i="74"/>
  <c r="M297" i="74"/>
  <c r="J297" i="74"/>
  <c r="G297" i="74"/>
  <c r="H297" i="74" s="1"/>
  <c r="AD296" i="74"/>
  <c r="U296" i="74"/>
  <c r="S296" i="74"/>
  <c r="P296" i="74"/>
  <c r="M296" i="74"/>
  <c r="J296" i="74"/>
  <c r="G296" i="74"/>
  <c r="H296" i="74" s="1"/>
  <c r="AD295" i="74"/>
  <c r="U295" i="74"/>
  <c r="S295" i="74"/>
  <c r="P295" i="74"/>
  <c r="M295" i="74"/>
  <c r="J295" i="74"/>
  <c r="G295" i="74"/>
  <c r="H295" i="74" s="1"/>
  <c r="AD294" i="74"/>
  <c r="U294" i="74"/>
  <c r="S294" i="74"/>
  <c r="P294" i="74"/>
  <c r="M294" i="74"/>
  <c r="J294" i="74"/>
  <c r="G294" i="74"/>
  <c r="H294" i="74" s="1"/>
  <c r="AD293" i="74"/>
  <c r="U293" i="74"/>
  <c r="S293" i="74"/>
  <c r="P293" i="74"/>
  <c r="M293" i="74"/>
  <c r="J293" i="74"/>
  <c r="G293" i="74"/>
  <c r="H293" i="74" s="1"/>
  <c r="AD292" i="74"/>
  <c r="U292" i="74"/>
  <c r="S292" i="74"/>
  <c r="P292" i="74"/>
  <c r="M292" i="74"/>
  <c r="J292" i="74"/>
  <c r="G292" i="74"/>
  <c r="H292" i="74" s="1"/>
  <c r="AD291" i="74"/>
  <c r="U291" i="74"/>
  <c r="S291" i="74"/>
  <c r="P291" i="74"/>
  <c r="M291" i="74"/>
  <c r="J291" i="74"/>
  <c r="G291" i="74"/>
  <c r="H291" i="74" s="1"/>
  <c r="AD290" i="74"/>
  <c r="U290" i="74"/>
  <c r="S290" i="74"/>
  <c r="P290" i="74"/>
  <c r="M290" i="74"/>
  <c r="J290" i="74"/>
  <c r="G290" i="74"/>
  <c r="H290" i="74" s="1"/>
  <c r="AD289" i="74"/>
  <c r="U289" i="74"/>
  <c r="S289" i="74"/>
  <c r="P289" i="74"/>
  <c r="M289" i="74"/>
  <c r="J289" i="74"/>
  <c r="G289" i="74"/>
  <c r="H289" i="74" s="1"/>
  <c r="AD288" i="74"/>
  <c r="U288" i="74"/>
  <c r="S288" i="74"/>
  <c r="P288" i="74"/>
  <c r="M288" i="74"/>
  <c r="J288" i="74"/>
  <c r="G288" i="74"/>
  <c r="H288" i="74" s="1"/>
  <c r="AD287" i="74"/>
  <c r="U287" i="74"/>
  <c r="S287" i="74"/>
  <c r="P287" i="74"/>
  <c r="M287" i="74"/>
  <c r="J287" i="74"/>
  <c r="G287" i="74"/>
  <c r="H287" i="74" s="1"/>
  <c r="AD286" i="74"/>
  <c r="U286" i="74"/>
  <c r="S286" i="74"/>
  <c r="P286" i="74"/>
  <c r="M286" i="74"/>
  <c r="J286" i="74"/>
  <c r="G286" i="74"/>
  <c r="H286" i="74" s="1"/>
  <c r="AD285" i="74"/>
  <c r="U285" i="74"/>
  <c r="S285" i="74"/>
  <c r="P285" i="74"/>
  <c r="M285" i="74"/>
  <c r="J285" i="74"/>
  <c r="G285" i="74"/>
  <c r="H285" i="74" s="1"/>
  <c r="AD284" i="74"/>
  <c r="U284" i="74"/>
  <c r="S284" i="74"/>
  <c r="P284" i="74"/>
  <c r="M284" i="74"/>
  <c r="J284" i="74"/>
  <c r="G284" i="74"/>
  <c r="H284" i="74" s="1"/>
  <c r="AD283" i="74"/>
  <c r="U283" i="74"/>
  <c r="S283" i="74"/>
  <c r="P283" i="74"/>
  <c r="M283" i="74"/>
  <c r="J283" i="74"/>
  <c r="G283" i="74"/>
  <c r="H283" i="74" s="1"/>
  <c r="AD282" i="74"/>
  <c r="U282" i="74"/>
  <c r="S282" i="74"/>
  <c r="P282" i="74"/>
  <c r="M282" i="74"/>
  <c r="J282" i="74"/>
  <c r="G282" i="74"/>
  <c r="H282" i="74" s="1"/>
  <c r="AD281" i="74"/>
  <c r="U281" i="74"/>
  <c r="S281" i="74"/>
  <c r="P281" i="74"/>
  <c r="M281" i="74"/>
  <c r="J281" i="74"/>
  <c r="G281" i="74"/>
  <c r="H281" i="74" s="1"/>
  <c r="AD280" i="74"/>
  <c r="U280" i="74"/>
  <c r="S280" i="74"/>
  <c r="P280" i="74"/>
  <c r="M280" i="74"/>
  <c r="J280" i="74"/>
  <c r="G280" i="74"/>
  <c r="H280" i="74" s="1"/>
  <c r="AD279" i="74"/>
  <c r="U279" i="74"/>
  <c r="S279" i="74"/>
  <c r="P279" i="74"/>
  <c r="M279" i="74"/>
  <c r="J279" i="74"/>
  <c r="G279" i="74"/>
  <c r="H279" i="74" s="1"/>
  <c r="AD278" i="74"/>
  <c r="U278" i="74"/>
  <c r="S278" i="74"/>
  <c r="P278" i="74"/>
  <c r="M278" i="74"/>
  <c r="J278" i="74"/>
  <c r="G278" i="74"/>
  <c r="H278" i="74" s="1"/>
  <c r="AD277" i="74"/>
  <c r="U277" i="74"/>
  <c r="S277" i="74"/>
  <c r="P277" i="74"/>
  <c r="M277" i="74"/>
  <c r="J277" i="74"/>
  <c r="G277" i="74"/>
  <c r="H277" i="74" s="1"/>
  <c r="AD276" i="74"/>
  <c r="U276" i="74"/>
  <c r="S276" i="74"/>
  <c r="P276" i="74"/>
  <c r="M276" i="74"/>
  <c r="J276" i="74"/>
  <c r="G276" i="74"/>
  <c r="H276" i="74" s="1"/>
  <c r="AD275" i="74"/>
  <c r="U275" i="74"/>
  <c r="S275" i="74"/>
  <c r="P275" i="74"/>
  <c r="M275" i="74"/>
  <c r="J275" i="74"/>
  <c r="G275" i="74"/>
  <c r="H275" i="74" s="1"/>
  <c r="AD274" i="74"/>
  <c r="U274" i="74"/>
  <c r="S274" i="74"/>
  <c r="P274" i="74"/>
  <c r="M274" i="74"/>
  <c r="J274" i="74"/>
  <c r="G274" i="74"/>
  <c r="H274" i="74" s="1"/>
  <c r="AD273" i="74"/>
  <c r="U273" i="74"/>
  <c r="S273" i="74"/>
  <c r="P273" i="74"/>
  <c r="M273" i="74"/>
  <c r="J273" i="74"/>
  <c r="G273" i="74"/>
  <c r="H273" i="74" s="1"/>
  <c r="AD272" i="74"/>
  <c r="U272" i="74"/>
  <c r="S272" i="74"/>
  <c r="P272" i="74"/>
  <c r="M272" i="74"/>
  <c r="J272" i="74"/>
  <c r="G272" i="74"/>
  <c r="H272" i="74" s="1"/>
  <c r="AD271" i="74"/>
  <c r="U271" i="74"/>
  <c r="S271" i="74"/>
  <c r="P271" i="74"/>
  <c r="M271" i="74"/>
  <c r="J271" i="74"/>
  <c r="G271" i="74"/>
  <c r="H271" i="74" s="1"/>
  <c r="AD270" i="74"/>
  <c r="U270" i="74"/>
  <c r="S270" i="74"/>
  <c r="P270" i="74"/>
  <c r="M270" i="74"/>
  <c r="J270" i="74"/>
  <c r="G270" i="74"/>
  <c r="H270" i="74" s="1"/>
  <c r="AD269" i="74"/>
  <c r="U269" i="74"/>
  <c r="S269" i="74"/>
  <c r="P269" i="74"/>
  <c r="M269" i="74"/>
  <c r="J269" i="74"/>
  <c r="G269" i="74"/>
  <c r="H269" i="74" s="1"/>
  <c r="AD268" i="74"/>
  <c r="U268" i="74"/>
  <c r="S268" i="74"/>
  <c r="P268" i="74"/>
  <c r="M268" i="74"/>
  <c r="J268" i="74"/>
  <c r="G268" i="74"/>
  <c r="H268" i="74" s="1"/>
  <c r="AD267" i="74"/>
  <c r="U267" i="74"/>
  <c r="S267" i="74"/>
  <c r="P267" i="74"/>
  <c r="M267" i="74"/>
  <c r="J267" i="74"/>
  <c r="G267" i="74"/>
  <c r="H267" i="74" s="1"/>
  <c r="AD266" i="74"/>
  <c r="U266" i="74"/>
  <c r="S266" i="74"/>
  <c r="P266" i="74"/>
  <c r="M266" i="74"/>
  <c r="J266" i="74"/>
  <c r="G266" i="74"/>
  <c r="H266" i="74" s="1"/>
  <c r="AD265" i="74"/>
  <c r="U265" i="74"/>
  <c r="S265" i="74"/>
  <c r="P265" i="74"/>
  <c r="M265" i="74"/>
  <c r="J265" i="74"/>
  <c r="G265" i="74"/>
  <c r="H265" i="74" s="1"/>
  <c r="AD264" i="74"/>
  <c r="U264" i="74"/>
  <c r="S264" i="74"/>
  <c r="P264" i="74"/>
  <c r="M264" i="74"/>
  <c r="J264" i="74"/>
  <c r="G264" i="74"/>
  <c r="H264" i="74" s="1"/>
  <c r="AD263" i="74"/>
  <c r="U263" i="74"/>
  <c r="S263" i="74"/>
  <c r="P263" i="74"/>
  <c r="M263" i="74"/>
  <c r="J263" i="74"/>
  <c r="G263" i="74"/>
  <c r="H263" i="74" s="1"/>
  <c r="AD262" i="74"/>
  <c r="U262" i="74"/>
  <c r="S262" i="74"/>
  <c r="P262" i="74"/>
  <c r="M262" i="74"/>
  <c r="J262" i="74"/>
  <c r="G262" i="74"/>
  <c r="H262" i="74" s="1"/>
  <c r="AD261" i="74"/>
  <c r="U261" i="74"/>
  <c r="S261" i="74"/>
  <c r="P261" i="74"/>
  <c r="M261" i="74"/>
  <c r="J261" i="74"/>
  <c r="G261" i="74"/>
  <c r="H261" i="74" s="1"/>
  <c r="AD260" i="74"/>
  <c r="U260" i="74"/>
  <c r="S260" i="74"/>
  <c r="P260" i="74"/>
  <c r="M260" i="74"/>
  <c r="J260" i="74"/>
  <c r="G260" i="74"/>
  <c r="H260" i="74" s="1"/>
  <c r="AD259" i="74"/>
  <c r="U259" i="74"/>
  <c r="S259" i="74"/>
  <c r="P259" i="74"/>
  <c r="M259" i="74"/>
  <c r="J259" i="74"/>
  <c r="G259" i="74"/>
  <c r="H259" i="74" s="1"/>
  <c r="AD258" i="74"/>
  <c r="U258" i="74"/>
  <c r="S258" i="74"/>
  <c r="P258" i="74"/>
  <c r="M258" i="74"/>
  <c r="J258" i="74"/>
  <c r="G258" i="74"/>
  <c r="H258" i="74" s="1"/>
  <c r="AD257" i="74"/>
  <c r="U257" i="74"/>
  <c r="S257" i="74"/>
  <c r="P257" i="74"/>
  <c r="M257" i="74"/>
  <c r="J257" i="74"/>
  <c r="G257" i="74"/>
  <c r="H257" i="74" s="1"/>
  <c r="AD256" i="74"/>
  <c r="U256" i="74"/>
  <c r="S256" i="74"/>
  <c r="P256" i="74"/>
  <c r="M256" i="74"/>
  <c r="J256" i="74"/>
  <c r="G256" i="74"/>
  <c r="H256" i="74" s="1"/>
  <c r="AD255" i="74"/>
  <c r="U255" i="74"/>
  <c r="S255" i="74"/>
  <c r="P255" i="74"/>
  <c r="M255" i="74"/>
  <c r="J255" i="74"/>
  <c r="G255" i="74"/>
  <c r="H255" i="74" s="1"/>
  <c r="AD254" i="74"/>
  <c r="U254" i="74"/>
  <c r="S254" i="74"/>
  <c r="P254" i="74"/>
  <c r="M254" i="74"/>
  <c r="J254" i="74"/>
  <c r="G254" i="74"/>
  <c r="H254" i="74" s="1"/>
  <c r="AD253" i="74"/>
  <c r="U253" i="74"/>
  <c r="S253" i="74"/>
  <c r="P253" i="74"/>
  <c r="M253" i="74"/>
  <c r="J253" i="74"/>
  <c r="G253" i="74"/>
  <c r="H253" i="74" s="1"/>
  <c r="AD252" i="74"/>
  <c r="U252" i="74"/>
  <c r="S252" i="74"/>
  <c r="P252" i="74"/>
  <c r="M252" i="74"/>
  <c r="J252" i="74"/>
  <c r="G252" i="74"/>
  <c r="H252" i="74" s="1"/>
  <c r="AD251" i="74"/>
  <c r="U251" i="74"/>
  <c r="S251" i="74"/>
  <c r="P251" i="74"/>
  <c r="M251" i="74"/>
  <c r="J251" i="74"/>
  <c r="G251" i="74"/>
  <c r="H251" i="74" s="1"/>
  <c r="AD250" i="74"/>
  <c r="U250" i="74"/>
  <c r="S250" i="74"/>
  <c r="P250" i="74"/>
  <c r="M250" i="74"/>
  <c r="J250" i="74"/>
  <c r="G250" i="74"/>
  <c r="H250" i="74" s="1"/>
  <c r="AD249" i="74"/>
  <c r="U249" i="74"/>
  <c r="S249" i="74"/>
  <c r="P249" i="74"/>
  <c r="M249" i="74"/>
  <c r="J249" i="74"/>
  <c r="G249" i="74"/>
  <c r="H249" i="74" s="1"/>
  <c r="AD248" i="74"/>
  <c r="U248" i="74"/>
  <c r="S248" i="74"/>
  <c r="P248" i="74"/>
  <c r="M248" i="74"/>
  <c r="J248" i="74"/>
  <c r="G248" i="74"/>
  <c r="H248" i="74" s="1"/>
  <c r="AD247" i="74"/>
  <c r="U247" i="74"/>
  <c r="S247" i="74"/>
  <c r="P247" i="74"/>
  <c r="M247" i="74"/>
  <c r="J247" i="74"/>
  <c r="G247" i="74"/>
  <c r="H247" i="74" s="1"/>
  <c r="AD246" i="74"/>
  <c r="U246" i="74"/>
  <c r="S246" i="74"/>
  <c r="P246" i="74"/>
  <c r="M246" i="74"/>
  <c r="J246" i="74"/>
  <c r="G246" i="74"/>
  <c r="H246" i="74" s="1"/>
  <c r="AD245" i="74"/>
  <c r="U245" i="74"/>
  <c r="S245" i="74"/>
  <c r="P245" i="74"/>
  <c r="M245" i="74"/>
  <c r="J245" i="74"/>
  <c r="G245" i="74"/>
  <c r="H245" i="74" s="1"/>
  <c r="AD244" i="74"/>
  <c r="U244" i="74"/>
  <c r="S244" i="74"/>
  <c r="P244" i="74"/>
  <c r="M244" i="74"/>
  <c r="J244" i="74"/>
  <c r="G244" i="74"/>
  <c r="H244" i="74" s="1"/>
  <c r="AD243" i="74"/>
  <c r="U243" i="74"/>
  <c r="S243" i="74"/>
  <c r="P243" i="74"/>
  <c r="M243" i="74"/>
  <c r="J243" i="74"/>
  <c r="G243" i="74"/>
  <c r="H243" i="74" s="1"/>
  <c r="AD242" i="74"/>
  <c r="U242" i="74"/>
  <c r="S242" i="74"/>
  <c r="P242" i="74"/>
  <c r="M242" i="74"/>
  <c r="J242" i="74"/>
  <c r="G242" i="74"/>
  <c r="H242" i="74" s="1"/>
  <c r="AD241" i="74"/>
  <c r="U241" i="74"/>
  <c r="S241" i="74"/>
  <c r="P241" i="74"/>
  <c r="M241" i="74"/>
  <c r="J241" i="74"/>
  <c r="G241" i="74"/>
  <c r="H241" i="74" s="1"/>
  <c r="AD240" i="74"/>
  <c r="U240" i="74"/>
  <c r="S240" i="74"/>
  <c r="P240" i="74"/>
  <c r="M240" i="74"/>
  <c r="J240" i="74"/>
  <c r="G240" i="74"/>
  <c r="H240" i="74" s="1"/>
  <c r="AD239" i="74"/>
  <c r="U239" i="74"/>
  <c r="S239" i="74"/>
  <c r="P239" i="74"/>
  <c r="M239" i="74"/>
  <c r="J239" i="74"/>
  <c r="G239" i="74"/>
  <c r="H239" i="74" s="1"/>
  <c r="AD238" i="74"/>
  <c r="U238" i="74"/>
  <c r="S238" i="74"/>
  <c r="P238" i="74"/>
  <c r="M238" i="74"/>
  <c r="J238" i="74"/>
  <c r="G238" i="74"/>
  <c r="H238" i="74" s="1"/>
  <c r="AD237" i="74"/>
  <c r="U237" i="74"/>
  <c r="S237" i="74"/>
  <c r="P237" i="74"/>
  <c r="M237" i="74"/>
  <c r="J237" i="74"/>
  <c r="G237" i="74"/>
  <c r="H237" i="74" s="1"/>
  <c r="AD236" i="74"/>
  <c r="U236" i="74"/>
  <c r="S236" i="74"/>
  <c r="P236" i="74"/>
  <c r="M236" i="74"/>
  <c r="J236" i="74"/>
  <c r="G236" i="74"/>
  <c r="H236" i="74" s="1"/>
  <c r="AD235" i="74"/>
  <c r="U235" i="74"/>
  <c r="S235" i="74"/>
  <c r="P235" i="74"/>
  <c r="M235" i="74"/>
  <c r="J235" i="74"/>
  <c r="G235" i="74"/>
  <c r="H235" i="74" s="1"/>
  <c r="AD234" i="74"/>
  <c r="U234" i="74"/>
  <c r="S234" i="74"/>
  <c r="P234" i="74"/>
  <c r="M234" i="74"/>
  <c r="J234" i="74"/>
  <c r="G234" i="74"/>
  <c r="H234" i="74" s="1"/>
  <c r="AD233" i="74"/>
  <c r="U233" i="74"/>
  <c r="S233" i="74"/>
  <c r="P233" i="74"/>
  <c r="M233" i="74"/>
  <c r="J233" i="74"/>
  <c r="G233" i="74"/>
  <c r="H233" i="74" s="1"/>
  <c r="AD232" i="74"/>
  <c r="U232" i="74"/>
  <c r="S232" i="74"/>
  <c r="P232" i="74"/>
  <c r="M232" i="74"/>
  <c r="J232" i="74"/>
  <c r="G232" i="74"/>
  <c r="H232" i="74" s="1"/>
  <c r="AD231" i="74"/>
  <c r="U231" i="74"/>
  <c r="S231" i="74"/>
  <c r="P231" i="74"/>
  <c r="M231" i="74"/>
  <c r="J231" i="74"/>
  <c r="G231" i="74"/>
  <c r="H231" i="74" s="1"/>
  <c r="AD230" i="74"/>
  <c r="U230" i="74"/>
  <c r="S230" i="74"/>
  <c r="P230" i="74"/>
  <c r="M230" i="74"/>
  <c r="J230" i="74"/>
  <c r="G230" i="74"/>
  <c r="H230" i="74" s="1"/>
  <c r="AD229" i="74"/>
  <c r="U229" i="74"/>
  <c r="S229" i="74"/>
  <c r="P229" i="74"/>
  <c r="M229" i="74"/>
  <c r="J229" i="74"/>
  <c r="G229" i="74"/>
  <c r="H229" i="74" s="1"/>
  <c r="AD228" i="74"/>
  <c r="U228" i="74"/>
  <c r="S228" i="74"/>
  <c r="P228" i="74"/>
  <c r="M228" i="74"/>
  <c r="J228" i="74"/>
  <c r="G228" i="74"/>
  <c r="H228" i="74" s="1"/>
  <c r="AD227" i="74"/>
  <c r="U227" i="74"/>
  <c r="S227" i="74"/>
  <c r="P227" i="74"/>
  <c r="M227" i="74"/>
  <c r="J227" i="74"/>
  <c r="G227" i="74"/>
  <c r="H227" i="74" s="1"/>
  <c r="AD226" i="74"/>
  <c r="U226" i="74"/>
  <c r="S226" i="74"/>
  <c r="P226" i="74"/>
  <c r="M226" i="74"/>
  <c r="J226" i="74"/>
  <c r="G226" i="74"/>
  <c r="H226" i="74" s="1"/>
  <c r="AD225" i="74"/>
  <c r="U225" i="74"/>
  <c r="S225" i="74"/>
  <c r="P225" i="74"/>
  <c r="M225" i="74"/>
  <c r="J225" i="74"/>
  <c r="G225" i="74"/>
  <c r="H225" i="74" s="1"/>
  <c r="AD224" i="74"/>
  <c r="U224" i="74"/>
  <c r="S224" i="74"/>
  <c r="P224" i="74"/>
  <c r="M224" i="74"/>
  <c r="J224" i="74"/>
  <c r="G224" i="74"/>
  <c r="H224" i="74" s="1"/>
  <c r="AD223" i="74"/>
  <c r="U223" i="74"/>
  <c r="S223" i="74"/>
  <c r="P223" i="74"/>
  <c r="M223" i="74"/>
  <c r="J223" i="74"/>
  <c r="G223" i="74"/>
  <c r="H223" i="74" s="1"/>
  <c r="AD222" i="74"/>
  <c r="U222" i="74"/>
  <c r="S222" i="74"/>
  <c r="P222" i="74"/>
  <c r="M222" i="74"/>
  <c r="J222" i="74"/>
  <c r="G222" i="74"/>
  <c r="H222" i="74" s="1"/>
  <c r="AD221" i="74"/>
  <c r="U221" i="74"/>
  <c r="S221" i="74"/>
  <c r="P221" i="74"/>
  <c r="M221" i="74"/>
  <c r="J221" i="74"/>
  <c r="G221" i="74"/>
  <c r="H221" i="74" s="1"/>
  <c r="AD220" i="74"/>
  <c r="U220" i="74"/>
  <c r="S220" i="74"/>
  <c r="P220" i="74"/>
  <c r="M220" i="74"/>
  <c r="J220" i="74"/>
  <c r="G220" i="74"/>
  <c r="H220" i="74" s="1"/>
  <c r="AD219" i="74"/>
  <c r="U219" i="74"/>
  <c r="S219" i="74"/>
  <c r="P219" i="74"/>
  <c r="M219" i="74"/>
  <c r="J219" i="74"/>
  <c r="G219" i="74"/>
  <c r="H219" i="74" s="1"/>
  <c r="AD218" i="74"/>
  <c r="U218" i="74"/>
  <c r="S218" i="74"/>
  <c r="P218" i="74"/>
  <c r="M218" i="74"/>
  <c r="J218" i="74"/>
  <c r="G218" i="74"/>
  <c r="H218" i="74" s="1"/>
  <c r="AD217" i="74"/>
  <c r="U217" i="74"/>
  <c r="S217" i="74"/>
  <c r="P217" i="74"/>
  <c r="M217" i="74"/>
  <c r="J217" i="74"/>
  <c r="G217" i="74"/>
  <c r="H217" i="74" s="1"/>
  <c r="AD216" i="74"/>
  <c r="U216" i="74"/>
  <c r="S216" i="74"/>
  <c r="P216" i="74"/>
  <c r="M216" i="74"/>
  <c r="J216" i="74"/>
  <c r="G216" i="74"/>
  <c r="H216" i="74" s="1"/>
  <c r="AD215" i="74"/>
  <c r="U215" i="74"/>
  <c r="S215" i="74"/>
  <c r="P215" i="74"/>
  <c r="M215" i="74"/>
  <c r="J215" i="74"/>
  <c r="G215" i="74"/>
  <c r="H215" i="74" s="1"/>
  <c r="AD214" i="74"/>
  <c r="U214" i="74"/>
  <c r="S214" i="74"/>
  <c r="P214" i="74"/>
  <c r="M214" i="74"/>
  <c r="J214" i="74"/>
  <c r="G214" i="74"/>
  <c r="H214" i="74" s="1"/>
  <c r="AD213" i="74"/>
  <c r="U213" i="74"/>
  <c r="S213" i="74"/>
  <c r="P213" i="74"/>
  <c r="M213" i="74"/>
  <c r="J213" i="74"/>
  <c r="G213" i="74"/>
  <c r="H213" i="74" s="1"/>
  <c r="AD212" i="74"/>
  <c r="U212" i="74"/>
  <c r="S212" i="74"/>
  <c r="P212" i="74"/>
  <c r="M212" i="74"/>
  <c r="J212" i="74"/>
  <c r="G212" i="74"/>
  <c r="H212" i="74" s="1"/>
  <c r="AD211" i="74"/>
  <c r="U211" i="74"/>
  <c r="S211" i="74"/>
  <c r="P211" i="74"/>
  <c r="M211" i="74"/>
  <c r="J211" i="74"/>
  <c r="G211" i="74"/>
  <c r="H211" i="74" s="1"/>
  <c r="AD210" i="74"/>
  <c r="U210" i="74"/>
  <c r="S210" i="74"/>
  <c r="P210" i="74"/>
  <c r="M210" i="74"/>
  <c r="J210" i="74"/>
  <c r="G210" i="74"/>
  <c r="H210" i="74" s="1"/>
  <c r="AD209" i="74"/>
  <c r="U209" i="74"/>
  <c r="S209" i="74"/>
  <c r="P209" i="74"/>
  <c r="M209" i="74"/>
  <c r="J209" i="74"/>
  <c r="G209" i="74"/>
  <c r="H209" i="74" s="1"/>
  <c r="AD208" i="74"/>
  <c r="U208" i="74"/>
  <c r="S208" i="74"/>
  <c r="P208" i="74"/>
  <c r="M208" i="74"/>
  <c r="J208" i="74"/>
  <c r="G208" i="74"/>
  <c r="H208" i="74" s="1"/>
  <c r="AD207" i="74"/>
  <c r="U207" i="74"/>
  <c r="S207" i="74"/>
  <c r="P207" i="74"/>
  <c r="M207" i="74"/>
  <c r="J207" i="74"/>
  <c r="G207" i="74"/>
  <c r="H207" i="74" s="1"/>
  <c r="AD206" i="74"/>
  <c r="U206" i="74"/>
  <c r="S206" i="74"/>
  <c r="P206" i="74"/>
  <c r="M206" i="74"/>
  <c r="J206" i="74"/>
  <c r="G206" i="74"/>
  <c r="H206" i="74" s="1"/>
  <c r="AD205" i="74"/>
  <c r="U205" i="74"/>
  <c r="S205" i="74"/>
  <c r="P205" i="74"/>
  <c r="M205" i="74"/>
  <c r="J205" i="74"/>
  <c r="G205" i="74"/>
  <c r="H205" i="74" s="1"/>
  <c r="AD204" i="74"/>
  <c r="U204" i="74"/>
  <c r="S204" i="74"/>
  <c r="P204" i="74"/>
  <c r="M204" i="74"/>
  <c r="J204" i="74"/>
  <c r="G204" i="74"/>
  <c r="H204" i="74" s="1"/>
  <c r="AD203" i="74"/>
  <c r="U203" i="74"/>
  <c r="S203" i="74"/>
  <c r="P203" i="74"/>
  <c r="M203" i="74"/>
  <c r="J203" i="74"/>
  <c r="G203" i="74"/>
  <c r="H203" i="74" s="1"/>
  <c r="AD202" i="74"/>
  <c r="U202" i="74"/>
  <c r="S202" i="74"/>
  <c r="P202" i="74"/>
  <c r="M202" i="74"/>
  <c r="J202" i="74"/>
  <c r="G202" i="74"/>
  <c r="H202" i="74" s="1"/>
  <c r="AD201" i="74"/>
  <c r="U201" i="74"/>
  <c r="S201" i="74"/>
  <c r="P201" i="74"/>
  <c r="M201" i="74"/>
  <c r="J201" i="74"/>
  <c r="G201" i="74"/>
  <c r="H201" i="74" s="1"/>
  <c r="AD200" i="74"/>
  <c r="U200" i="74"/>
  <c r="S200" i="74"/>
  <c r="P200" i="74"/>
  <c r="M200" i="74"/>
  <c r="J200" i="74"/>
  <c r="G200" i="74"/>
  <c r="H200" i="74" s="1"/>
  <c r="AD199" i="74"/>
  <c r="U199" i="74"/>
  <c r="S199" i="74"/>
  <c r="P199" i="74"/>
  <c r="M199" i="74"/>
  <c r="J199" i="74"/>
  <c r="G199" i="74"/>
  <c r="H199" i="74" s="1"/>
  <c r="AD198" i="74"/>
  <c r="U198" i="74"/>
  <c r="S198" i="74"/>
  <c r="P198" i="74"/>
  <c r="M198" i="74"/>
  <c r="J198" i="74"/>
  <c r="G198" i="74"/>
  <c r="H198" i="74" s="1"/>
  <c r="AD197" i="74"/>
  <c r="U197" i="74"/>
  <c r="S197" i="74"/>
  <c r="P197" i="74"/>
  <c r="M197" i="74"/>
  <c r="J197" i="74"/>
  <c r="G197" i="74"/>
  <c r="H197" i="74" s="1"/>
  <c r="AD196" i="74"/>
  <c r="U196" i="74"/>
  <c r="S196" i="74"/>
  <c r="P196" i="74"/>
  <c r="M196" i="74"/>
  <c r="J196" i="74"/>
  <c r="G196" i="74"/>
  <c r="H196" i="74" s="1"/>
  <c r="AD195" i="74"/>
  <c r="U195" i="74"/>
  <c r="S195" i="74"/>
  <c r="P195" i="74"/>
  <c r="M195" i="74"/>
  <c r="J195" i="74"/>
  <c r="G195" i="74"/>
  <c r="H195" i="74" s="1"/>
  <c r="AD194" i="74"/>
  <c r="U194" i="74"/>
  <c r="S194" i="74"/>
  <c r="P194" i="74"/>
  <c r="M194" i="74"/>
  <c r="J194" i="74"/>
  <c r="G194" i="74"/>
  <c r="H194" i="74" s="1"/>
  <c r="AD193" i="74"/>
  <c r="U193" i="74"/>
  <c r="S193" i="74"/>
  <c r="P193" i="74"/>
  <c r="M193" i="74"/>
  <c r="J193" i="74"/>
  <c r="G193" i="74"/>
  <c r="H193" i="74" s="1"/>
  <c r="AD192" i="74"/>
  <c r="U192" i="74"/>
  <c r="S192" i="74"/>
  <c r="P192" i="74"/>
  <c r="M192" i="74"/>
  <c r="J192" i="74"/>
  <c r="G192" i="74"/>
  <c r="H192" i="74" s="1"/>
  <c r="AD191" i="74"/>
  <c r="U191" i="74"/>
  <c r="S191" i="74"/>
  <c r="P191" i="74"/>
  <c r="M191" i="74"/>
  <c r="J191" i="74"/>
  <c r="G191" i="74"/>
  <c r="H191" i="74" s="1"/>
  <c r="AD190" i="74"/>
  <c r="U190" i="74"/>
  <c r="S190" i="74"/>
  <c r="P190" i="74"/>
  <c r="M190" i="74"/>
  <c r="J190" i="74"/>
  <c r="G190" i="74"/>
  <c r="H190" i="74" s="1"/>
  <c r="AD189" i="74"/>
  <c r="U189" i="74"/>
  <c r="S189" i="74"/>
  <c r="P189" i="74"/>
  <c r="M189" i="74"/>
  <c r="J189" i="74"/>
  <c r="G189" i="74"/>
  <c r="H189" i="74" s="1"/>
  <c r="AD188" i="74"/>
  <c r="U188" i="74"/>
  <c r="S188" i="74"/>
  <c r="P188" i="74"/>
  <c r="M188" i="74"/>
  <c r="J188" i="74"/>
  <c r="G188" i="74"/>
  <c r="H188" i="74" s="1"/>
  <c r="AD187" i="74"/>
  <c r="U187" i="74"/>
  <c r="S187" i="74"/>
  <c r="P187" i="74"/>
  <c r="M187" i="74"/>
  <c r="J187" i="74"/>
  <c r="G187" i="74"/>
  <c r="H187" i="74" s="1"/>
  <c r="AD186" i="74"/>
  <c r="U186" i="74"/>
  <c r="S186" i="74"/>
  <c r="P186" i="74"/>
  <c r="M186" i="74"/>
  <c r="J186" i="74"/>
  <c r="G186" i="74"/>
  <c r="H186" i="74" s="1"/>
  <c r="AD185" i="74"/>
  <c r="U185" i="74"/>
  <c r="S185" i="74"/>
  <c r="P185" i="74"/>
  <c r="M185" i="74"/>
  <c r="J185" i="74"/>
  <c r="G185" i="74"/>
  <c r="H185" i="74" s="1"/>
  <c r="AD184" i="74"/>
  <c r="U184" i="74"/>
  <c r="S184" i="74"/>
  <c r="P184" i="74"/>
  <c r="M184" i="74"/>
  <c r="J184" i="74"/>
  <c r="G184" i="74"/>
  <c r="H184" i="74" s="1"/>
  <c r="AD183" i="74"/>
  <c r="U183" i="74"/>
  <c r="S183" i="74"/>
  <c r="P183" i="74"/>
  <c r="M183" i="74"/>
  <c r="J183" i="74"/>
  <c r="G183" i="74"/>
  <c r="H183" i="74" s="1"/>
  <c r="AD182" i="74"/>
  <c r="U182" i="74"/>
  <c r="S182" i="74"/>
  <c r="P182" i="74"/>
  <c r="M182" i="74"/>
  <c r="J182" i="74"/>
  <c r="G182" i="74"/>
  <c r="H182" i="74" s="1"/>
  <c r="AD181" i="74"/>
  <c r="U181" i="74"/>
  <c r="S181" i="74"/>
  <c r="P181" i="74"/>
  <c r="M181" i="74"/>
  <c r="J181" i="74"/>
  <c r="G181" i="74"/>
  <c r="H181" i="74" s="1"/>
  <c r="AD180" i="74"/>
  <c r="U180" i="74"/>
  <c r="S180" i="74"/>
  <c r="P180" i="74"/>
  <c r="M180" i="74"/>
  <c r="J180" i="74"/>
  <c r="G180" i="74"/>
  <c r="H180" i="74" s="1"/>
  <c r="AD179" i="74"/>
  <c r="U179" i="74"/>
  <c r="S179" i="74"/>
  <c r="P179" i="74"/>
  <c r="M179" i="74"/>
  <c r="J179" i="74"/>
  <c r="G179" i="74"/>
  <c r="H179" i="74" s="1"/>
  <c r="AD178" i="74"/>
  <c r="U178" i="74"/>
  <c r="S178" i="74"/>
  <c r="P178" i="74"/>
  <c r="M178" i="74"/>
  <c r="J178" i="74"/>
  <c r="G178" i="74"/>
  <c r="H178" i="74" s="1"/>
  <c r="AD177" i="74"/>
  <c r="U177" i="74"/>
  <c r="S177" i="74"/>
  <c r="P177" i="74"/>
  <c r="M177" i="74"/>
  <c r="J177" i="74"/>
  <c r="G177" i="74"/>
  <c r="H177" i="74" s="1"/>
  <c r="AD176" i="74"/>
  <c r="U176" i="74"/>
  <c r="S176" i="74"/>
  <c r="P176" i="74"/>
  <c r="M176" i="74"/>
  <c r="J176" i="74"/>
  <c r="G176" i="74"/>
  <c r="H176" i="74" s="1"/>
  <c r="AD175" i="74"/>
  <c r="U175" i="74"/>
  <c r="S175" i="74"/>
  <c r="P175" i="74"/>
  <c r="M175" i="74"/>
  <c r="J175" i="74"/>
  <c r="G175" i="74"/>
  <c r="H175" i="74" s="1"/>
  <c r="AD174" i="74"/>
  <c r="U174" i="74"/>
  <c r="S174" i="74"/>
  <c r="P174" i="74"/>
  <c r="M174" i="74"/>
  <c r="J174" i="74"/>
  <c r="G174" i="74"/>
  <c r="H174" i="74" s="1"/>
  <c r="AD173" i="74"/>
  <c r="U173" i="74"/>
  <c r="S173" i="74"/>
  <c r="P173" i="74"/>
  <c r="M173" i="74"/>
  <c r="J173" i="74"/>
  <c r="G173" i="74"/>
  <c r="H173" i="74" s="1"/>
  <c r="AD172" i="74"/>
  <c r="U172" i="74"/>
  <c r="S172" i="74"/>
  <c r="P172" i="74"/>
  <c r="M172" i="74"/>
  <c r="J172" i="74"/>
  <c r="G172" i="74"/>
  <c r="H172" i="74" s="1"/>
  <c r="AD171" i="74"/>
  <c r="U171" i="74"/>
  <c r="S171" i="74"/>
  <c r="P171" i="74"/>
  <c r="M171" i="74"/>
  <c r="J171" i="74"/>
  <c r="G171" i="74"/>
  <c r="H171" i="74" s="1"/>
  <c r="AD170" i="74"/>
  <c r="U170" i="74"/>
  <c r="S170" i="74"/>
  <c r="P170" i="74"/>
  <c r="M170" i="74"/>
  <c r="J170" i="74"/>
  <c r="G170" i="74"/>
  <c r="H170" i="74" s="1"/>
  <c r="AD169" i="74"/>
  <c r="U169" i="74"/>
  <c r="S169" i="74"/>
  <c r="P169" i="74"/>
  <c r="M169" i="74"/>
  <c r="J169" i="74"/>
  <c r="G169" i="74"/>
  <c r="H169" i="74" s="1"/>
  <c r="AD168" i="74"/>
  <c r="U168" i="74"/>
  <c r="S168" i="74"/>
  <c r="P168" i="74"/>
  <c r="M168" i="74"/>
  <c r="J168" i="74"/>
  <c r="G168" i="74"/>
  <c r="H168" i="74" s="1"/>
  <c r="AD167" i="74"/>
  <c r="U167" i="74"/>
  <c r="S167" i="74"/>
  <c r="P167" i="74"/>
  <c r="M167" i="74"/>
  <c r="J167" i="74"/>
  <c r="G167" i="74"/>
  <c r="H167" i="74" s="1"/>
  <c r="AD166" i="74"/>
  <c r="U166" i="74"/>
  <c r="S166" i="74"/>
  <c r="P166" i="74"/>
  <c r="M166" i="74"/>
  <c r="J166" i="74"/>
  <c r="G166" i="74"/>
  <c r="H166" i="74" s="1"/>
  <c r="AD165" i="74"/>
  <c r="U165" i="74"/>
  <c r="S165" i="74"/>
  <c r="P165" i="74"/>
  <c r="M165" i="74"/>
  <c r="J165" i="74"/>
  <c r="G165" i="74"/>
  <c r="H165" i="74" s="1"/>
  <c r="AD164" i="74"/>
  <c r="U164" i="74"/>
  <c r="S164" i="74"/>
  <c r="P164" i="74"/>
  <c r="M164" i="74"/>
  <c r="J164" i="74"/>
  <c r="G164" i="74"/>
  <c r="H164" i="74" s="1"/>
  <c r="AD163" i="74"/>
  <c r="U163" i="74"/>
  <c r="S163" i="74"/>
  <c r="P163" i="74"/>
  <c r="M163" i="74"/>
  <c r="J163" i="74"/>
  <c r="G163" i="74"/>
  <c r="H163" i="74" s="1"/>
  <c r="AD162" i="74"/>
  <c r="U162" i="74"/>
  <c r="S162" i="74"/>
  <c r="P162" i="74"/>
  <c r="M162" i="74"/>
  <c r="J162" i="74"/>
  <c r="G162" i="74"/>
  <c r="H162" i="74" s="1"/>
  <c r="AD161" i="74"/>
  <c r="U161" i="74"/>
  <c r="S161" i="74"/>
  <c r="P161" i="74"/>
  <c r="M161" i="74"/>
  <c r="J161" i="74"/>
  <c r="G161" i="74"/>
  <c r="H161" i="74" s="1"/>
  <c r="AD160" i="74"/>
  <c r="U160" i="74"/>
  <c r="S160" i="74"/>
  <c r="P160" i="74"/>
  <c r="M160" i="74"/>
  <c r="J160" i="74"/>
  <c r="G160" i="74"/>
  <c r="H160" i="74" s="1"/>
  <c r="AD159" i="74"/>
  <c r="U159" i="74"/>
  <c r="S159" i="74"/>
  <c r="P159" i="74"/>
  <c r="M159" i="74"/>
  <c r="J159" i="74"/>
  <c r="G159" i="74"/>
  <c r="H159" i="74" s="1"/>
  <c r="AD158" i="74"/>
  <c r="U158" i="74"/>
  <c r="S158" i="74"/>
  <c r="P158" i="74"/>
  <c r="M158" i="74"/>
  <c r="J158" i="74"/>
  <c r="G158" i="74"/>
  <c r="H158" i="74" s="1"/>
  <c r="AD157" i="74"/>
  <c r="U157" i="74"/>
  <c r="S157" i="74"/>
  <c r="P157" i="74"/>
  <c r="M157" i="74"/>
  <c r="J157" i="74"/>
  <c r="G157" i="74"/>
  <c r="H157" i="74" s="1"/>
  <c r="AD156" i="74"/>
  <c r="U156" i="74"/>
  <c r="S156" i="74"/>
  <c r="P156" i="74"/>
  <c r="M156" i="74"/>
  <c r="J156" i="74"/>
  <c r="G156" i="74"/>
  <c r="H156" i="74" s="1"/>
  <c r="AD155" i="74"/>
  <c r="U155" i="74"/>
  <c r="S155" i="74"/>
  <c r="P155" i="74"/>
  <c r="M155" i="74"/>
  <c r="J155" i="74"/>
  <c r="G155" i="74"/>
  <c r="H155" i="74" s="1"/>
  <c r="AD154" i="74"/>
  <c r="U154" i="74"/>
  <c r="S154" i="74"/>
  <c r="P154" i="74"/>
  <c r="M154" i="74"/>
  <c r="J154" i="74"/>
  <c r="G154" i="74"/>
  <c r="H154" i="74" s="1"/>
  <c r="AD153" i="74"/>
  <c r="U153" i="74"/>
  <c r="S153" i="74"/>
  <c r="P153" i="74"/>
  <c r="M153" i="74"/>
  <c r="J153" i="74"/>
  <c r="G153" i="74"/>
  <c r="H153" i="74" s="1"/>
  <c r="AD152" i="74"/>
  <c r="U152" i="74"/>
  <c r="S152" i="74"/>
  <c r="P152" i="74"/>
  <c r="M152" i="74"/>
  <c r="J152" i="74"/>
  <c r="G152" i="74"/>
  <c r="H152" i="74" s="1"/>
  <c r="AD151" i="74"/>
  <c r="U151" i="74"/>
  <c r="S151" i="74"/>
  <c r="P151" i="74"/>
  <c r="M151" i="74"/>
  <c r="J151" i="74"/>
  <c r="G151" i="74"/>
  <c r="H151" i="74" s="1"/>
  <c r="AD150" i="74"/>
  <c r="U150" i="74"/>
  <c r="S150" i="74"/>
  <c r="P150" i="74"/>
  <c r="M150" i="74"/>
  <c r="J150" i="74"/>
  <c r="G150" i="74"/>
  <c r="H150" i="74" s="1"/>
  <c r="AD149" i="74"/>
  <c r="U149" i="74"/>
  <c r="S149" i="74"/>
  <c r="P149" i="74"/>
  <c r="M149" i="74"/>
  <c r="J149" i="74"/>
  <c r="G149" i="74"/>
  <c r="H149" i="74" s="1"/>
  <c r="AD148" i="74"/>
  <c r="U148" i="74"/>
  <c r="S148" i="74"/>
  <c r="P148" i="74"/>
  <c r="M148" i="74"/>
  <c r="J148" i="74"/>
  <c r="G148" i="74"/>
  <c r="H148" i="74" s="1"/>
  <c r="AD147" i="74"/>
  <c r="U147" i="74"/>
  <c r="S147" i="74"/>
  <c r="P147" i="74"/>
  <c r="M147" i="74"/>
  <c r="J147" i="74"/>
  <c r="G147" i="74"/>
  <c r="H147" i="74" s="1"/>
  <c r="AD146" i="74"/>
  <c r="U146" i="74"/>
  <c r="S146" i="74"/>
  <c r="P146" i="74"/>
  <c r="M146" i="74"/>
  <c r="J146" i="74"/>
  <c r="G146" i="74"/>
  <c r="H146" i="74" s="1"/>
  <c r="AD145" i="74"/>
  <c r="U145" i="74"/>
  <c r="S145" i="74"/>
  <c r="P145" i="74"/>
  <c r="M145" i="74"/>
  <c r="J145" i="74"/>
  <c r="G145" i="74"/>
  <c r="H145" i="74" s="1"/>
  <c r="AD144" i="74"/>
  <c r="U144" i="74"/>
  <c r="S144" i="74"/>
  <c r="P144" i="74"/>
  <c r="M144" i="74"/>
  <c r="J144" i="74"/>
  <c r="G144" i="74"/>
  <c r="H144" i="74" s="1"/>
  <c r="AD143" i="74"/>
  <c r="U143" i="74"/>
  <c r="S143" i="74"/>
  <c r="P143" i="74"/>
  <c r="M143" i="74"/>
  <c r="J143" i="74"/>
  <c r="G143" i="74"/>
  <c r="H143" i="74" s="1"/>
  <c r="AD142" i="74"/>
  <c r="U142" i="74"/>
  <c r="S142" i="74"/>
  <c r="P142" i="74"/>
  <c r="M142" i="74"/>
  <c r="J142" i="74"/>
  <c r="G142" i="74"/>
  <c r="H142" i="74" s="1"/>
  <c r="AD141" i="74"/>
  <c r="U141" i="74"/>
  <c r="S141" i="74"/>
  <c r="P141" i="74"/>
  <c r="M141" i="74"/>
  <c r="J141" i="74"/>
  <c r="G141" i="74"/>
  <c r="H141" i="74" s="1"/>
  <c r="AD140" i="74"/>
  <c r="U140" i="74"/>
  <c r="S140" i="74"/>
  <c r="P140" i="74"/>
  <c r="M140" i="74"/>
  <c r="J140" i="74"/>
  <c r="G140" i="74"/>
  <c r="H140" i="74" s="1"/>
  <c r="AD139" i="74"/>
  <c r="U139" i="74"/>
  <c r="S139" i="74"/>
  <c r="P139" i="74"/>
  <c r="M139" i="74"/>
  <c r="J139" i="74"/>
  <c r="G139" i="74"/>
  <c r="H139" i="74" s="1"/>
  <c r="AD138" i="74"/>
  <c r="U138" i="74"/>
  <c r="S138" i="74"/>
  <c r="P138" i="74"/>
  <c r="M138" i="74"/>
  <c r="J138" i="74"/>
  <c r="G138" i="74"/>
  <c r="H138" i="74" s="1"/>
  <c r="AD137" i="74"/>
  <c r="U137" i="74"/>
  <c r="S137" i="74"/>
  <c r="P137" i="74"/>
  <c r="M137" i="74"/>
  <c r="J137" i="74"/>
  <c r="G137" i="74"/>
  <c r="H137" i="74" s="1"/>
  <c r="AD136" i="74"/>
  <c r="U136" i="74"/>
  <c r="S136" i="74"/>
  <c r="P136" i="74"/>
  <c r="M136" i="74"/>
  <c r="J136" i="74"/>
  <c r="G136" i="74"/>
  <c r="H136" i="74" s="1"/>
  <c r="AD135" i="74"/>
  <c r="U135" i="74"/>
  <c r="S135" i="74"/>
  <c r="P135" i="74"/>
  <c r="M135" i="74"/>
  <c r="J135" i="74"/>
  <c r="G135" i="74"/>
  <c r="H135" i="74" s="1"/>
  <c r="AD134" i="74"/>
  <c r="U134" i="74"/>
  <c r="S134" i="74"/>
  <c r="P134" i="74"/>
  <c r="M134" i="74"/>
  <c r="J134" i="74"/>
  <c r="G134" i="74"/>
  <c r="H134" i="74" s="1"/>
  <c r="AD133" i="74"/>
  <c r="U133" i="74"/>
  <c r="S133" i="74"/>
  <c r="P133" i="74"/>
  <c r="M133" i="74"/>
  <c r="J133" i="74"/>
  <c r="G133" i="74"/>
  <c r="H133" i="74" s="1"/>
  <c r="AD132" i="74"/>
  <c r="U132" i="74"/>
  <c r="S132" i="74"/>
  <c r="P132" i="74"/>
  <c r="M132" i="74"/>
  <c r="J132" i="74"/>
  <c r="G132" i="74"/>
  <c r="H132" i="74" s="1"/>
  <c r="AD131" i="74"/>
  <c r="U131" i="74"/>
  <c r="S131" i="74"/>
  <c r="P131" i="74"/>
  <c r="M131" i="74"/>
  <c r="J131" i="74"/>
  <c r="G131" i="74"/>
  <c r="H131" i="74" s="1"/>
  <c r="AD130" i="74"/>
  <c r="U130" i="74"/>
  <c r="S130" i="74"/>
  <c r="P130" i="74"/>
  <c r="M130" i="74"/>
  <c r="J130" i="74"/>
  <c r="G130" i="74"/>
  <c r="H130" i="74" s="1"/>
  <c r="AD129" i="74"/>
  <c r="U129" i="74"/>
  <c r="S129" i="74"/>
  <c r="P129" i="74"/>
  <c r="M129" i="74"/>
  <c r="J129" i="74"/>
  <c r="G129" i="74"/>
  <c r="H129" i="74" s="1"/>
  <c r="AD128" i="74"/>
  <c r="U128" i="74"/>
  <c r="S128" i="74"/>
  <c r="P128" i="74"/>
  <c r="M128" i="74"/>
  <c r="J128" i="74"/>
  <c r="G128" i="74"/>
  <c r="H128" i="74" s="1"/>
  <c r="AD127" i="74"/>
  <c r="U127" i="74"/>
  <c r="S127" i="74"/>
  <c r="P127" i="74"/>
  <c r="M127" i="74"/>
  <c r="J127" i="74"/>
  <c r="G127" i="74"/>
  <c r="H127" i="74" s="1"/>
  <c r="AD126" i="74"/>
  <c r="U126" i="74"/>
  <c r="S126" i="74"/>
  <c r="P126" i="74"/>
  <c r="M126" i="74"/>
  <c r="J126" i="74"/>
  <c r="G126" i="74"/>
  <c r="H126" i="74" s="1"/>
  <c r="AD125" i="74"/>
  <c r="U125" i="74"/>
  <c r="S125" i="74"/>
  <c r="P125" i="74"/>
  <c r="M125" i="74"/>
  <c r="J125" i="74"/>
  <c r="G125" i="74"/>
  <c r="H125" i="74" s="1"/>
  <c r="AD124" i="74"/>
  <c r="U124" i="74"/>
  <c r="S124" i="74"/>
  <c r="P124" i="74"/>
  <c r="M124" i="74"/>
  <c r="J124" i="74"/>
  <c r="G124" i="74"/>
  <c r="H124" i="74" s="1"/>
  <c r="AD123" i="74"/>
  <c r="U123" i="74"/>
  <c r="S123" i="74"/>
  <c r="P123" i="74"/>
  <c r="M123" i="74"/>
  <c r="J123" i="74"/>
  <c r="G123" i="74"/>
  <c r="H123" i="74" s="1"/>
  <c r="AD122" i="74"/>
  <c r="U122" i="74"/>
  <c r="S122" i="74"/>
  <c r="P122" i="74"/>
  <c r="M122" i="74"/>
  <c r="J122" i="74"/>
  <c r="G122" i="74"/>
  <c r="H122" i="74" s="1"/>
  <c r="AD121" i="74"/>
  <c r="U121" i="74"/>
  <c r="S121" i="74"/>
  <c r="P121" i="74"/>
  <c r="M121" i="74"/>
  <c r="J121" i="74"/>
  <c r="G121" i="74"/>
  <c r="H121" i="74" s="1"/>
  <c r="AD120" i="74"/>
  <c r="U120" i="74"/>
  <c r="S120" i="74"/>
  <c r="P120" i="74"/>
  <c r="M120" i="74"/>
  <c r="J120" i="74"/>
  <c r="G120" i="74"/>
  <c r="H120" i="74" s="1"/>
  <c r="AD119" i="74"/>
  <c r="U119" i="74"/>
  <c r="S119" i="74"/>
  <c r="P119" i="74"/>
  <c r="M119" i="74"/>
  <c r="J119" i="74"/>
  <c r="G119" i="74"/>
  <c r="H119" i="74" s="1"/>
  <c r="AD118" i="74"/>
  <c r="U118" i="74"/>
  <c r="S118" i="74"/>
  <c r="P118" i="74"/>
  <c r="M118" i="74"/>
  <c r="J118" i="74"/>
  <c r="G118" i="74"/>
  <c r="H118" i="74" s="1"/>
  <c r="AD117" i="74"/>
  <c r="U117" i="74"/>
  <c r="S117" i="74"/>
  <c r="P117" i="74"/>
  <c r="M117" i="74"/>
  <c r="J117" i="74"/>
  <c r="G117" i="74"/>
  <c r="H117" i="74" s="1"/>
  <c r="AD116" i="74"/>
  <c r="U116" i="74"/>
  <c r="S116" i="74"/>
  <c r="P116" i="74"/>
  <c r="M116" i="74"/>
  <c r="J116" i="74"/>
  <c r="G116" i="74"/>
  <c r="H116" i="74" s="1"/>
  <c r="AD115" i="74"/>
  <c r="U115" i="74"/>
  <c r="S115" i="74"/>
  <c r="P115" i="74"/>
  <c r="M115" i="74"/>
  <c r="J115" i="74"/>
  <c r="G115" i="74"/>
  <c r="H115" i="74" s="1"/>
  <c r="AD114" i="74"/>
  <c r="U114" i="74"/>
  <c r="S114" i="74"/>
  <c r="P114" i="74"/>
  <c r="M114" i="74"/>
  <c r="J114" i="74"/>
  <c r="G114" i="74"/>
  <c r="H114" i="74" s="1"/>
  <c r="AD113" i="74"/>
  <c r="U113" i="74"/>
  <c r="S113" i="74"/>
  <c r="P113" i="74"/>
  <c r="M113" i="74"/>
  <c r="J113" i="74"/>
  <c r="G113" i="74"/>
  <c r="H113" i="74" s="1"/>
  <c r="AD112" i="74"/>
  <c r="U112" i="74"/>
  <c r="S112" i="74"/>
  <c r="P112" i="74"/>
  <c r="M112" i="74"/>
  <c r="J112" i="74"/>
  <c r="G112" i="74"/>
  <c r="H112" i="74" s="1"/>
  <c r="AD111" i="74"/>
  <c r="U111" i="74"/>
  <c r="S111" i="74"/>
  <c r="P111" i="74"/>
  <c r="M111" i="74"/>
  <c r="J111" i="74"/>
  <c r="G111" i="74"/>
  <c r="H111" i="74" s="1"/>
  <c r="AD110" i="74"/>
  <c r="U110" i="74"/>
  <c r="S110" i="74"/>
  <c r="P110" i="74"/>
  <c r="M110" i="74"/>
  <c r="J110" i="74"/>
  <c r="G110" i="74"/>
  <c r="H110" i="74" s="1"/>
  <c r="AD109" i="74"/>
  <c r="U109" i="74"/>
  <c r="S109" i="74"/>
  <c r="P109" i="74"/>
  <c r="M109" i="74"/>
  <c r="J109" i="74"/>
  <c r="G109" i="74"/>
  <c r="H109" i="74" s="1"/>
  <c r="AD108" i="74"/>
  <c r="U108" i="74"/>
  <c r="S108" i="74"/>
  <c r="P108" i="74"/>
  <c r="M108" i="74"/>
  <c r="J108" i="74"/>
  <c r="G108" i="74"/>
  <c r="H108" i="74" s="1"/>
  <c r="AD107" i="74"/>
  <c r="U107" i="74"/>
  <c r="S107" i="74"/>
  <c r="P107" i="74"/>
  <c r="M107" i="74"/>
  <c r="J107" i="74"/>
  <c r="G107" i="74"/>
  <c r="H107" i="74" s="1"/>
  <c r="AD106" i="74"/>
  <c r="U106" i="74"/>
  <c r="S106" i="74"/>
  <c r="P106" i="74"/>
  <c r="M106" i="74"/>
  <c r="J106" i="74"/>
  <c r="G106" i="74"/>
  <c r="H106" i="74" s="1"/>
  <c r="AD105" i="74"/>
  <c r="U105" i="74"/>
  <c r="S105" i="74"/>
  <c r="P105" i="74"/>
  <c r="M105" i="74"/>
  <c r="J105" i="74"/>
  <c r="G105" i="74"/>
  <c r="H105" i="74" s="1"/>
  <c r="AD104" i="74"/>
  <c r="U104" i="74"/>
  <c r="S104" i="74"/>
  <c r="P104" i="74"/>
  <c r="M104" i="74"/>
  <c r="J104" i="74"/>
  <c r="G104" i="74"/>
  <c r="H104" i="74" s="1"/>
  <c r="AD103" i="74"/>
  <c r="U103" i="74"/>
  <c r="S103" i="74"/>
  <c r="P103" i="74"/>
  <c r="M103" i="74"/>
  <c r="J103" i="74"/>
  <c r="G103" i="74"/>
  <c r="H103" i="74" s="1"/>
  <c r="AD102" i="74"/>
  <c r="U102" i="74"/>
  <c r="S102" i="74"/>
  <c r="P102" i="74"/>
  <c r="M102" i="74"/>
  <c r="J102" i="74"/>
  <c r="G102" i="74"/>
  <c r="H102" i="74" s="1"/>
  <c r="AD101" i="74"/>
  <c r="U101" i="74"/>
  <c r="S101" i="74"/>
  <c r="P101" i="74"/>
  <c r="M101" i="74"/>
  <c r="J101" i="74"/>
  <c r="G101" i="74"/>
  <c r="H101" i="74" s="1"/>
  <c r="AD100" i="74"/>
  <c r="U100" i="74"/>
  <c r="S100" i="74"/>
  <c r="P100" i="74"/>
  <c r="M100" i="74"/>
  <c r="J100" i="74"/>
  <c r="G100" i="74"/>
  <c r="H100" i="74" s="1"/>
  <c r="AD99" i="74"/>
  <c r="U99" i="74"/>
  <c r="S99" i="74"/>
  <c r="P99" i="74"/>
  <c r="M99" i="74"/>
  <c r="J99" i="74"/>
  <c r="G99" i="74"/>
  <c r="H99" i="74" s="1"/>
  <c r="AD98" i="74"/>
  <c r="U98" i="74"/>
  <c r="S98" i="74"/>
  <c r="P98" i="74"/>
  <c r="M98" i="74"/>
  <c r="J98" i="74"/>
  <c r="G98" i="74"/>
  <c r="H98" i="74" s="1"/>
  <c r="AD97" i="74"/>
  <c r="U97" i="74"/>
  <c r="S97" i="74"/>
  <c r="P97" i="74"/>
  <c r="M97" i="74"/>
  <c r="J97" i="74"/>
  <c r="G97" i="74"/>
  <c r="H97" i="74" s="1"/>
  <c r="AD96" i="74"/>
  <c r="U96" i="74"/>
  <c r="S96" i="74"/>
  <c r="P96" i="74"/>
  <c r="M96" i="74"/>
  <c r="J96" i="74"/>
  <c r="G96" i="74"/>
  <c r="H96" i="74" s="1"/>
  <c r="AD95" i="74"/>
  <c r="U95" i="74"/>
  <c r="S95" i="74"/>
  <c r="P95" i="74"/>
  <c r="M95" i="74"/>
  <c r="J95" i="74"/>
  <c r="G95" i="74"/>
  <c r="H95" i="74" s="1"/>
  <c r="AD94" i="74"/>
  <c r="U94" i="74"/>
  <c r="S94" i="74"/>
  <c r="P94" i="74"/>
  <c r="J94" i="74"/>
  <c r="G94" i="74"/>
  <c r="H94" i="74" s="1"/>
  <c r="AD93" i="74"/>
  <c r="U93" i="74"/>
  <c r="S93" i="74"/>
  <c r="P93" i="74"/>
  <c r="J93" i="74"/>
  <c r="G93" i="74"/>
  <c r="H93" i="74" s="1"/>
  <c r="AD92" i="74"/>
  <c r="U92" i="74"/>
  <c r="S92" i="74"/>
  <c r="P92" i="74"/>
  <c r="M92" i="74"/>
  <c r="J92" i="74"/>
  <c r="G92" i="74"/>
  <c r="H92" i="74" s="1"/>
  <c r="AD91" i="74"/>
  <c r="U91" i="74"/>
  <c r="S91" i="74"/>
  <c r="P91" i="74"/>
  <c r="M91" i="74"/>
  <c r="J91" i="74"/>
  <c r="G91" i="74"/>
  <c r="H91" i="74" s="1"/>
  <c r="AD90" i="74"/>
  <c r="U90" i="74"/>
  <c r="S90" i="74"/>
  <c r="P90" i="74"/>
  <c r="M90" i="74"/>
  <c r="J90" i="74"/>
  <c r="G90" i="74"/>
  <c r="H90" i="74" s="1"/>
  <c r="AD89" i="74"/>
  <c r="U89" i="74"/>
  <c r="S89" i="74"/>
  <c r="P89" i="74"/>
  <c r="M89" i="74"/>
  <c r="J89" i="74"/>
  <c r="G89" i="74"/>
  <c r="H89" i="74" s="1"/>
  <c r="AD88" i="74"/>
  <c r="U88" i="74"/>
  <c r="S88" i="74"/>
  <c r="P88" i="74"/>
  <c r="J88" i="74"/>
  <c r="G88" i="74"/>
  <c r="H88" i="74" s="1"/>
  <c r="AD87" i="74"/>
  <c r="U87" i="74"/>
  <c r="S87" i="74"/>
  <c r="P87" i="74"/>
  <c r="M87" i="74"/>
  <c r="J87" i="74"/>
  <c r="G87" i="74"/>
  <c r="H87" i="74" s="1"/>
  <c r="AD86" i="74"/>
  <c r="U86" i="74"/>
  <c r="S86" i="74"/>
  <c r="P86" i="74"/>
  <c r="M86" i="74"/>
  <c r="J86" i="74"/>
  <c r="G86" i="74"/>
  <c r="H86" i="74" s="1"/>
  <c r="AD85" i="74"/>
  <c r="U85" i="74"/>
  <c r="S85" i="74"/>
  <c r="P85" i="74"/>
  <c r="M85" i="74"/>
  <c r="J85" i="74"/>
  <c r="G85" i="74"/>
  <c r="H85" i="74" s="1"/>
  <c r="AD84" i="74"/>
  <c r="U84" i="74"/>
  <c r="S84" i="74"/>
  <c r="P84" i="74"/>
  <c r="M84" i="74"/>
  <c r="J84" i="74"/>
  <c r="G84" i="74"/>
  <c r="H84" i="74" s="1"/>
  <c r="AD83" i="74"/>
  <c r="U83" i="74"/>
  <c r="S83" i="74"/>
  <c r="P83" i="74"/>
  <c r="M83" i="74"/>
  <c r="J83" i="74"/>
  <c r="G83" i="74"/>
  <c r="H83" i="74" s="1"/>
  <c r="AD82" i="74"/>
  <c r="U82" i="74"/>
  <c r="S82" i="74"/>
  <c r="P82" i="74"/>
  <c r="M82" i="74"/>
  <c r="J82" i="74"/>
  <c r="G82" i="74"/>
  <c r="H82" i="74" s="1"/>
  <c r="AD81" i="74"/>
  <c r="U81" i="74"/>
  <c r="S81" i="74"/>
  <c r="P81" i="74"/>
  <c r="M81" i="74"/>
  <c r="J81" i="74"/>
  <c r="G81" i="74"/>
  <c r="H81" i="74" s="1"/>
  <c r="AD80" i="74"/>
  <c r="U80" i="74"/>
  <c r="S80" i="74"/>
  <c r="P80" i="74"/>
  <c r="M80" i="74"/>
  <c r="J80" i="74"/>
  <c r="G80" i="74"/>
  <c r="H80" i="74" s="1"/>
  <c r="AD79" i="74"/>
  <c r="U79" i="74"/>
  <c r="S79" i="74"/>
  <c r="P79" i="74"/>
  <c r="M79" i="74"/>
  <c r="J79" i="74"/>
  <c r="G79" i="74"/>
  <c r="H79" i="74" s="1"/>
  <c r="AD78" i="74"/>
  <c r="U78" i="74"/>
  <c r="S78" i="74"/>
  <c r="P78" i="74"/>
  <c r="M78" i="74"/>
  <c r="J78" i="74"/>
  <c r="G78" i="74"/>
  <c r="H78" i="74" s="1"/>
  <c r="AD77" i="74"/>
  <c r="U77" i="74"/>
  <c r="S77" i="74"/>
  <c r="P77" i="74"/>
  <c r="M77" i="74"/>
  <c r="J77" i="74"/>
  <c r="G77" i="74"/>
  <c r="H77" i="74" s="1"/>
  <c r="AD76" i="74"/>
  <c r="U76" i="74"/>
  <c r="S76" i="74"/>
  <c r="P76" i="74"/>
  <c r="M76" i="74"/>
  <c r="J76" i="74"/>
  <c r="G76" i="74"/>
  <c r="H76" i="74" s="1"/>
  <c r="AD75" i="74"/>
  <c r="U75" i="74"/>
  <c r="S75" i="74"/>
  <c r="P75" i="74"/>
  <c r="M75" i="74"/>
  <c r="J75" i="74"/>
  <c r="G75" i="74"/>
  <c r="H75" i="74" s="1"/>
  <c r="AD74" i="74"/>
  <c r="U74" i="74"/>
  <c r="S74" i="74"/>
  <c r="P74" i="74"/>
  <c r="M74" i="74"/>
  <c r="J74" i="74"/>
  <c r="G74" i="74"/>
  <c r="H74" i="74" s="1"/>
  <c r="AD73" i="74"/>
  <c r="U73" i="74"/>
  <c r="S73" i="74"/>
  <c r="P73" i="74"/>
  <c r="M73" i="74"/>
  <c r="J73" i="74"/>
  <c r="G73" i="74"/>
  <c r="H73" i="74" s="1"/>
  <c r="AD72" i="74"/>
  <c r="U72" i="74"/>
  <c r="S72" i="74"/>
  <c r="P72" i="74"/>
  <c r="M72" i="74"/>
  <c r="J72" i="74"/>
  <c r="G72" i="74"/>
  <c r="H72" i="74" s="1"/>
  <c r="AD71" i="74"/>
  <c r="U71" i="74"/>
  <c r="S71" i="74"/>
  <c r="P71" i="74"/>
  <c r="M71" i="74"/>
  <c r="J71" i="74"/>
  <c r="G71" i="74"/>
  <c r="H71" i="74" s="1"/>
  <c r="AD70" i="74"/>
  <c r="U70" i="74"/>
  <c r="S70" i="74"/>
  <c r="P70" i="74"/>
  <c r="M70" i="74"/>
  <c r="J70" i="74"/>
  <c r="G70" i="74"/>
  <c r="H70" i="74" s="1"/>
  <c r="AD69" i="74"/>
  <c r="U69" i="74"/>
  <c r="S69" i="74"/>
  <c r="P69" i="74"/>
  <c r="M69" i="74"/>
  <c r="J69" i="74"/>
  <c r="G69" i="74"/>
  <c r="H69" i="74" s="1"/>
  <c r="AD68" i="74"/>
  <c r="U68" i="74"/>
  <c r="S68" i="74"/>
  <c r="P68" i="74"/>
  <c r="J68" i="74"/>
  <c r="G68" i="74"/>
  <c r="H68" i="74" s="1"/>
  <c r="AD67" i="74"/>
  <c r="U67" i="74"/>
  <c r="S67" i="74"/>
  <c r="P67" i="74"/>
  <c r="M67" i="74"/>
  <c r="J67" i="74"/>
  <c r="G67" i="74"/>
  <c r="H67" i="74" s="1"/>
  <c r="AD66" i="74"/>
  <c r="U66" i="74"/>
  <c r="S66" i="74"/>
  <c r="P66" i="74"/>
  <c r="M66" i="74"/>
  <c r="J66" i="74"/>
  <c r="G66" i="74"/>
  <c r="H66" i="74" s="1"/>
  <c r="AD65" i="74"/>
  <c r="U65" i="74"/>
  <c r="S65" i="74"/>
  <c r="P65" i="74"/>
  <c r="M65" i="74"/>
  <c r="J65" i="74"/>
  <c r="G65" i="74"/>
  <c r="H65" i="74" s="1"/>
  <c r="AD64" i="74"/>
  <c r="U64" i="74"/>
  <c r="S64" i="74"/>
  <c r="P64" i="74"/>
  <c r="M64" i="74"/>
  <c r="J64" i="74"/>
  <c r="G64" i="74"/>
  <c r="H64" i="74" s="1"/>
  <c r="AD63" i="74"/>
  <c r="U63" i="74"/>
  <c r="S63" i="74"/>
  <c r="P63" i="74"/>
  <c r="M63" i="74"/>
  <c r="J63" i="74"/>
  <c r="G63" i="74"/>
  <c r="H63" i="74" s="1"/>
  <c r="AD62" i="74"/>
  <c r="U62" i="74"/>
  <c r="S62" i="74"/>
  <c r="P62" i="74"/>
  <c r="M62" i="74"/>
  <c r="J62" i="74"/>
  <c r="G62" i="74"/>
  <c r="H62" i="74" s="1"/>
  <c r="AD61" i="74"/>
  <c r="U61" i="74"/>
  <c r="S61" i="74"/>
  <c r="P61" i="74"/>
  <c r="M61" i="74"/>
  <c r="J61" i="74"/>
  <c r="G61" i="74"/>
  <c r="H61" i="74" s="1"/>
  <c r="AD60" i="74"/>
  <c r="U60" i="74"/>
  <c r="S60" i="74"/>
  <c r="P60" i="74"/>
  <c r="M60" i="74"/>
  <c r="J60" i="74"/>
  <c r="G60" i="74"/>
  <c r="H60" i="74" s="1"/>
  <c r="AD59" i="74"/>
  <c r="U59" i="74"/>
  <c r="S59" i="74"/>
  <c r="P59" i="74"/>
  <c r="M59" i="74"/>
  <c r="J59" i="74"/>
  <c r="G59" i="74"/>
  <c r="H59" i="74" s="1"/>
  <c r="AD58" i="74"/>
  <c r="U58" i="74"/>
  <c r="S58" i="74"/>
  <c r="P58" i="74"/>
  <c r="M58" i="74"/>
  <c r="J58" i="74"/>
  <c r="G58" i="74"/>
  <c r="H58" i="74" s="1"/>
  <c r="AD57" i="74"/>
  <c r="U57" i="74"/>
  <c r="S57" i="74"/>
  <c r="P57" i="74"/>
  <c r="M57" i="74"/>
  <c r="J57" i="74"/>
  <c r="G57" i="74"/>
  <c r="H57" i="74" s="1"/>
  <c r="AD56" i="74"/>
  <c r="U56" i="74"/>
  <c r="S56" i="74"/>
  <c r="P56" i="74"/>
  <c r="M56" i="74"/>
  <c r="J56" i="74"/>
  <c r="G56" i="74"/>
  <c r="H56" i="74" s="1"/>
  <c r="AD55" i="74"/>
  <c r="U55" i="74"/>
  <c r="S55" i="74"/>
  <c r="P55" i="74"/>
  <c r="M55" i="74"/>
  <c r="J55" i="74"/>
  <c r="G55" i="74"/>
  <c r="H55" i="74" s="1"/>
  <c r="AD54" i="74"/>
  <c r="U54" i="74"/>
  <c r="S54" i="74"/>
  <c r="P54" i="74"/>
  <c r="M54" i="74"/>
  <c r="J54" i="74"/>
  <c r="G54" i="74"/>
  <c r="H54" i="74" s="1"/>
  <c r="AD53" i="74"/>
  <c r="U53" i="74"/>
  <c r="S53" i="74"/>
  <c r="P53" i="74"/>
  <c r="M53" i="74"/>
  <c r="J53" i="74"/>
  <c r="G53" i="74"/>
  <c r="H53" i="74" s="1"/>
  <c r="AD52" i="74"/>
  <c r="U52" i="74"/>
  <c r="S52" i="74"/>
  <c r="P52" i="74"/>
  <c r="M52" i="74"/>
  <c r="J52" i="74"/>
  <c r="G52" i="74"/>
  <c r="H52" i="74" s="1"/>
  <c r="AD51" i="74"/>
  <c r="U51" i="74"/>
  <c r="S51" i="74"/>
  <c r="P51" i="74"/>
  <c r="M51" i="74"/>
  <c r="J51" i="74"/>
  <c r="G51" i="74"/>
  <c r="H51" i="74" s="1"/>
  <c r="AD50" i="74"/>
  <c r="U50" i="74"/>
  <c r="S50" i="74"/>
  <c r="P50" i="74"/>
  <c r="M50" i="74"/>
  <c r="J50" i="74"/>
  <c r="G50" i="74"/>
  <c r="H50" i="74" s="1"/>
  <c r="AD49" i="74"/>
  <c r="U49" i="74"/>
  <c r="S49" i="74"/>
  <c r="P49" i="74"/>
  <c r="M49" i="74"/>
  <c r="J49" i="74"/>
  <c r="G49" i="74"/>
  <c r="H49" i="74" s="1"/>
  <c r="AD48" i="74"/>
  <c r="U48" i="74"/>
  <c r="S48" i="74"/>
  <c r="P48" i="74"/>
  <c r="M48" i="74"/>
  <c r="J48" i="74"/>
  <c r="G48" i="74"/>
  <c r="H48" i="74" s="1"/>
  <c r="AD47" i="74"/>
  <c r="U47" i="74"/>
  <c r="S47" i="74"/>
  <c r="P47" i="74"/>
  <c r="M47" i="74"/>
  <c r="J47" i="74"/>
  <c r="G47" i="74"/>
  <c r="H47" i="74" s="1"/>
  <c r="AD46" i="74"/>
  <c r="U46" i="74"/>
  <c r="S46" i="74"/>
  <c r="P46" i="74"/>
  <c r="M46" i="74"/>
  <c r="J46" i="74"/>
  <c r="G46" i="74"/>
  <c r="H46" i="74" s="1"/>
  <c r="AD45" i="74"/>
  <c r="U45" i="74"/>
  <c r="S45" i="74"/>
  <c r="P45" i="74"/>
  <c r="M45" i="74"/>
  <c r="J45" i="74"/>
  <c r="G45" i="74"/>
  <c r="H45" i="74" s="1"/>
  <c r="AD44" i="74"/>
  <c r="U44" i="74"/>
  <c r="S44" i="74"/>
  <c r="P44" i="74"/>
  <c r="M44" i="74"/>
  <c r="J44" i="74"/>
  <c r="G44" i="74"/>
  <c r="H44" i="74" s="1"/>
  <c r="AD43" i="74"/>
  <c r="U43" i="74"/>
  <c r="S43" i="74"/>
  <c r="P43" i="74"/>
  <c r="J43" i="74"/>
  <c r="G43" i="74"/>
  <c r="H43" i="74" s="1"/>
  <c r="AD42" i="74"/>
  <c r="U42" i="74"/>
  <c r="S42" i="74"/>
  <c r="P42" i="74"/>
  <c r="M42" i="74"/>
  <c r="J42" i="74"/>
  <c r="G42" i="74"/>
  <c r="H42" i="74" s="1"/>
  <c r="AD41" i="74"/>
  <c r="U41" i="74"/>
  <c r="S41" i="74"/>
  <c r="P41" i="74"/>
  <c r="M41" i="74"/>
  <c r="J41" i="74"/>
  <c r="G41" i="74"/>
  <c r="H41" i="74" s="1"/>
  <c r="AD40" i="74"/>
  <c r="U40" i="74"/>
  <c r="S40" i="74"/>
  <c r="P40" i="74"/>
  <c r="M40" i="74"/>
  <c r="J40" i="74"/>
  <c r="G40" i="74"/>
  <c r="H40" i="74" s="1"/>
  <c r="AD39" i="74"/>
  <c r="U39" i="74"/>
  <c r="S39" i="74"/>
  <c r="P39" i="74"/>
  <c r="M39" i="74"/>
  <c r="J39" i="74"/>
  <c r="G39" i="74"/>
  <c r="H39" i="74" s="1"/>
  <c r="AD38" i="74"/>
  <c r="U38" i="74"/>
  <c r="S38" i="74"/>
  <c r="P38" i="74"/>
  <c r="M38" i="74"/>
  <c r="J38" i="74"/>
  <c r="G38" i="74"/>
  <c r="H38" i="74" s="1"/>
  <c r="AD37" i="74"/>
  <c r="U37" i="74"/>
  <c r="S37" i="74"/>
  <c r="P37" i="74"/>
  <c r="M37" i="74"/>
  <c r="J37" i="74"/>
  <c r="G37" i="74"/>
  <c r="H37" i="74" s="1"/>
  <c r="AD36" i="74"/>
  <c r="U36" i="74"/>
  <c r="S36" i="74"/>
  <c r="P36" i="74"/>
  <c r="M36" i="74"/>
  <c r="J36" i="74"/>
  <c r="G36" i="74"/>
  <c r="H36" i="74" s="1"/>
  <c r="AD35" i="74"/>
  <c r="U35" i="74"/>
  <c r="S35" i="74"/>
  <c r="P35" i="74"/>
  <c r="M35" i="74"/>
  <c r="J35" i="74"/>
  <c r="G35" i="74"/>
  <c r="H35" i="74" s="1"/>
  <c r="AD34" i="74"/>
  <c r="U34" i="74"/>
  <c r="S34" i="74"/>
  <c r="P34" i="74"/>
  <c r="M34" i="74"/>
  <c r="J34" i="74"/>
  <c r="G34" i="74"/>
  <c r="H34" i="74" s="1"/>
  <c r="AD33" i="74"/>
  <c r="U33" i="74"/>
  <c r="S33" i="74"/>
  <c r="P33" i="74"/>
  <c r="M33" i="74"/>
  <c r="J33" i="74"/>
  <c r="G33" i="74"/>
  <c r="H33" i="74" s="1"/>
  <c r="AD32" i="74"/>
  <c r="U32" i="74"/>
  <c r="S32" i="74"/>
  <c r="P32" i="74"/>
  <c r="M32" i="74"/>
  <c r="J32" i="74"/>
  <c r="G32" i="74"/>
  <c r="H32" i="74" s="1"/>
  <c r="AD31" i="74"/>
  <c r="U31" i="74"/>
  <c r="S31" i="74"/>
  <c r="P31" i="74"/>
  <c r="M31" i="74"/>
  <c r="J31" i="74"/>
  <c r="G31" i="74"/>
  <c r="H31" i="74" s="1"/>
  <c r="AD30" i="74"/>
  <c r="U30" i="74"/>
  <c r="S30" i="74"/>
  <c r="P30" i="74"/>
  <c r="M30" i="74"/>
  <c r="J30" i="74"/>
  <c r="G30" i="74"/>
  <c r="H30" i="74" s="1"/>
  <c r="AD29" i="74"/>
  <c r="U29" i="74"/>
  <c r="S29" i="74"/>
  <c r="P29" i="74"/>
  <c r="M29" i="74"/>
  <c r="J29" i="74"/>
  <c r="G29" i="74"/>
  <c r="H29" i="74" s="1"/>
  <c r="AD28" i="74"/>
  <c r="U28" i="74"/>
  <c r="S28" i="74"/>
  <c r="P28" i="74"/>
  <c r="M28" i="74"/>
  <c r="J28" i="74"/>
  <c r="G28" i="74"/>
  <c r="H28" i="74" s="1"/>
  <c r="AD27" i="74"/>
  <c r="U27" i="74"/>
  <c r="S27" i="74"/>
  <c r="P27" i="74"/>
  <c r="M27" i="74"/>
  <c r="J27" i="74"/>
  <c r="G27" i="74"/>
  <c r="H27" i="74" s="1"/>
  <c r="AD26" i="74"/>
  <c r="U26" i="74"/>
  <c r="S26" i="74"/>
  <c r="P26" i="74"/>
  <c r="M26" i="74"/>
  <c r="J26" i="74"/>
  <c r="G26" i="74"/>
  <c r="H26" i="74" s="1"/>
  <c r="AD25" i="74"/>
  <c r="U25" i="74"/>
  <c r="S25" i="74"/>
  <c r="P25" i="74"/>
  <c r="M25" i="74"/>
  <c r="J25" i="74"/>
  <c r="G25" i="74"/>
  <c r="H25" i="74" s="1"/>
  <c r="AD24" i="74"/>
  <c r="U24" i="74"/>
  <c r="S24" i="74"/>
  <c r="P24" i="74"/>
  <c r="M24" i="74"/>
  <c r="J24" i="74"/>
  <c r="G24" i="74"/>
  <c r="H24" i="74" s="1"/>
  <c r="AD23" i="74"/>
  <c r="U23" i="74"/>
  <c r="S23" i="74"/>
  <c r="P23" i="74"/>
  <c r="M23" i="74"/>
  <c r="J23" i="74"/>
  <c r="G23" i="74"/>
  <c r="H23" i="74" s="1"/>
  <c r="AD22" i="74"/>
  <c r="U22" i="74"/>
  <c r="S22" i="74"/>
  <c r="P22" i="74"/>
  <c r="M22" i="74"/>
  <c r="J22" i="74"/>
  <c r="G22" i="74"/>
  <c r="H22" i="74" s="1"/>
  <c r="AD21" i="74"/>
  <c r="U21" i="74"/>
  <c r="S21" i="74"/>
  <c r="P21" i="74"/>
  <c r="M21" i="74"/>
  <c r="J21" i="74"/>
  <c r="G21" i="74"/>
  <c r="H21" i="74" s="1"/>
  <c r="AD20" i="74"/>
  <c r="U20" i="74"/>
  <c r="S20" i="74"/>
  <c r="P20" i="74"/>
  <c r="M20" i="74"/>
  <c r="J20" i="74"/>
  <c r="G20" i="74"/>
  <c r="H20" i="74" s="1"/>
  <c r="AD19" i="74"/>
  <c r="U19" i="74"/>
  <c r="S19" i="74"/>
  <c r="P19" i="74"/>
  <c r="M19" i="74"/>
  <c r="J19" i="74"/>
  <c r="G19" i="74"/>
  <c r="H19" i="74" s="1"/>
  <c r="AD18" i="74"/>
  <c r="U18" i="74"/>
  <c r="S18" i="74"/>
  <c r="P18" i="74"/>
  <c r="M18" i="74"/>
  <c r="J18" i="74"/>
  <c r="G18" i="74"/>
  <c r="H18" i="74" s="1"/>
  <c r="AD17" i="74"/>
  <c r="U17" i="74"/>
  <c r="S17" i="74"/>
  <c r="P17" i="74"/>
  <c r="M17" i="74"/>
  <c r="J17" i="74"/>
  <c r="G17" i="74"/>
  <c r="H17" i="74" s="1"/>
  <c r="AD16" i="74"/>
  <c r="U16" i="74"/>
  <c r="S16" i="74"/>
  <c r="P16" i="74"/>
  <c r="M16" i="74"/>
  <c r="J16" i="74"/>
  <c r="G16" i="74"/>
  <c r="H16" i="74" s="1"/>
  <c r="AD15" i="74"/>
  <c r="U15" i="74"/>
  <c r="S15" i="74"/>
  <c r="P15" i="74"/>
  <c r="M15" i="74"/>
  <c r="J15" i="74"/>
  <c r="G15" i="74"/>
  <c r="H15" i="74" s="1"/>
  <c r="AD14" i="74"/>
  <c r="U14" i="74"/>
  <c r="S14" i="74"/>
  <c r="P14" i="74"/>
  <c r="M14" i="74"/>
  <c r="J14" i="74"/>
  <c r="G14" i="74"/>
  <c r="H14" i="74" s="1"/>
  <c r="AD13" i="74"/>
  <c r="U13" i="74"/>
  <c r="S13" i="74"/>
  <c r="P13" i="74"/>
  <c r="M13" i="74"/>
  <c r="J13" i="74"/>
  <c r="G13" i="74"/>
  <c r="H13" i="74" s="1"/>
  <c r="AD12" i="74"/>
  <c r="U12" i="74"/>
  <c r="S12" i="74"/>
  <c r="P12" i="74"/>
  <c r="J12" i="74"/>
  <c r="G12" i="74"/>
  <c r="H12" i="74" s="1"/>
  <c r="AD11" i="74"/>
  <c r="U11" i="74"/>
  <c r="S11" i="74"/>
  <c r="P11" i="74"/>
  <c r="J11" i="74"/>
  <c r="G11" i="74"/>
  <c r="H11" i="74" s="1"/>
  <c r="AD10" i="74"/>
  <c r="U10" i="74"/>
  <c r="S10" i="74"/>
  <c r="P10" i="74"/>
  <c r="J10" i="74"/>
  <c r="G10" i="74"/>
  <c r="H10" i="74" s="1"/>
  <c r="AD9" i="74"/>
  <c r="U9" i="74"/>
  <c r="S9" i="74"/>
  <c r="P9" i="74"/>
  <c r="J9" i="74"/>
  <c r="H9" i="74"/>
  <c r="G9" i="74"/>
  <c r="AD8" i="74"/>
  <c r="U8" i="74"/>
  <c r="S8" i="74"/>
  <c r="P8" i="74"/>
  <c r="J8" i="74"/>
  <c r="G8" i="74"/>
  <c r="H8" i="74" s="1"/>
  <c r="AD7" i="74"/>
  <c r="U7" i="74"/>
  <c r="S7" i="74"/>
  <c r="P7" i="74"/>
  <c r="M7" i="74"/>
  <c r="G7" i="74"/>
  <c r="H7" i="74" s="1"/>
  <c r="AD6" i="74"/>
  <c r="U6" i="74"/>
  <c r="S6" i="74"/>
  <c r="P6" i="74"/>
  <c r="M6" i="74"/>
  <c r="J6" i="74"/>
  <c r="G6" i="74"/>
  <c r="H6" i="74" s="1"/>
  <c r="AD5" i="74"/>
  <c r="U5" i="74"/>
  <c r="S5" i="74"/>
  <c r="P5" i="74"/>
  <c r="M5" i="74"/>
  <c r="J5" i="74"/>
  <c r="G5" i="74"/>
  <c r="H5" i="74" s="1"/>
  <c r="AD4" i="74"/>
  <c r="U4" i="74"/>
  <c r="S4" i="74"/>
  <c r="P4" i="74"/>
  <c r="M4" i="74"/>
  <c r="J4" i="74"/>
  <c r="G4" i="74"/>
  <c r="H4" i="74" s="1"/>
  <c r="D612" i="74" l="1"/>
  <c r="E612" i="74" s="1"/>
  <c r="AD604" i="74"/>
  <c r="D608" i="74" s="1"/>
  <c r="D609" i="74" s="1"/>
  <c r="D611" i="74" s="1"/>
  <c r="E611" i="74" s="1"/>
  <c r="G367" i="32" l="1"/>
  <c r="H367" i="32" s="1"/>
  <c r="G630" i="32"/>
  <c r="H630" i="32" s="1"/>
  <c r="G3" i="32"/>
  <c r="H3" i="32" s="1"/>
  <c r="G4" i="32"/>
  <c r="H4" i="32" s="1"/>
  <c r="G5" i="32"/>
  <c r="H5" i="32" s="1"/>
  <c r="G6" i="32"/>
  <c r="H6" i="32" s="1"/>
  <c r="G7" i="32"/>
  <c r="H7" i="32" s="1"/>
  <c r="G8" i="32"/>
  <c r="H8" i="32" s="1"/>
  <c r="G9" i="32"/>
  <c r="H9" i="32" s="1"/>
  <c r="G10" i="32"/>
  <c r="H10" i="32" s="1"/>
  <c r="G11" i="32"/>
  <c r="H11" i="32" s="1"/>
  <c r="G12" i="32"/>
  <c r="H12" i="32" s="1"/>
  <c r="G13" i="32"/>
  <c r="H13" i="32" s="1"/>
  <c r="G14" i="32"/>
  <c r="H14" i="32" s="1"/>
  <c r="G15" i="32"/>
  <c r="H15" i="32" s="1"/>
  <c r="G16" i="32"/>
  <c r="H16" i="32" s="1"/>
  <c r="G17" i="32"/>
  <c r="H17" i="32" s="1"/>
  <c r="G18" i="32"/>
  <c r="H18" i="32" s="1"/>
  <c r="G19" i="32"/>
  <c r="H19" i="32" s="1"/>
  <c r="G20" i="32"/>
  <c r="H20" i="32" s="1"/>
  <c r="G21" i="32"/>
  <c r="H21" i="32" s="1"/>
  <c r="G22" i="32"/>
  <c r="H22" i="32" s="1"/>
  <c r="G23" i="32"/>
  <c r="H23" i="32" s="1"/>
  <c r="G24" i="32"/>
  <c r="H24" i="32" s="1"/>
  <c r="G25" i="32"/>
  <c r="H25" i="32" s="1"/>
  <c r="G26" i="32"/>
  <c r="H26" i="32" s="1"/>
  <c r="G27" i="32"/>
  <c r="H27" i="32" s="1"/>
  <c r="G28" i="32"/>
  <c r="H28" i="32" s="1"/>
  <c r="G29" i="32"/>
  <c r="H29" i="32" s="1"/>
  <c r="G30" i="32"/>
  <c r="H30" i="32" s="1"/>
  <c r="G31" i="32"/>
  <c r="H31" i="32" s="1"/>
  <c r="G32" i="32"/>
  <c r="H32" i="32" s="1"/>
  <c r="G33" i="32"/>
  <c r="H33" i="32" s="1"/>
  <c r="G34" i="32"/>
  <c r="H34" i="32" s="1"/>
  <c r="G35" i="32"/>
  <c r="H35" i="32" s="1"/>
  <c r="G36" i="32"/>
  <c r="H36" i="32" s="1"/>
  <c r="G37" i="32"/>
  <c r="H37" i="32" s="1"/>
  <c r="G38" i="32"/>
  <c r="H38" i="32" s="1"/>
  <c r="G39" i="32"/>
  <c r="H39" i="32" s="1"/>
  <c r="G40" i="32"/>
  <c r="H40" i="32" s="1"/>
  <c r="G41" i="32"/>
  <c r="H41" i="32" s="1"/>
  <c r="G42" i="32"/>
  <c r="H42" i="32" s="1"/>
  <c r="G43" i="32"/>
  <c r="H43" i="32" s="1"/>
  <c r="G44" i="32"/>
  <c r="H44" i="32" s="1"/>
  <c r="G45" i="32"/>
  <c r="H45" i="32" s="1"/>
  <c r="G46" i="32"/>
  <c r="H46" i="32" s="1"/>
  <c r="G47" i="32"/>
  <c r="H47" i="32" s="1"/>
  <c r="G48" i="32"/>
  <c r="H48" i="32" s="1"/>
  <c r="G49" i="32"/>
  <c r="H49" i="32" s="1"/>
  <c r="G50" i="32"/>
  <c r="H50" i="32" s="1"/>
  <c r="G51" i="32"/>
  <c r="H51" i="32" s="1"/>
  <c r="G52" i="32"/>
  <c r="H52" i="32" s="1"/>
  <c r="G53" i="32"/>
  <c r="H53" i="32" s="1"/>
  <c r="G54" i="32"/>
  <c r="H54" i="32" s="1"/>
  <c r="G55" i="32"/>
  <c r="H55" i="32" s="1"/>
  <c r="G56" i="32"/>
  <c r="H56" i="32" s="1"/>
  <c r="G57" i="32"/>
  <c r="H57" i="32" s="1"/>
  <c r="G58" i="32"/>
  <c r="G59" i="32"/>
  <c r="H59" i="32" s="1"/>
  <c r="G60" i="32"/>
  <c r="H60" i="32" s="1"/>
  <c r="G61" i="32"/>
  <c r="H61" i="32" s="1"/>
  <c r="G62" i="32"/>
  <c r="H62" i="32" s="1"/>
  <c r="G63" i="32"/>
  <c r="H63" i="32" s="1"/>
  <c r="G64" i="32"/>
  <c r="H64" i="32" s="1"/>
  <c r="G65" i="32"/>
  <c r="H65" i="32" s="1"/>
  <c r="G66" i="32"/>
  <c r="H66" i="32" s="1"/>
  <c r="G67" i="32"/>
  <c r="H67" i="32" s="1"/>
  <c r="G68" i="32"/>
  <c r="H68" i="32" s="1"/>
  <c r="G69" i="32"/>
  <c r="H69" i="32" s="1"/>
  <c r="G70" i="32"/>
  <c r="H70" i="32" s="1"/>
  <c r="G71" i="32"/>
  <c r="H71" i="32" s="1"/>
  <c r="G72" i="32"/>
  <c r="H72" i="32" s="1"/>
  <c r="G73" i="32"/>
  <c r="H73" i="32" s="1"/>
  <c r="G74" i="32"/>
  <c r="H74" i="32" s="1"/>
  <c r="G75" i="32"/>
  <c r="H75" i="32" s="1"/>
  <c r="G76" i="32"/>
  <c r="H76" i="32" s="1"/>
  <c r="G77" i="32"/>
  <c r="H77" i="32" s="1"/>
  <c r="G78" i="32"/>
  <c r="H78" i="32" s="1"/>
  <c r="G79" i="32"/>
  <c r="H79" i="32" s="1"/>
  <c r="G80" i="32"/>
  <c r="H80" i="32" s="1"/>
  <c r="G81" i="32"/>
  <c r="H81" i="32" s="1"/>
  <c r="G82" i="32"/>
  <c r="H82" i="32" s="1"/>
  <c r="G83" i="32"/>
  <c r="H83" i="32" s="1"/>
  <c r="G84" i="32"/>
  <c r="H84" i="32" s="1"/>
  <c r="G85" i="32"/>
  <c r="H85" i="32" s="1"/>
  <c r="G86" i="32"/>
  <c r="H86" i="32" s="1"/>
  <c r="G87" i="32"/>
  <c r="H87" i="32" s="1"/>
  <c r="G88" i="32"/>
  <c r="H88" i="32" s="1"/>
  <c r="G89" i="32"/>
  <c r="H89" i="32" s="1"/>
  <c r="G90" i="32"/>
  <c r="H90" i="32" s="1"/>
  <c r="G91" i="32"/>
  <c r="H91" i="32" s="1"/>
  <c r="G92" i="32"/>
  <c r="H92" i="32" s="1"/>
  <c r="G93" i="32"/>
  <c r="H93" i="32" s="1"/>
  <c r="G94" i="32"/>
  <c r="H94" i="32" s="1"/>
  <c r="G95" i="32"/>
  <c r="H95" i="32" s="1"/>
  <c r="G96" i="32"/>
  <c r="H96" i="32" s="1"/>
  <c r="G97" i="32"/>
  <c r="H97" i="32" s="1"/>
  <c r="G98" i="32"/>
  <c r="H98" i="32" s="1"/>
  <c r="G99" i="32"/>
  <c r="H99" i="32" s="1"/>
  <c r="G100" i="32"/>
  <c r="H100" i="32" s="1"/>
  <c r="G101" i="32"/>
  <c r="H101" i="32" s="1"/>
  <c r="G102" i="32"/>
  <c r="H102" i="32" s="1"/>
  <c r="G103" i="32"/>
  <c r="H103" i="32" s="1"/>
  <c r="G104" i="32"/>
  <c r="H104" i="32" s="1"/>
  <c r="G105" i="32"/>
  <c r="H105" i="32" s="1"/>
  <c r="G106" i="32"/>
  <c r="H106" i="32" s="1"/>
  <c r="G107" i="32"/>
  <c r="H107" i="32" s="1"/>
  <c r="G108" i="32"/>
  <c r="H108" i="32" s="1"/>
  <c r="G109" i="32"/>
  <c r="H109" i="32" s="1"/>
  <c r="G110" i="32"/>
  <c r="H110" i="32" s="1"/>
  <c r="G111" i="32"/>
  <c r="H111" i="32" s="1"/>
  <c r="G112" i="32"/>
  <c r="H112" i="32" s="1"/>
  <c r="G113" i="32"/>
  <c r="H113" i="32" s="1"/>
  <c r="G114" i="32"/>
  <c r="H114" i="32" s="1"/>
  <c r="G115" i="32"/>
  <c r="H115" i="32" s="1"/>
  <c r="G116" i="32"/>
  <c r="H116" i="32" s="1"/>
  <c r="G117" i="32"/>
  <c r="H117" i="32" s="1"/>
  <c r="G118" i="32"/>
  <c r="H118" i="32" s="1"/>
  <c r="G119" i="32"/>
  <c r="H119" i="32" s="1"/>
  <c r="G120" i="32"/>
  <c r="H120" i="32" s="1"/>
  <c r="G121" i="32"/>
  <c r="H121" i="32" s="1"/>
  <c r="G122" i="32"/>
  <c r="H122" i="32" s="1"/>
  <c r="G123" i="32"/>
  <c r="H123" i="32" s="1"/>
  <c r="G124" i="32"/>
  <c r="H124" i="32" s="1"/>
  <c r="G125" i="32"/>
  <c r="H125" i="32" s="1"/>
  <c r="G126" i="32"/>
  <c r="H126" i="32" s="1"/>
  <c r="G127" i="32"/>
  <c r="H127" i="32" s="1"/>
  <c r="G128" i="32"/>
  <c r="H128" i="32" s="1"/>
  <c r="G129" i="32"/>
  <c r="H129" i="32" s="1"/>
  <c r="G130" i="32"/>
  <c r="H130" i="32" s="1"/>
  <c r="G131" i="32"/>
  <c r="H131" i="32" s="1"/>
  <c r="G132" i="32"/>
  <c r="H132" i="32" s="1"/>
  <c r="G133" i="32"/>
  <c r="H133" i="32" s="1"/>
  <c r="G134" i="32"/>
  <c r="H134" i="32" s="1"/>
  <c r="G135" i="32"/>
  <c r="H135" i="32" s="1"/>
  <c r="G136" i="32"/>
  <c r="H136" i="32" s="1"/>
  <c r="G137" i="32"/>
  <c r="H137" i="32" s="1"/>
  <c r="G138" i="32"/>
  <c r="H138" i="32" s="1"/>
  <c r="G139" i="32"/>
  <c r="H139" i="32" s="1"/>
  <c r="G140" i="32"/>
  <c r="H140" i="32" s="1"/>
  <c r="G141" i="32"/>
  <c r="H141" i="32" s="1"/>
  <c r="G142" i="32"/>
  <c r="H142" i="32" s="1"/>
  <c r="G143" i="32"/>
  <c r="H143" i="32" s="1"/>
  <c r="G144" i="32"/>
  <c r="H144" i="32" s="1"/>
  <c r="G145" i="32"/>
  <c r="H145" i="32" s="1"/>
  <c r="G146" i="32"/>
  <c r="H146" i="32" s="1"/>
  <c r="G147" i="32"/>
  <c r="H147" i="32" s="1"/>
  <c r="G148" i="32"/>
  <c r="H148" i="32" s="1"/>
  <c r="G149" i="32"/>
  <c r="H149" i="32" s="1"/>
  <c r="G150" i="32"/>
  <c r="H150" i="32" s="1"/>
  <c r="G151" i="32"/>
  <c r="H151" i="32" s="1"/>
  <c r="G152" i="32"/>
  <c r="H152" i="32" s="1"/>
  <c r="G153" i="32"/>
  <c r="G154" i="32"/>
  <c r="H154" i="32" s="1"/>
  <c r="G155" i="32"/>
  <c r="H155" i="32" s="1"/>
  <c r="G156" i="32"/>
  <c r="H156" i="32" s="1"/>
  <c r="G157" i="32"/>
  <c r="H157" i="32" s="1"/>
  <c r="G158" i="32"/>
  <c r="H158" i="32" s="1"/>
  <c r="G159" i="32"/>
  <c r="H159" i="32" s="1"/>
  <c r="G160" i="32"/>
  <c r="H160" i="32" s="1"/>
  <c r="G161" i="32"/>
  <c r="H161" i="32" s="1"/>
  <c r="G162" i="32"/>
  <c r="H162" i="32" s="1"/>
  <c r="G163" i="32"/>
  <c r="H163" i="32" s="1"/>
  <c r="G164" i="32"/>
  <c r="H164" i="32" s="1"/>
  <c r="G165" i="32"/>
  <c r="H165" i="32" s="1"/>
  <c r="G166" i="32"/>
  <c r="H166" i="32" s="1"/>
  <c r="G167" i="32"/>
  <c r="H167" i="32" s="1"/>
  <c r="G168" i="32"/>
  <c r="H168" i="32" s="1"/>
  <c r="G169" i="32"/>
  <c r="H169" i="32" s="1"/>
  <c r="G170" i="32"/>
  <c r="H170" i="32" s="1"/>
  <c r="G171" i="32"/>
  <c r="H171" i="32" s="1"/>
  <c r="G172" i="32"/>
  <c r="H172" i="32" s="1"/>
  <c r="G173" i="32"/>
  <c r="H173" i="32" s="1"/>
  <c r="G174" i="32"/>
  <c r="H174" i="32" s="1"/>
  <c r="G175" i="32"/>
  <c r="H175" i="32" s="1"/>
  <c r="G176" i="32"/>
  <c r="H176" i="32" s="1"/>
  <c r="G177" i="32"/>
  <c r="H177" i="32" s="1"/>
  <c r="G178" i="32"/>
  <c r="H178" i="32" s="1"/>
  <c r="G179" i="32"/>
  <c r="H179" i="32" s="1"/>
  <c r="G180" i="32"/>
  <c r="H180" i="32" s="1"/>
  <c r="G181" i="32"/>
  <c r="H181" i="32" s="1"/>
  <c r="G182" i="32"/>
  <c r="H182" i="32" s="1"/>
  <c r="G183" i="32"/>
  <c r="H183" i="32" s="1"/>
  <c r="G184" i="32"/>
  <c r="H184" i="32" s="1"/>
  <c r="G185" i="32"/>
  <c r="H185" i="32" s="1"/>
  <c r="G186" i="32"/>
  <c r="H186" i="32" s="1"/>
  <c r="G187" i="32"/>
  <c r="H187" i="32" s="1"/>
  <c r="G188" i="32"/>
  <c r="H188" i="32" s="1"/>
  <c r="G189" i="32"/>
  <c r="H189" i="32" s="1"/>
  <c r="G190" i="32"/>
  <c r="H190" i="32" s="1"/>
  <c r="G191" i="32"/>
  <c r="H191" i="32" s="1"/>
  <c r="G192" i="32"/>
  <c r="H192" i="32" s="1"/>
  <c r="G193" i="32"/>
  <c r="H193" i="32" s="1"/>
  <c r="G194" i="32"/>
  <c r="H194" i="32" s="1"/>
  <c r="G195" i="32"/>
  <c r="H195" i="32" s="1"/>
  <c r="G196" i="32"/>
  <c r="H196" i="32" s="1"/>
  <c r="G197" i="32"/>
  <c r="H197" i="32" s="1"/>
  <c r="G198" i="32"/>
  <c r="H198" i="32" s="1"/>
  <c r="G199" i="32"/>
  <c r="H199" i="32" s="1"/>
  <c r="G200" i="32"/>
  <c r="H200" i="32" s="1"/>
  <c r="G201" i="32"/>
  <c r="H201" i="32" s="1"/>
  <c r="G202" i="32"/>
  <c r="H202" i="32" s="1"/>
  <c r="G203" i="32"/>
  <c r="H203" i="32" s="1"/>
  <c r="G204" i="32"/>
  <c r="H204" i="32" s="1"/>
  <c r="G205" i="32"/>
  <c r="H205" i="32" s="1"/>
  <c r="G206" i="32"/>
  <c r="H206" i="32" s="1"/>
  <c r="G207" i="32"/>
  <c r="H207" i="32" s="1"/>
  <c r="G208" i="32"/>
  <c r="H208" i="32" s="1"/>
  <c r="G209" i="32"/>
  <c r="H209" i="32" s="1"/>
  <c r="G210" i="32"/>
  <c r="H210" i="32" s="1"/>
  <c r="G211" i="32"/>
  <c r="H211" i="32" s="1"/>
  <c r="G212" i="32"/>
  <c r="H212" i="32" s="1"/>
  <c r="G213" i="32"/>
  <c r="H213" i="32" s="1"/>
  <c r="G214" i="32"/>
  <c r="H214" i="32" s="1"/>
  <c r="G215" i="32"/>
  <c r="H215" i="32" s="1"/>
  <c r="G216" i="32"/>
  <c r="H216" i="32" s="1"/>
  <c r="G217" i="32"/>
  <c r="H217" i="32" s="1"/>
  <c r="G218" i="32"/>
  <c r="H218" i="32" s="1"/>
  <c r="G219" i="32"/>
  <c r="H219" i="32" s="1"/>
  <c r="G220" i="32"/>
  <c r="H220" i="32" s="1"/>
  <c r="G221" i="32"/>
  <c r="H221" i="32" s="1"/>
  <c r="G222" i="32"/>
  <c r="H222" i="32" s="1"/>
  <c r="G223" i="32"/>
  <c r="H223" i="32" s="1"/>
  <c r="G224" i="32"/>
  <c r="H224" i="32" s="1"/>
  <c r="G225" i="32"/>
  <c r="H225" i="32" s="1"/>
  <c r="G226" i="32"/>
  <c r="H226" i="32" s="1"/>
  <c r="G227" i="32"/>
  <c r="H227" i="32" s="1"/>
  <c r="G228" i="32"/>
  <c r="H228" i="32" s="1"/>
  <c r="G229" i="32"/>
  <c r="H229" i="32" s="1"/>
  <c r="G230" i="32"/>
  <c r="H230" i="32" s="1"/>
  <c r="G231" i="32"/>
  <c r="H231" i="32" s="1"/>
  <c r="G232" i="32"/>
  <c r="H232" i="32" s="1"/>
  <c r="G233" i="32"/>
  <c r="H233" i="32" s="1"/>
  <c r="G234" i="32"/>
  <c r="H234" i="32" s="1"/>
  <c r="G235" i="32"/>
  <c r="H235" i="32" s="1"/>
  <c r="G236" i="32"/>
  <c r="H236" i="32" s="1"/>
  <c r="G237" i="32"/>
  <c r="H237" i="32" s="1"/>
  <c r="G238" i="32"/>
  <c r="H238" i="32" s="1"/>
  <c r="G239" i="32"/>
  <c r="H239" i="32" s="1"/>
  <c r="G240" i="32"/>
  <c r="H240" i="32" s="1"/>
  <c r="G241" i="32"/>
  <c r="H241" i="32" s="1"/>
  <c r="G242" i="32"/>
  <c r="H242" i="32" s="1"/>
  <c r="G243" i="32"/>
  <c r="H243" i="32" s="1"/>
  <c r="G244" i="32"/>
  <c r="H244" i="32" s="1"/>
  <c r="G245" i="32"/>
  <c r="H245" i="32" s="1"/>
  <c r="G246" i="32"/>
  <c r="H246" i="32" s="1"/>
  <c r="G247" i="32"/>
  <c r="H247" i="32" s="1"/>
  <c r="G248" i="32"/>
  <c r="H248" i="32" s="1"/>
  <c r="G249" i="32"/>
  <c r="H249" i="32" s="1"/>
  <c r="G250" i="32"/>
  <c r="H250" i="32" s="1"/>
  <c r="G251" i="32"/>
  <c r="H251" i="32" s="1"/>
  <c r="G252" i="32"/>
  <c r="H252" i="32" s="1"/>
  <c r="G253" i="32"/>
  <c r="H253" i="32" s="1"/>
  <c r="G254" i="32"/>
  <c r="H254" i="32" s="1"/>
  <c r="G255" i="32"/>
  <c r="H255" i="32" s="1"/>
  <c r="G256" i="32"/>
  <c r="H256" i="32" s="1"/>
  <c r="G257" i="32"/>
  <c r="H257" i="32" s="1"/>
  <c r="G258" i="32"/>
  <c r="H258" i="32" s="1"/>
  <c r="G259" i="32"/>
  <c r="H259" i="32" s="1"/>
  <c r="G260" i="32"/>
  <c r="H260" i="32" s="1"/>
  <c r="G261" i="32"/>
  <c r="H261" i="32" s="1"/>
  <c r="G262" i="32"/>
  <c r="H262" i="32" s="1"/>
  <c r="G263" i="32"/>
  <c r="H263" i="32" s="1"/>
  <c r="G264" i="32"/>
  <c r="H264" i="32" s="1"/>
  <c r="G265" i="32"/>
  <c r="H265" i="32" s="1"/>
  <c r="G266" i="32"/>
  <c r="H266" i="32" s="1"/>
  <c r="G267" i="32"/>
  <c r="H267" i="32" s="1"/>
  <c r="G268" i="32"/>
  <c r="H268" i="32" s="1"/>
  <c r="G269" i="32"/>
  <c r="H269" i="32" s="1"/>
  <c r="G270" i="32"/>
  <c r="H270" i="32" s="1"/>
  <c r="G271" i="32"/>
  <c r="H271" i="32" s="1"/>
  <c r="G272" i="32"/>
  <c r="H272" i="32" s="1"/>
  <c r="G273" i="32"/>
  <c r="H273" i="32" s="1"/>
  <c r="G274" i="32"/>
  <c r="H274" i="32" s="1"/>
  <c r="G275" i="32"/>
  <c r="H275" i="32" s="1"/>
  <c r="G276" i="32"/>
  <c r="H276" i="32" s="1"/>
  <c r="G277" i="32"/>
  <c r="H277" i="32" s="1"/>
  <c r="G278" i="32"/>
  <c r="H278" i="32" s="1"/>
  <c r="G279" i="32"/>
  <c r="H279" i="32" s="1"/>
  <c r="G280" i="32"/>
  <c r="H280" i="32" s="1"/>
  <c r="G281" i="32"/>
  <c r="H281" i="32" s="1"/>
  <c r="G282" i="32"/>
  <c r="H282" i="32" s="1"/>
  <c r="G283" i="32"/>
  <c r="H283" i="32" s="1"/>
  <c r="G284" i="32"/>
  <c r="H284" i="32" s="1"/>
  <c r="G285" i="32"/>
  <c r="H285" i="32" s="1"/>
  <c r="G286" i="32"/>
  <c r="H286" i="32" s="1"/>
  <c r="G287" i="32"/>
  <c r="H287" i="32" s="1"/>
  <c r="G288" i="32"/>
  <c r="H288" i="32" s="1"/>
  <c r="G289" i="32"/>
  <c r="H289" i="32" s="1"/>
  <c r="G290" i="32"/>
  <c r="H290" i="32" s="1"/>
  <c r="G291" i="32"/>
  <c r="H291" i="32" s="1"/>
  <c r="G292" i="32"/>
  <c r="H292" i="32" s="1"/>
  <c r="G293" i="32"/>
  <c r="H293" i="32" s="1"/>
  <c r="G294" i="32"/>
  <c r="H294" i="32" s="1"/>
  <c r="G295" i="32"/>
  <c r="H295" i="32" s="1"/>
  <c r="G296" i="32"/>
  <c r="H296" i="32" s="1"/>
  <c r="G297" i="32"/>
  <c r="H297" i="32" s="1"/>
  <c r="G298" i="32"/>
  <c r="H298" i="32" s="1"/>
  <c r="G299" i="32"/>
  <c r="H299" i="32" s="1"/>
  <c r="G300" i="32"/>
  <c r="H300" i="32" s="1"/>
  <c r="G301" i="32"/>
  <c r="H301" i="32" s="1"/>
  <c r="G302" i="32"/>
  <c r="H302" i="32" s="1"/>
  <c r="G303" i="32"/>
  <c r="H303" i="32" s="1"/>
  <c r="G304" i="32"/>
  <c r="H304" i="32" s="1"/>
  <c r="G305" i="32"/>
  <c r="H305" i="32" s="1"/>
  <c r="G306" i="32"/>
  <c r="H306" i="32" s="1"/>
  <c r="G307" i="32"/>
  <c r="H307" i="32" s="1"/>
  <c r="G308" i="32"/>
  <c r="H308" i="32" s="1"/>
  <c r="G309" i="32"/>
  <c r="H309" i="32" s="1"/>
  <c r="G310" i="32"/>
  <c r="H310" i="32" s="1"/>
  <c r="G311" i="32"/>
  <c r="H311" i="32" s="1"/>
  <c r="G312" i="32"/>
  <c r="H312" i="32" s="1"/>
  <c r="G313" i="32"/>
  <c r="H313" i="32" s="1"/>
  <c r="G314" i="32"/>
  <c r="H314" i="32" s="1"/>
  <c r="G315" i="32"/>
  <c r="H315" i="32" s="1"/>
  <c r="G316" i="32"/>
  <c r="H316" i="32" s="1"/>
  <c r="G317" i="32"/>
  <c r="H317" i="32" s="1"/>
  <c r="G318" i="32"/>
  <c r="H318" i="32" s="1"/>
  <c r="G319" i="32"/>
  <c r="H319" i="32" s="1"/>
  <c r="G320" i="32"/>
  <c r="H320" i="32" s="1"/>
  <c r="G321" i="32"/>
  <c r="H321" i="32" s="1"/>
  <c r="G322" i="32"/>
  <c r="H322" i="32" s="1"/>
  <c r="G323" i="32"/>
  <c r="H323" i="32" s="1"/>
  <c r="G324" i="32"/>
  <c r="H324" i="32" s="1"/>
  <c r="G325" i="32"/>
  <c r="H325" i="32" s="1"/>
  <c r="G326" i="32"/>
  <c r="H326" i="32" s="1"/>
  <c r="G327" i="32"/>
  <c r="H327" i="32" s="1"/>
  <c r="G328" i="32"/>
  <c r="H328" i="32" s="1"/>
  <c r="G329" i="32"/>
  <c r="H329" i="32" s="1"/>
  <c r="G330" i="32"/>
  <c r="H330" i="32" s="1"/>
  <c r="G331" i="32"/>
  <c r="H331" i="32" s="1"/>
  <c r="G332" i="32"/>
  <c r="H332" i="32" s="1"/>
  <c r="G333" i="32"/>
  <c r="H333" i="32" s="1"/>
  <c r="G334" i="32"/>
  <c r="H334" i="32" s="1"/>
  <c r="G335" i="32"/>
  <c r="H335" i="32" s="1"/>
  <c r="G336" i="32"/>
  <c r="H336" i="32" s="1"/>
  <c r="G337" i="32"/>
  <c r="H337" i="32" s="1"/>
  <c r="G338" i="32"/>
  <c r="H338" i="32" s="1"/>
  <c r="G339" i="32"/>
  <c r="H339" i="32" s="1"/>
  <c r="G340" i="32"/>
  <c r="H340" i="32" s="1"/>
  <c r="G341" i="32"/>
  <c r="H341" i="32" s="1"/>
  <c r="G342" i="32"/>
  <c r="H342" i="32" s="1"/>
  <c r="G343" i="32"/>
  <c r="H343" i="32" s="1"/>
  <c r="G344" i="32"/>
  <c r="H344" i="32" s="1"/>
  <c r="G345" i="32"/>
  <c r="H345" i="32" s="1"/>
  <c r="G346" i="32"/>
  <c r="H346" i="32" s="1"/>
  <c r="G347" i="32"/>
  <c r="H347" i="32" s="1"/>
  <c r="G348" i="32"/>
  <c r="H348" i="32" s="1"/>
  <c r="G349" i="32"/>
  <c r="H349" i="32" s="1"/>
  <c r="G350" i="32"/>
  <c r="H350" i="32" s="1"/>
  <c r="G351" i="32"/>
  <c r="H351" i="32" s="1"/>
  <c r="G352" i="32"/>
  <c r="H352" i="32" s="1"/>
  <c r="G353" i="32"/>
  <c r="H353" i="32" s="1"/>
  <c r="G354" i="32"/>
  <c r="H354" i="32" s="1"/>
  <c r="G355" i="32"/>
  <c r="H355" i="32" s="1"/>
  <c r="G356" i="32"/>
  <c r="H356" i="32" s="1"/>
  <c r="G357" i="32"/>
  <c r="H357" i="32" s="1"/>
  <c r="G358" i="32"/>
  <c r="H358" i="32" s="1"/>
  <c r="G359" i="32"/>
  <c r="H359" i="32" s="1"/>
  <c r="G360" i="32"/>
  <c r="H360" i="32" s="1"/>
  <c r="G361" i="32"/>
  <c r="H361" i="32" s="1"/>
  <c r="G362" i="32"/>
  <c r="H362" i="32" s="1"/>
  <c r="G363" i="32"/>
  <c r="H363" i="32" s="1"/>
  <c r="G364" i="32"/>
  <c r="H364" i="32" s="1"/>
  <c r="G365" i="32"/>
  <c r="H365" i="32" s="1"/>
  <c r="G366" i="32"/>
  <c r="H366" i="32" s="1"/>
  <c r="G368" i="32"/>
  <c r="H368" i="32" s="1"/>
  <c r="G369" i="32"/>
  <c r="H369" i="32" s="1"/>
  <c r="G370" i="32"/>
  <c r="H370" i="32" s="1"/>
  <c r="G371" i="32"/>
  <c r="H371" i="32" s="1"/>
  <c r="G372" i="32"/>
  <c r="H372" i="32" s="1"/>
  <c r="G373" i="32"/>
  <c r="H373" i="32" s="1"/>
  <c r="G374" i="32"/>
  <c r="H374" i="32" s="1"/>
  <c r="G375" i="32"/>
  <c r="H375" i="32" s="1"/>
  <c r="G376" i="32"/>
  <c r="H376" i="32" s="1"/>
  <c r="G377" i="32"/>
  <c r="H377" i="32" s="1"/>
  <c r="G378" i="32"/>
  <c r="H378" i="32" s="1"/>
  <c r="G379" i="32"/>
  <c r="H379" i="32" s="1"/>
  <c r="G380" i="32"/>
  <c r="H380" i="32" s="1"/>
  <c r="G381" i="32"/>
  <c r="H381" i="32" s="1"/>
  <c r="G382" i="32"/>
  <c r="H382" i="32" s="1"/>
  <c r="G383" i="32"/>
  <c r="H383" i="32" s="1"/>
  <c r="G384" i="32"/>
  <c r="H384" i="32" s="1"/>
  <c r="G385" i="32"/>
  <c r="H385" i="32" s="1"/>
  <c r="G386" i="32"/>
  <c r="H386" i="32" s="1"/>
  <c r="G387" i="32"/>
  <c r="H387" i="32" s="1"/>
  <c r="G388" i="32"/>
  <c r="H388" i="32" s="1"/>
  <c r="G389" i="32"/>
  <c r="H389" i="32" s="1"/>
  <c r="G390" i="32"/>
  <c r="H390" i="32" s="1"/>
  <c r="G391" i="32"/>
  <c r="H391" i="32" s="1"/>
  <c r="G392" i="32"/>
  <c r="H392" i="32" s="1"/>
  <c r="G393" i="32"/>
  <c r="H393" i="32" s="1"/>
  <c r="G394" i="32"/>
  <c r="H394" i="32" s="1"/>
  <c r="G395" i="32"/>
  <c r="H395" i="32" s="1"/>
  <c r="G396" i="32"/>
  <c r="H396" i="32" s="1"/>
  <c r="G397" i="32"/>
  <c r="H397" i="32" s="1"/>
  <c r="G398" i="32"/>
  <c r="H398" i="32" s="1"/>
  <c r="G399" i="32"/>
  <c r="H399" i="32" s="1"/>
  <c r="G400" i="32"/>
  <c r="H400" i="32" s="1"/>
  <c r="G401" i="32"/>
  <c r="H401" i="32" s="1"/>
  <c r="G402" i="32"/>
  <c r="H402" i="32" s="1"/>
  <c r="G403" i="32"/>
  <c r="H403" i="32" s="1"/>
  <c r="G404" i="32"/>
  <c r="H404" i="32" s="1"/>
  <c r="G405" i="32"/>
  <c r="H405" i="32" s="1"/>
  <c r="G406" i="32"/>
  <c r="H406" i="32" s="1"/>
  <c r="G407" i="32"/>
  <c r="H407" i="32" s="1"/>
  <c r="G408" i="32"/>
  <c r="H408" i="32" s="1"/>
  <c r="G409" i="32"/>
  <c r="H409" i="32" s="1"/>
  <c r="G410" i="32"/>
  <c r="H410" i="32" s="1"/>
  <c r="G411" i="32"/>
  <c r="H411" i="32" s="1"/>
  <c r="G412" i="32"/>
  <c r="H412" i="32" s="1"/>
  <c r="G413" i="32"/>
  <c r="H413" i="32" s="1"/>
  <c r="G414" i="32"/>
  <c r="H414" i="32" s="1"/>
  <c r="G415" i="32"/>
  <c r="H415" i="32" s="1"/>
  <c r="G416" i="32"/>
  <c r="H416" i="32" s="1"/>
  <c r="G417" i="32"/>
  <c r="H417" i="32" s="1"/>
  <c r="G418" i="32"/>
  <c r="H418" i="32" s="1"/>
  <c r="G419" i="32"/>
  <c r="H419" i="32" s="1"/>
  <c r="G420" i="32"/>
  <c r="H420" i="32" s="1"/>
  <c r="G421" i="32"/>
  <c r="H421" i="32" s="1"/>
  <c r="G422" i="32"/>
  <c r="H422" i="32" s="1"/>
  <c r="G423" i="32"/>
  <c r="H423" i="32" s="1"/>
  <c r="G424" i="32"/>
  <c r="H424" i="32" s="1"/>
  <c r="G425" i="32"/>
  <c r="H425" i="32" s="1"/>
  <c r="G426" i="32"/>
  <c r="H426" i="32" s="1"/>
  <c r="G427" i="32"/>
  <c r="H427" i="32" s="1"/>
  <c r="G428" i="32"/>
  <c r="H428" i="32" s="1"/>
  <c r="G429" i="32"/>
  <c r="H429" i="32" s="1"/>
  <c r="G430" i="32"/>
  <c r="H430" i="32" s="1"/>
  <c r="G431" i="32"/>
  <c r="H431" i="32" s="1"/>
  <c r="G432" i="32"/>
  <c r="H432" i="32" s="1"/>
  <c r="G433" i="32"/>
  <c r="H433" i="32" s="1"/>
  <c r="G434" i="32"/>
  <c r="H434" i="32" s="1"/>
  <c r="G435" i="32"/>
  <c r="H435" i="32" s="1"/>
  <c r="G436" i="32"/>
  <c r="H436" i="32" s="1"/>
  <c r="G437" i="32"/>
  <c r="H437" i="32" s="1"/>
  <c r="G438" i="32"/>
  <c r="H438" i="32" s="1"/>
  <c r="G439" i="32"/>
  <c r="H439" i="32" s="1"/>
  <c r="G440" i="32"/>
  <c r="H440" i="32" s="1"/>
  <c r="G441" i="32"/>
  <c r="H441" i="32" s="1"/>
  <c r="G442" i="32"/>
  <c r="H442" i="32" s="1"/>
  <c r="G443" i="32"/>
  <c r="H443" i="32" s="1"/>
  <c r="G444" i="32"/>
  <c r="H444" i="32" s="1"/>
  <c r="G445" i="32"/>
  <c r="H445" i="32" s="1"/>
  <c r="G446" i="32"/>
  <c r="H446" i="32" s="1"/>
  <c r="G447" i="32"/>
  <c r="H447" i="32" s="1"/>
  <c r="G448" i="32"/>
  <c r="H448" i="32" s="1"/>
  <c r="G449" i="32"/>
  <c r="H449" i="32" s="1"/>
  <c r="G450" i="32"/>
  <c r="H450" i="32" s="1"/>
  <c r="G451" i="32"/>
  <c r="H451" i="32" s="1"/>
  <c r="G452" i="32"/>
  <c r="H452" i="32" s="1"/>
  <c r="G453" i="32"/>
  <c r="H453" i="32" s="1"/>
  <c r="G454" i="32"/>
  <c r="H454" i="32" s="1"/>
  <c r="G455" i="32"/>
  <c r="H455" i="32" s="1"/>
  <c r="G456" i="32"/>
  <c r="H456" i="32" s="1"/>
  <c r="G457" i="32"/>
  <c r="H457" i="32" s="1"/>
  <c r="G458" i="32"/>
  <c r="H458" i="32" s="1"/>
  <c r="G459" i="32"/>
  <c r="H459" i="32" s="1"/>
  <c r="G460" i="32"/>
  <c r="H460" i="32" s="1"/>
  <c r="G461" i="32"/>
  <c r="H461" i="32" s="1"/>
  <c r="G462" i="32"/>
  <c r="H462" i="32" s="1"/>
  <c r="G463" i="32"/>
  <c r="H463" i="32" s="1"/>
  <c r="G464" i="32"/>
  <c r="H464" i="32" s="1"/>
  <c r="G465" i="32"/>
  <c r="H465" i="32" s="1"/>
  <c r="G466" i="32"/>
  <c r="H466" i="32" s="1"/>
  <c r="G467" i="32"/>
  <c r="H467" i="32" s="1"/>
  <c r="G468" i="32"/>
  <c r="H468" i="32" s="1"/>
  <c r="G469" i="32"/>
  <c r="H469" i="32" s="1"/>
  <c r="G470" i="32"/>
  <c r="H470" i="32" s="1"/>
  <c r="G471" i="32"/>
  <c r="H471" i="32" s="1"/>
  <c r="G472" i="32"/>
  <c r="H472" i="32" s="1"/>
  <c r="G473" i="32"/>
  <c r="H473" i="32" s="1"/>
  <c r="G474" i="32"/>
  <c r="H474" i="32" s="1"/>
  <c r="G475" i="32"/>
  <c r="H475" i="32" s="1"/>
  <c r="G476" i="32"/>
  <c r="H476" i="32" s="1"/>
  <c r="G477" i="32"/>
  <c r="H477" i="32" s="1"/>
  <c r="G478" i="32"/>
  <c r="H478" i="32" s="1"/>
  <c r="G479" i="32"/>
  <c r="H479" i="32" s="1"/>
  <c r="G480" i="32"/>
  <c r="H480" i="32" s="1"/>
  <c r="G481" i="32"/>
  <c r="H481" i="32" s="1"/>
  <c r="G482" i="32"/>
  <c r="H482" i="32" s="1"/>
  <c r="G483" i="32"/>
  <c r="H483" i="32" s="1"/>
  <c r="G484" i="32"/>
  <c r="H484" i="32" s="1"/>
  <c r="G485" i="32"/>
  <c r="H485" i="32" s="1"/>
  <c r="G486" i="32"/>
  <c r="H486" i="32" s="1"/>
  <c r="G487" i="32"/>
  <c r="H487" i="32" s="1"/>
  <c r="G488" i="32"/>
  <c r="H488" i="32" s="1"/>
  <c r="G489" i="32"/>
  <c r="H489" i="32" s="1"/>
  <c r="G490" i="32"/>
  <c r="H490" i="32" s="1"/>
  <c r="G491" i="32"/>
  <c r="H491" i="32" s="1"/>
  <c r="G492" i="32"/>
  <c r="H492" i="32" s="1"/>
  <c r="G493" i="32"/>
  <c r="H493" i="32" s="1"/>
  <c r="G494" i="32"/>
  <c r="H494" i="32" s="1"/>
  <c r="G495" i="32"/>
  <c r="H495" i="32" s="1"/>
  <c r="G496" i="32"/>
  <c r="H496" i="32" s="1"/>
  <c r="G497" i="32"/>
  <c r="H497" i="32" s="1"/>
  <c r="G498" i="32"/>
  <c r="H498" i="32" s="1"/>
  <c r="G499" i="32"/>
  <c r="H499" i="32" s="1"/>
  <c r="G500" i="32"/>
  <c r="H500" i="32" s="1"/>
  <c r="G501" i="32"/>
  <c r="H501" i="32" s="1"/>
  <c r="G502" i="32"/>
  <c r="H502" i="32" s="1"/>
  <c r="G503" i="32"/>
  <c r="H503" i="32" s="1"/>
  <c r="G504" i="32"/>
  <c r="H504" i="32" s="1"/>
  <c r="G505" i="32"/>
  <c r="H505" i="32" s="1"/>
  <c r="G506" i="32"/>
  <c r="H506" i="32" s="1"/>
  <c r="G507" i="32"/>
  <c r="H507" i="32" s="1"/>
  <c r="G508" i="32"/>
  <c r="H508" i="32" s="1"/>
  <c r="G509" i="32"/>
  <c r="H509" i="32" s="1"/>
  <c r="G510" i="32"/>
  <c r="H510" i="32" s="1"/>
  <c r="G511" i="32"/>
  <c r="H511" i="32" s="1"/>
  <c r="G512" i="32"/>
  <c r="H512" i="32" s="1"/>
  <c r="G513" i="32"/>
  <c r="H513" i="32" s="1"/>
  <c r="G514" i="32"/>
  <c r="H514" i="32" s="1"/>
  <c r="G515" i="32"/>
  <c r="H515" i="32" s="1"/>
  <c r="G516" i="32"/>
  <c r="H516" i="32" s="1"/>
  <c r="G517" i="32"/>
  <c r="H517" i="32" s="1"/>
  <c r="G518" i="32"/>
  <c r="H518" i="32" s="1"/>
  <c r="G519" i="32"/>
  <c r="H519" i="32" s="1"/>
  <c r="G520" i="32"/>
  <c r="H520" i="32" s="1"/>
  <c r="G521" i="32"/>
  <c r="H521" i="32" s="1"/>
  <c r="G522" i="32"/>
  <c r="H522" i="32" s="1"/>
  <c r="G523" i="32"/>
  <c r="H523" i="32" s="1"/>
  <c r="G524" i="32"/>
  <c r="H524" i="32" s="1"/>
  <c r="G525" i="32"/>
  <c r="H525" i="32" s="1"/>
  <c r="G526" i="32"/>
  <c r="H526" i="32" s="1"/>
  <c r="G527" i="32"/>
  <c r="H527" i="32" s="1"/>
  <c r="G528" i="32"/>
  <c r="H528" i="32" s="1"/>
  <c r="G529" i="32"/>
  <c r="H529" i="32" s="1"/>
  <c r="G530" i="32"/>
  <c r="H530" i="32" s="1"/>
  <c r="G531" i="32"/>
  <c r="H531" i="32" s="1"/>
  <c r="G532" i="32"/>
  <c r="H532" i="32" s="1"/>
  <c r="G533" i="32"/>
  <c r="H533" i="32" s="1"/>
  <c r="G534" i="32"/>
  <c r="H534" i="32" s="1"/>
  <c r="G535" i="32"/>
  <c r="H535" i="32" s="1"/>
  <c r="G536" i="32"/>
  <c r="H536" i="32" s="1"/>
  <c r="G537" i="32"/>
  <c r="H537" i="32" s="1"/>
  <c r="G538" i="32"/>
  <c r="H538" i="32" s="1"/>
  <c r="G539" i="32"/>
  <c r="H539" i="32" s="1"/>
  <c r="G540" i="32"/>
  <c r="H540" i="32" s="1"/>
  <c r="G541" i="32"/>
  <c r="H541" i="32" s="1"/>
  <c r="G542" i="32"/>
  <c r="H542" i="32" s="1"/>
  <c r="G543" i="32"/>
  <c r="H543" i="32" s="1"/>
  <c r="G544" i="32"/>
  <c r="H544" i="32" s="1"/>
  <c r="G545" i="32"/>
  <c r="H545" i="32" s="1"/>
  <c r="G546" i="32"/>
  <c r="H546" i="32" s="1"/>
  <c r="G547" i="32"/>
  <c r="H547" i="32" s="1"/>
  <c r="G548" i="32"/>
  <c r="H548" i="32" s="1"/>
  <c r="G549" i="32"/>
  <c r="H549" i="32" s="1"/>
  <c r="G550" i="32"/>
  <c r="H550" i="32" s="1"/>
  <c r="G551" i="32"/>
  <c r="H551" i="32" s="1"/>
  <c r="G552" i="32"/>
  <c r="H552" i="32" s="1"/>
  <c r="G553" i="32"/>
  <c r="H553" i="32" s="1"/>
  <c r="G554" i="32"/>
  <c r="H554" i="32" s="1"/>
  <c r="G555" i="32"/>
  <c r="H555" i="32" s="1"/>
  <c r="G556" i="32"/>
  <c r="H556" i="32" s="1"/>
  <c r="G557" i="32"/>
  <c r="H557" i="32" s="1"/>
  <c r="G558" i="32"/>
  <c r="H558" i="32" s="1"/>
  <c r="G559" i="32"/>
  <c r="H559" i="32" s="1"/>
  <c r="G560" i="32"/>
  <c r="H560" i="32" s="1"/>
  <c r="G561" i="32"/>
  <c r="H561" i="32" s="1"/>
  <c r="G562" i="32"/>
  <c r="H562" i="32" s="1"/>
  <c r="G563" i="32"/>
  <c r="H563" i="32" s="1"/>
  <c r="G564" i="32"/>
  <c r="H564" i="32" s="1"/>
  <c r="G565" i="32"/>
  <c r="H565" i="32" s="1"/>
  <c r="G566" i="32"/>
  <c r="H566" i="32" s="1"/>
  <c r="G567" i="32"/>
  <c r="H567" i="32" s="1"/>
  <c r="G568" i="32"/>
  <c r="H568" i="32" s="1"/>
  <c r="G569" i="32"/>
  <c r="H569" i="32" s="1"/>
  <c r="G570" i="32"/>
  <c r="H570" i="32" s="1"/>
  <c r="G571" i="32"/>
  <c r="H571" i="32" s="1"/>
  <c r="G572" i="32"/>
  <c r="H572" i="32" s="1"/>
  <c r="G573" i="32"/>
  <c r="H573" i="32" s="1"/>
  <c r="G574" i="32"/>
  <c r="H574" i="32" s="1"/>
  <c r="G575" i="32"/>
  <c r="H575" i="32" s="1"/>
  <c r="G576" i="32"/>
  <c r="H576" i="32" s="1"/>
  <c r="G577" i="32"/>
  <c r="H577" i="32" s="1"/>
  <c r="G578" i="32"/>
  <c r="H578" i="32" s="1"/>
  <c r="G579" i="32"/>
  <c r="H579" i="32" s="1"/>
  <c r="G580" i="32"/>
  <c r="H580" i="32" s="1"/>
  <c r="G581" i="32"/>
  <c r="H581" i="32" s="1"/>
  <c r="G582" i="32"/>
  <c r="H582" i="32" s="1"/>
  <c r="G583" i="32"/>
  <c r="H583" i="32" s="1"/>
  <c r="G584" i="32"/>
  <c r="H584" i="32" s="1"/>
  <c r="G585" i="32"/>
  <c r="H585" i="32" s="1"/>
  <c r="G586" i="32"/>
  <c r="H586" i="32" s="1"/>
  <c r="G587" i="32"/>
  <c r="H587" i="32" s="1"/>
  <c r="G588" i="32"/>
  <c r="H588" i="32" s="1"/>
  <c r="G589" i="32"/>
  <c r="H589" i="32" s="1"/>
  <c r="G590" i="32"/>
  <c r="H590" i="32" s="1"/>
  <c r="G591" i="32"/>
  <c r="H591" i="32" s="1"/>
  <c r="G592" i="32"/>
  <c r="H592" i="32" s="1"/>
  <c r="G593" i="32"/>
  <c r="H593" i="32" s="1"/>
  <c r="G594" i="32"/>
  <c r="H594" i="32" s="1"/>
  <c r="G595" i="32"/>
  <c r="H595" i="32" s="1"/>
  <c r="G596" i="32"/>
  <c r="H596" i="32" s="1"/>
  <c r="G597" i="32"/>
  <c r="H597" i="32" s="1"/>
  <c r="G598" i="32"/>
  <c r="H598" i="32" s="1"/>
  <c r="G599" i="32"/>
  <c r="H599" i="32" s="1"/>
  <c r="G600" i="32"/>
  <c r="H600" i="32" s="1"/>
  <c r="G601" i="32"/>
  <c r="H601" i="32" s="1"/>
  <c r="G602" i="32"/>
  <c r="H602" i="32" s="1"/>
  <c r="G603" i="32"/>
  <c r="H603" i="32" s="1"/>
  <c r="G604" i="32"/>
  <c r="H604" i="32" s="1"/>
  <c r="G605" i="32"/>
  <c r="H605" i="32" s="1"/>
  <c r="G606" i="32"/>
  <c r="H606" i="32" s="1"/>
  <c r="G607" i="32"/>
  <c r="H607" i="32" s="1"/>
  <c r="G608" i="32"/>
  <c r="H608" i="32" s="1"/>
  <c r="G609" i="32"/>
  <c r="H609" i="32" s="1"/>
  <c r="G610" i="32"/>
  <c r="H610" i="32" s="1"/>
  <c r="G611" i="32"/>
  <c r="H611" i="32" s="1"/>
  <c r="G612" i="32"/>
  <c r="H612" i="32" s="1"/>
  <c r="G613" i="32"/>
  <c r="H613" i="32" s="1"/>
  <c r="G614" i="32"/>
  <c r="H614" i="32" s="1"/>
  <c r="G615" i="32"/>
  <c r="H615" i="32" s="1"/>
  <c r="G616" i="32"/>
  <c r="H616" i="32" s="1"/>
  <c r="G617" i="32"/>
  <c r="H617" i="32" s="1"/>
  <c r="G618" i="32"/>
  <c r="H618" i="32" s="1"/>
  <c r="G620" i="32"/>
  <c r="H620" i="32" s="1"/>
  <c r="G621" i="32"/>
  <c r="H621" i="32" s="1"/>
  <c r="G622" i="32"/>
  <c r="H622" i="32" s="1"/>
  <c r="G623" i="32"/>
  <c r="H623" i="32" s="1"/>
  <c r="G624" i="32"/>
  <c r="H624" i="32" s="1"/>
  <c r="G625" i="32"/>
  <c r="H625" i="32" s="1"/>
  <c r="G626" i="32"/>
  <c r="H626" i="32" s="1"/>
  <c r="G627" i="32"/>
  <c r="H627" i="32" s="1"/>
  <c r="G628" i="32"/>
  <c r="H628" i="32" s="1"/>
  <c r="G629" i="32"/>
  <c r="H629" i="32" s="1"/>
  <c r="D639" i="32"/>
  <c r="D636" i="32"/>
  <c r="D635" i="32"/>
  <c r="Q632" i="32"/>
  <c r="J632" i="32"/>
  <c r="K632" i="32" s="1"/>
  <c r="G632" i="32"/>
  <c r="H632" i="32" s="1"/>
  <c r="Q631" i="32"/>
  <c r="J631" i="32"/>
  <c r="K631" i="32" s="1"/>
  <c r="G631" i="32"/>
  <c r="H631" i="32" s="1"/>
  <c r="Q630" i="32"/>
  <c r="J630" i="32"/>
  <c r="K630" i="32" s="1"/>
  <c r="Q629" i="32"/>
  <c r="J629" i="32"/>
  <c r="K629" i="32" s="1"/>
  <c r="Q628" i="32"/>
  <c r="D637" i="32" s="1"/>
  <c r="J628" i="32"/>
  <c r="K628" i="32" s="1"/>
  <c r="Q627" i="32"/>
  <c r="J627" i="32"/>
  <c r="K627" i="32" s="1"/>
  <c r="Q626" i="32"/>
  <c r="J626" i="32"/>
  <c r="K626" i="32" s="1"/>
  <c r="Q625" i="32"/>
  <c r="J625" i="32"/>
  <c r="K625" i="32" s="1"/>
  <c r="Q624" i="32"/>
  <c r="J624" i="32"/>
  <c r="K624" i="32" s="1"/>
  <c r="Q623" i="32"/>
  <c r="J623" i="32"/>
  <c r="K623" i="32" s="1"/>
  <c r="Q622" i="32"/>
  <c r="J622" i="32"/>
  <c r="K622" i="32" s="1"/>
  <c r="Q621" i="32"/>
  <c r="J621" i="32"/>
  <c r="K621" i="32" s="1"/>
  <c r="Q620" i="32"/>
  <c r="J620" i="32"/>
  <c r="K620" i="32" s="1"/>
  <c r="Q619" i="32"/>
  <c r="J619" i="32"/>
  <c r="K619" i="32" s="1"/>
  <c r="Q618" i="32"/>
  <c r="J618" i="32"/>
  <c r="K618" i="32" s="1"/>
  <c r="Q617" i="32"/>
  <c r="J617" i="32"/>
  <c r="K617" i="32" s="1"/>
  <c r="Q616" i="32"/>
  <c r="J616" i="32"/>
  <c r="K616" i="32" s="1"/>
  <c r="Q615" i="32"/>
  <c r="J615" i="32"/>
  <c r="K615" i="32" s="1"/>
  <c r="Q614" i="32"/>
  <c r="J614" i="32"/>
  <c r="K614" i="32" s="1"/>
  <c r="Q613" i="32"/>
  <c r="J613" i="32"/>
  <c r="K613" i="32" s="1"/>
  <c r="Q612" i="32"/>
  <c r="J612" i="32"/>
  <c r="K612" i="32" s="1"/>
  <c r="Q611" i="32"/>
  <c r="J611" i="32"/>
  <c r="K611" i="32" s="1"/>
  <c r="Q610" i="32"/>
  <c r="J610" i="32"/>
  <c r="K610" i="32" s="1"/>
  <c r="Q609" i="32"/>
  <c r="J609" i="32"/>
  <c r="K609" i="32" s="1"/>
  <c r="Q608" i="32"/>
  <c r="J608" i="32"/>
  <c r="K608" i="32" s="1"/>
  <c r="Q607" i="32"/>
  <c r="J607" i="32"/>
  <c r="K607" i="32" s="1"/>
  <c r="Q606" i="32"/>
  <c r="J606" i="32"/>
  <c r="K606" i="32" s="1"/>
  <c r="Q605" i="32"/>
  <c r="J605" i="32"/>
  <c r="K605" i="32" s="1"/>
  <c r="Q604" i="32"/>
  <c r="J604" i="32"/>
  <c r="K604" i="32" s="1"/>
  <c r="Q603" i="32"/>
  <c r="J603" i="32"/>
  <c r="K603" i="32" s="1"/>
  <c r="Q602" i="32"/>
  <c r="J602" i="32"/>
  <c r="K602" i="32" s="1"/>
  <c r="Q601" i="32"/>
  <c r="J601" i="32"/>
  <c r="K601" i="32" s="1"/>
  <c r="Q600" i="32"/>
  <c r="J600" i="32"/>
  <c r="K600" i="32" s="1"/>
  <c r="Q599" i="32"/>
  <c r="J599" i="32"/>
  <c r="K599" i="32" s="1"/>
  <c r="Q598" i="32"/>
  <c r="J598" i="32"/>
  <c r="K598" i="32" s="1"/>
  <c r="Q597" i="32"/>
  <c r="J597" i="32"/>
  <c r="K597" i="32" s="1"/>
  <c r="Q596" i="32"/>
  <c r="J596" i="32"/>
  <c r="K596" i="32" s="1"/>
  <c r="Q595" i="32"/>
  <c r="J595" i="32"/>
  <c r="K595" i="32" s="1"/>
  <c r="Q594" i="32"/>
  <c r="J594" i="32"/>
  <c r="K594" i="32" s="1"/>
  <c r="Q593" i="32"/>
  <c r="J593" i="32"/>
  <c r="K593" i="32" s="1"/>
  <c r="Q592" i="32"/>
  <c r="J592" i="32"/>
  <c r="K592" i="32" s="1"/>
  <c r="Q591" i="32"/>
  <c r="J591" i="32"/>
  <c r="K591" i="32" s="1"/>
  <c r="Q590" i="32"/>
  <c r="J590" i="32"/>
  <c r="K590" i="32" s="1"/>
  <c r="Q589" i="32"/>
  <c r="J589" i="32"/>
  <c r="K589" i="32" s="1"/>
  <c r="Q588" i="32"/>
  <c r="J588" i="32"/>
  <c r="K588" i="32" s="1"/>
  <c r="Q587" i="32"/>
  <c r="J587" i="32"/>
  <c r="K587" i="32" s="1"/>
  <c r="Q586" i="32"/>
  <c r="J586" i="32"/>
  <c r="K586" i="32" s="1"/>
  <c r="Q585" i="32"/>
  <c r="J585" i="32"/>
  <c r="K585" i="32" s="1"/>
  <c r="Q584" i="32"/>
  <c r="J584" i="32"/>
  <c r="K584" i="32" s="1"/>
  <c r="Q583" i="32"/>
  <c r="J583" i="32"/>
  <c r="K583" i="32" s="1"/>
  <c r="Q582" i="32"/>
  <c r="J582" i="32"/>
  <c r="K582" i="32" s="1"/>
  <c r="Q581" i="32"/>
  <c r="J581" i="32"/>
  <c r="K581" i="32" s="1"/>
  <c r="Q580" i="32"/>
  <c r="J580" i="32"/>
  <c r="K580" i="32" s="1"/>
  <c r="Q579" i="32"/>
  <c r="J579" i="32"/>
  <c r="K579" i="32" s="1"/>
  <c r="Q578" i="32"/>
  <c r="J578" i="32"/>
  <c r="K578" i="32" s="1"/>
  <c r="Q577" i="32"/>
  <c r="J577" i="32"/>
  <c r="K577" i="32" s="1"/>
  <c r="Q576" i="32"/>
  <c r="J576" i="32"/>
  <c r="K576" i="32" s="1"/>
  <c r="Q575" i="32"/>
  <c r="J575" i="32"/>
  <c r="K575" i="32" s="1"/>
  <c r="Q574" i="32"/>
  <c r="J574" i="32"/>
  <c r="K574" i="32" s="1"/>
  <c r="Q573" i="32"/>
  <c r="J573" i="32"/>
  <c r="K573" i="32" s="1"/>
  <c r="Q572" i="32"/>
  <c r="J572" i="32"/>
  <c r="K572" i="32" s="1"/>
  <c r="Q571" i="32"/>
  <c r="J571" i="32"/>
  <c r="K571" i="32" s="1"/>
  <c r="Q570" i="32"/>
  <c r="J570" i="32"/>
  <c r="K570" i="32" s="1"/>
  <c r="Q569" i="32"/>
  <c r="J569" i="32"/>
  <c r="K569" i="32" s="1"/>
  <c r="Q568" i="32"/>
  <c r="J568" i="32"/>
  <c r="K568" i="32" s="1"/>
  <c r="Q567" i="32"/>
  <c r="J567" i="32"/>
  <c r="K567" i="32" s="1"/>
  <c r="Q566" i="32"/>
  <c r="J566" i="32"/>
  <c r="K566" i="32" s="1"/>
  <c r="Q565" i="32"/>
  <c r="J565" i="32"/>
  <c r="K565" i="32" s="1"/>
  <c r="Q564" i="32"/>
  <c r="J564" i="32"/>
  <c r="K564" i="32" s="1"/>
  <c r="Q563" i="32"/>
  <c r="J563" i="32"/>
  <c r="K563" i="32" s="1"/>
  <c r="Q562" i="32"/>
  <c r="J562" i="32"/>
  <c r="K562" i="32" s="1"/>
  <c r="Q561" i="32"/>
  <c r="J561" i="32"/>
  <c r="K561" i="32" s="1"/>
  <c r="Q560" i="32"/>
  <c r="J560" i="32"/>
  <c r="K560" i="32" s="1"/>
  <c r="Q559" i="32"/>
  <c r="J559" i="32"/>
  <c r="K559" i="32" s="1"/>
  <c r="Q558" i="32"/>
  <c r="J558" i="32"/>
  <c r="K558" i="32" s="1"/>
  <c r="Q557" i="32"/>
  <c r="J557" i="32"/>
  <c r="K557" i="32" s="1"/>
  <c r="Q556" i="32"/>
  <c r="J556" i="32"/>
  <c r="K556" i="32" s="1"/>
  <c r="Q555" i="32"/>
  <c r="J555" i="32"/>
  <c r="K555" i="32" s="1"/>
  <c r="Q554" i="32"/>
  <c r="J554" i="32"/>
  <c r="K554" i="32" s="1"/>
  <c r="Q553" i="32"/>
  <c r="J553" i="32"/>
  <c r="K553" i="32" s="1"/>
  <c r="Q552" i="32"/>
  <c r="J552" i="32"/>
  <c r="K552" i="32" s="1"/>
  <c r="Q551" i="32"/>
  <c r="J551" i="32"/>
  <c r="K551" i="32" s="1"/>
  <c r="Q550" i="32"/>
  <c r="J550" i="32"/>
  <c r="K550" i="32" s="1"/>
  <c r="Q549" i="32"/>
  <c r="J549" i="32"/>
  <c r="K549" i="32" s="1"/>
  <c r="Q548" i="32"/>
  <c r="J548" i="32"/>
  <c r="K548" i="32" s="1"/>
  <c r="Q547" i="32"/>
  <c r="J547" i="32"/>
  <c r="K547" i="32" s="1"/>
  <c r="Q546" i="32"/>
  <c r="J546" i="32"/>
  <c r="K546" i="32" s="1"/>
  <c r="Q545" i="32"/>
  <c r="J545" i="32"/>
  <c r="K545" i="32" s="1"/>
  <c r="Q544" i="32"/>
  <c r="J544" i="32"/>
  <c r="K544" i="32" s="1"/>
  <c r="Q543" i="32"/>
  <c r="J543" i="32"/>
  <c r="K543" i="32" s="1"/>
  <c r="Q542" i="32"/>
  <c r="J542" i="32"/>
  <c r="K542" i="32" s="1"/>
  <c r="Q541" i="32"/>
  <c r="J541" i="32"/>
  <c r="K541" i="32" s="1"/>
  <c r="Q540" i="32"/>
  <c r="J540" i="32"/>
  <c r="K540" i="32" s="1"/>
  <c r="Q539" i="32"/>
  <c r="J539" i="32"/>
  <c r="K539" i="32" s="1"/>
  <c r="Q538" i="32"/>
  <c r="J538" i="32"/>
  <c r="K538" i="32" s="1"/>
  <c r="Q537" i="32"/>
  <c r="J537" i="32"/>
  <c r="K537" i="32" s="1"/>
  <c r="Q536" i="32"/>
  <c r="J536" i="32"/>
  <c r="K536" i="32" s="1"/>
  <c r="Q535" i="32"/>
  <c r="J535" i="32"/>
  <c r="K535" i="32" s="1"/>
  <c r="Q534" i="32"/>
  <c r="J534" i="32"/>
  <c r="K534" i="32" s="1"/>
  <c r="Q533" i="32"/>
  <c r="J533" i="32"/>
  <c r="K533" i="32" s="1"/>
  <c r="Q532" i="32"/>
  <c r="J532" i="32"/>
  <c r="K532" i="32" s="1"/>
  <c r="Q531" i="32"/>
  <c r="J531" i="32"/>
  <c r="K531" i="32" s="1"/>
  <c r="Q530" i="32"/>
  <c r="J530" i="32"/>
  <c r="K530" i="32" s="1"/>
  <c r="Q529" i="32"/>
  <c r="J529" i="32"/>
  <c r="K529" i="32" s="1"/>
  <c r="Q528" i="32"/>
  <c r="J528" i="32"/>
  <c r="K528" i="32" s="1"/>
  <c r="Q527" i="32"/>
  <c r="J527" i="32"/>
  <c r="K527" i="32" s="1"/>
  <c r="Q526" i="32"/>
  <c r="J526" i="32"/>
  <c r="K526" i="32" s="1"/>
  <c r="Q525" i="32"/>
  <c r="J525" i="32"/>
  <c r="K525" i="32" s="1"/>
  <c r="Q524" i="32"/>
  <c r="J524" i="32"/>
  <c r="K524" i="32" s="1"/>
  <c r="Q523" i="32"/>
  <c r="J523" i="32"/>
  <c r="K523" i="32" s="1"/>
  <c r="Q522" i="32"/>
  <c r="J522" i="32"/>
  <c r="K522" i="32" s="1"/>
  <c r="Q521" i="32"/>
  <c r="J521" i="32"/>
  <c r="K521" i="32" s="1"/>
  <c r="Q520" i="32"/>
  <c r="J520" i="32"/>
  <c r="K520" i="32" s="1"/>
  <c r="Q519" i="32"/>
  <c r="J519" i="32"/>
  <c r="K519" i="32" s="1"/>
  <c r="Q518" i="32"/>
  <c r="J518" i="32"/>
  <c r="K518" i="32" s="1"/>
  <c r="Q517" i="32"/>
  <c r="J517" i="32"/>
  <c r="K517" i="32" s="1"/>
  <c r="Q516" i="32"/>
  <c r="J516" i="32"/>
  <c r="K516" i="32" s="1"/>
  <c r="Q515" i="32"/>
  <c r="J515" i="32"/>
  <c r="K515" i="32" s="1"/>
  <c r="Q514" i="32"/>
  <c r="J514" i="32"/>
  <c r="K514" i="32" s="1"/>
  <c r="Q513" i="32"/>
  <c r="J513" i="32"/>
  <c r="K513" i="32" s="1"/>
  <c r="Q512" i="32"/>
  <c r="J512" i="32"/>
  <c r="K512" i="32" s="1"/>
  <c r="Q511" i="32"/>
  <c r="J511" i="32"/>
  <c r="K511" i="32" s="1"/>
  <c r="Q510" i="32"/>
  <c r="J510" i="32"/>
  <c r="K510" i="32" s="1"/>
  <c r="Q509" i="32"/>
  <c r="J509" i="32"/>
  <c r="K509" i="32" s="1"/>
  <c r="Q508" i="32"/>
  <c r="J508" i="32"/>
  <c r="K508" i="32" s="1"/>
  <c r="Q507" i="32"/>
  <c r="J507" i="32"/>
  <c r="K507" i="32" s="1"/>
  <c r="Q506" i="32"/>
  <c r="J506" i="32"/>
  <c r="K506" i="32" s="1"/>
  <c r="Q505" i="32"/>
  <c r="J505" i="32"/>
  <c r="K505" i="32" s="1"/>
  <c r="Q504" i="32"/>
  <c r="J504" i="32"/>
  <c r="K504" i="32" s="1"/>
  <c r="Q503" i="32"/>
  <c r="J503" i="32"/>
  <c r="K503" i="32" s="1"/>
  <c r="Q502" i="32"/>
  <c r="J502" i="32"/>
  <c r="K502" i="32" s="1"/>
  <c r="Q501" i="32"/>
  <c r="J501" i="32"/>
  <c r="K501" i="32" s="1"/>
  <c r="Q500" i="32"/>
  <c r="J500" i="32"/>
  <c r="K500" i="32" s="1"/>
  <c r="Q499" i="32"/>
  <c r="J499" i="32"/>
  <c r="K499" i="32" s="1"/>
  <c r="Q498" i="32"/>
  <c r="J498" i="32"/>
  <c r="K498" i="32" s="1"/>
  <c r="Q497" i="32"/>
  <c r="J497" i="32"/>
  <c r="K497" i="32" s="1"/>
  <c r="Q496" i="32"/>
  <c r="J496" i="32"/>
  <c r="K496" i="32" s="1"/>
  <c r="Q495" i="32"/>
  <c r="J495" i="32"/>
  <c r="K495" i="32" s="1"/>
  <c r="Q494" i="32"/>
  <c r="J494" i="32"/>
  <c r="K494" i="32" s="1"/>
  <c r="Q493" i="32"/>
  <c r="J493" i="32"/>
  <c r="K493" i="32" s="1"/>
  <c r="Q492" i="32"/>
  <c r="J492" i="32"/>
  <c r="K492" i="32" s="1"/>
  <c r="Q491" i="32"/>
  <c r="J491" i="32"/>
  <c r="K491" i="32" s="1"/>
  <c r="Q490" i="32"/>
  <c r="J490" i="32"/>
  <c r="K490" i="32" s="1"/>
  <c r="Q489" i="32"/>
  <c r="J489" i="32"/>
  <c r="K489" i="32" s="1"/>
  <c r="Q488" i="32"/>
  <c r="J488" i="32"/>
  <c r="K488" i="32" s="1"/>
  <c r="Q487" i="32"/>
  <c r="J487" i="32"/>
  <c r="K487" i="32" s="1"/>
  <c r="Q486" i="32"/>
  <c r="J486" i="32"/>
  <c r="K486" i="32" s="1"/>
  <c r="Q485" i="32"/>
  <c r="J485" i="32"/>
  <c r="K485" i="32" s="1"/>
  <c r="Q484" i="32"/>
  <c r="J484" i="32"/>
  <c r="K484" i="32" s="1"/>
  <c r="Q483" i="32"/>
  <c r="J483" i="32"/>
  <c r="K483" i="32" s="1"/>
  <c r="Q482" i="32"/>
  <c r="J482" i="32"/>
  <c r="K482" i="32" s="1"/>
  <c r="Q481" i="32"/>
  <c r="J481" i="32"/>
  <c r="K481" i="32" s="1"/>
  <c r="Q480" i="32"/>
  <c r="J480" i="32"/>
  <c r="K480" i="32" s="1"/>
  <c r="Q479" i="32"/>
  <c r="J479" i="32"/>
  <c r="K479" i="32" s="1"/>
  <c r="Q478" i="32"/>
  <c r="J478" i="32"/>
  <c r="K478" i="32" s="1"/>
  <c r="Q477" i="32"/>
  <c r="J477" i="32"/>
  <c r="K477" i="32" s="1"/>
  <c r="Q476" i="32"/>
  <c r="J476" i="32"/>
  <c r="K476" i="32" s="1"/>
  <c r="Q475" i="32"/>
  <c r="J475" i="32"/>
  <c r="K475" i="32" s="1"/>
  <c r="Q474" i="32"/>
  <c r="J474" i="32"/>
  <c r="K474" i="32" s="1"/>
  <c r="Q473" i="32"/>
  <c r="J473" i="32"/>
  <c r="K473" i="32" s="1"/>
  <c r="Q472" i="32"/>
  <c r="J472" i="32"/>
  <c r="K472" i="32" s="1"/>
  <c r="Q471" i="32"/>
  <c r="J471" i="32"/>
  <c r="K471" i="32" s="1"/>
  <c r="Q470" i="32"/>
  <c r="J470" i="32"/>
  <c r="K470" i="32" s="1"/>
  <c r="Q469" i="32"/>
  <c r="J469" i="32"/>
  <c r="K469" i="32" s="1"/>
  <c r="Q468" i="32"/>
  <c r="J468" i="32"/>
  <c r="K468" i="32" s="1"/>
  <c r="Q467" i="32"/>
  <c r="J467" i="32"/>
  <c r="K467" i="32" s="1"/>
  <c r="Q466" i="32"/>
  <c r="J466" i="32"/>
  <c r="K466" i="32" s="1"/>
  <c r="Q465" i="32"/>
  <c r="J465" i="32"/>
  <c r="K465" i="32" s="1"/>
  <c r="Q464" i="32"/>
  <c r="J464" i="32"/>
  <c r="K464" i="32" s="1"/>
  <c r="Q463" i="32"/>
  <c r="J463" i="32"/>
  <c r="K463" i="32" s="1"/>
  <c r="Q462" i="32"/>
  <c r="J462" i="32"/>
  <c r="K462" i="32" s="1"/>
  <c r="Q461" i="32"/>
  <c r="J461" i="32"/>
  <c r="K461" i="32" s="1"/>
  <c r="Q460" i="32"/>
  <c r="J460" i="32"/>
  <c r="K460" i="32" s="1"/>
  <c r="Q459" i="32"/>
  <c r="J459" i="32"/>
  <c r="K459" i="32" s="1"/>
  <c r="Q458" i="32"/>
  <c r="J458" i="32"/>
  <c r="K458" i="32" s="1"/>
  <c r="Q457" i="32"/>
  <c r="J457" i="32"/>
  <c r="K457" i="32" s="1"/>
  <c r="Q456" i="32"/>
  <c r="J456" i="32"/>
  <c r="K456" i="32" s="1"/>
  <c r="Q455" i="32"/>
  <c r="J455" i="32"/>
  <c r="K455" i="32" s="1"/>
  <c r="Q454" i="32"/>
  <c r="J454" i="32"/>
  <c r="K454" i="32" s="1"/>
  <c r="Q453" i="32"/>
  <c r="J453" i="32"/>
  <c r="K453" i="32" s="1"/>
  <c r="Q452" i="32"/>
  <c r="J452" i="32"/>
  <c r="K452" i="32" s="1"/>
  <c r="Q451" i="32"/>
  <c r="J451" i="32"/>
  <c r="K451" i="32" s="1"/>
  <c r="Q450" i="32"/>
  <c r="J450" i="32"/>
  <c r="K450" i="32" s="1"/>
  <c r="Q449" i="32"/>
  <c r="J449" i="32"/>
  <c r="K449" i="32" s="1"/>
  <c r="Q448" i="32"/>
  <c r="J448" i="32"/>
  <c r="K448" i="32" s="1"/>
  <c r="Q447" i="32"/>
  <c r="J447" i="32"/>
  <c r="K447" i="32" s="1"/>
  <c r="Q446" i="32"/>
  <c r="J446" i="32"/>
  <c r="K446" i="32" s="1"/>
  <c r="Q445" i="32"/>
  <c r="J445" i="32"/>
  <c r="K445" i="32" s="1"/>
  <c r="Q444" i="32"/>
  <c r="J444" i="32"/>
  <c r="K444" i="32" s="1"/>
  <c r="Q443" i="32"/>
  <c r="J443" i="32"/>
  <c r="K443" i="32" s="1"/>
  <c r="Q442" i="32"/>
  <c r="J442" i="32"/>
  <c r="K442" i="32" s="1"/>
  <c r="Q441" i="32"/>
  <c r="J441" i="32"/>
  <c r="K441" i="32" s="1"/>
  <c r="Q440" i="32"/>
  <c r="J440" i="32"/>
  <c r="K440" i="32" s="1"/>
  <c r="Q439" i="32"/>
  <c r="J439" i="32"/>
  <c r="K439" i="32" s="1"/>
  <c r="Q438" i="32"/>
  <c r="J438" i="32"/>
  <c r="K438" i="32" s="1"/>
  <c r="Q437" i="32"/>
  <c r="J437" i="32"/>
  <c r="K437" i="32" s="1"/>
  <c r="Q436" i="32"/>
  <c r="J436" i="32"/>
  <c r="K436" i="32" s="1"/>
  <c r="Q435" i="32"/>
  <c r="J435" i="32"/>
  <c r="K435" i="32" s="1"/>
  <c r="Q434" i="32"/>
  <c r="J434" i="32"/>
  <c r="K434" i="32" s="1"/>
  <c r="Q433" i="32"/>
  <c r="J433" i="32"/>
  <c r="K433" i="32" s="1"/>
  <c r="Q432" i="32"/>
  <c r="J432" i="32"/>
  <c r="K432" i="32" s="1"/>
  <c r="Q431" i="32"/>
  <c r="J431" i="32"/>
  <c r="K431" i="32" s="1"/>
  <c r="Q430" i="32"/>
  <c r="J430" i="32"/>
  <c r="K430" i="32" s="1"/>
  <c r="Q429" i="32"/>
  <c r="J429" i="32"/>
  <c r="K429" i="32" s="1"/>
  <c r="Q428" i="32"/>
  <c r="J428" i="32"/>
  <c r="K428" i="32" s="1"/>
  <c r="Q427" i="32"/>
  <c r="J427" i="32"/>
  <c r="K427" i="32" s="1"/>
  <c r="Q426" i="32"/>
  <c r="J426" i="32"/>
  <c r="K426" i="32" s="1"/>
  <c r="Q425" i="32"/>
  <c r="J425" i="32"/>
  <c r="K425" i="32" s="1"/>
  <c r="Q424" i="32"/>
  <c r="J424" i="32"/>
  <c r="K424" i="32" s="1"/>
  <c r="Q423" i="32"/>
  <c r="J423" i="32"/>
  <c r="K423" i="32" s="1"/>
  <c r="Q422" i="32"/>
  <c r="J422" i="32"/>
  <c r="K422" i="32" s="1"/>
  <c r="Q421" i="32"/>
  <c r="J421" i="32"/>
  <c r="K421" i="32" s="1"/>
  <c r="Q420" i="32"/>
  <c r="J420" i="32"/>
  <c r="K420" i="32" s="1"/>
  <c r="Q419" i="32"/>
  <c r="J419" i="32"/>
  <c r="K419" i="32" s="1"/>
  <c r="Q418" i="32"/>
  <c r="J418" i="32"/>
  <c r="K418" i="32" s="1"/>
  <c r="Q417" i="32"/>
  <c r="J417" i="32"/>
  <c r="K417" i="32" s="1"/>
  <c r="Q416" i="32"/>
  <c r="J416" i="32"/>
  <c r="K416" i="32" s="1"/>
  <c r="Q415" i="32"/>
  <c r="J415" i="32"/>
  <c r="K415" i="32" s="1"/>
  <c r="Q414" i="32"/>
  <c r="J414" i="32"/>
  <c r="K414" i="32" s="1"/>
  <c r="Q413" i="32"/>
  <c r="J413" i="32"/>
  <c r="K413" i="32" s="1"/>
  <c r="Q412" i="32"/>
  <c r="J412" i="32"/>
  <c r="K412" i="32" s="1"/>
  <c r="Q411" i="32"/>
  <c r="J411" i="32"/>
  <c r="K411" i="32" s="1"/>
  <c r="Q410" i="32"/>
  <c r="J410" i="32"/>
  <c r="K410" i="32" s="1"/>
  <c r="Q409" i="32"/>
  <c r="J409" i="32"/>
  <c r="K409" i="32" s="1"/>
  <c r="Q408" i="32"/>
  <c r="J408" i="32"/>
  <c r="K408" i="32" s="1"/>
  <c r="Q407" i="32"/>
  <c r="J407" i="32"/>
  <c r="K407" i="32" s="1"/>
  <c r="Q406" i="32"/>
  <c r="J406" i="32"/>
  <c r="K406" i="32" s="1"/>
  <c r="Q405" i="32"/>
  <c r="J405" i="32"/>
  <c r="K405" i="32" s="1"/>
  <c r="Q404" i="32"/>
  <c r="J404" i="32"/>
  <c r="K404" i="32" s="1"/>
  <c r="Q403" i="32"/>
  <c r="J403" i="32"/>
  <c r="K403" i="32" s="1"/>
  <c r="Q402" i="32"/>
  <c r="J402" i="32"/>
  <c r="K402" i="32" s="1"/>
  <c r="Q401" i="32"/>
  <c r="J401" i="32"/>
  <c r="K401" i="32" s="1"/>
  <c r="Q400" i="32"/>
  <c r="J400" i="32"/>
  <c r="K400" i="32" s="1"/>
  <c r="Q399" i="32"/>
  <c r="J399" i="32"/>
  <c r="K399" i="32" s="1"/>
  <c r="Q398" i="32"/>
  <c r="J398" i="32"/>
  <c r="K398" i="32" s="1"/>
  <c r="Q397" i="32"/>
  <c r="J397" i="32"/>
  <c r="K397" i="32" s="1"/>
  <c r="Q396" i="32"/>
  <c r="J396" i="32"/>
  <c r="K396" i="32" s="1"/>
  <c r="Q395" i="32"/>
  <c r="J395" i="32"/>
  <c r="K395" i="32" s="1"/>
  <c r="Q394" i="32"/>
  <c r="J394" i="32"/>
  <c r="K394" i="32" s="1"/>
  <c r="Q393" i="32"/>
  <c r="J393" i="32"/>
  <c r="K393" i="32" s="1"/>
  <c r="Q392" i="32"/>
  <c r="J392" i="32"/>
  <c r="K392" i="32" s="1"/>
  <c r="Q391" i="32"/>
  <c r="J391" i="32"/>
  <c r="K391" i="32" s="1"/>
  <c r="Q390" i="32"/>
  <c r="J390" i="32"/>
  <c r="K390" i="32" s="1"/>
  <c r="Q389" i="32"/>
  <c r="J389" i="32"/>
  <c r="K389" i="32" s="1"/>
  <c r="Q388" i="32"/>
  <c r="J388" i="32"/>
  <c r="K388" i="32" s="1"/>
  <c r="Q387" i="32"/>
  <c r="J387" i="32"/>
  <c r="K387" i="32" s="1"/>
  <c r="Q386" i="32"/>
  <c r="J386" i="32"/>
  <c r="K386" i="32" s="1"/>
  <c r="Q385" i="32"/>
  <c r="J385" i="32"/>
  <c r="K385" i="32" s="1"/>
  <c r="Q384" i="32"/>
  <c r="J384" i="32"/>
  <c r="K384" i="32" s="1"/>
  <c r="Q383" i="32"/>
  <c r="J383" i="32"/>
  <c r="K383" i="32" s="1"/>
  <c r="Q382" i="32"/>
  <c r="J382" i="32"/>
  <c r="K382" i="32" s="1"/>
  <c r="Q381" i="32"/>
  <c r="J381" i="32"/>
  <c r="K381" i="32" s="1"/>
  <c r="Q380" i="32"/>
  <c r="J380" i="32"/>
  <c r="K380" i="32" s="1"/>
  <c r="Q379" i="32"/>
  <c r="J379" i="32"/>
  <c r="K379" i="32" s="1"/>
  <c r="Q378" i="32"/>
  <c r="J378" i="32"/>
  <c r="K378" i="32" s="1"/>
  <c r="Q377" i="32"/>
  <c r="J377" i="32"/>
  <c r="K377" i="32" s="1"/>
  <c r="Q376" i="32"/>
  <c r="J376" i="32"/>
  <c r="K376" i="32" s="1"/>
  <c r="Q375" i="32"/>
  <c r="J375" i="32"/>
  <c r="K375" i="32" s="1"/>
  <c r="Q374" i="32"/>
  <c r="J374" i="32"/>
  <c r="K374" i="32" s="1"/>
  <c r="Q373" i="32"/>
  <c r="J373" i="32"/>
  <c r="K373" i="32" s="1"/>
  <c r="Q372" i="32"/>
  <c r="J372" i="32"/>
  <c r="K372" i="32" s="1"/>
  <c r="Q371" i="32"/>
  <c r="J371" i="32"/>
  <c r="K371" i="32" s="1"/>
  <c r="Q370" i="32"/>
  <c r="J370" i="32"/>
  <c r="K370" i="32" s="1"/>
  <c r="Q369" i="32"/>
  <c r="J369" i="32"/>
  <c r="K369" i="32" s="1"/>
  <c r="Q368" i="32"/>
  <c r="J368" i="32"/>
  <c r="K368" i="32" s="1"/>
  <c r="Q367" i="32"/>
  <c r="J367" i="32"/>
  <c r="K367" i="32" s="1"/>
  <c r="Q366" i="32"/>
  <c r="J366" i="32"/>
  <c r="K366" i="32" s="1"/>
  <c r="Q365" i="32"/>
  <c r="J365" i="32"/>
  <c r="K365" i="32" s="1"/>
  <c r="Q364" i="32"/>
  <c r="J364" i="32"/>
  <c r="K364" i="32" s="1"/>
  <c r="Q363" i="32"/>
  <c r="J363" i="32"/>
  <c r="K363" i="32" s="1"/>
  <c r="Q362" i="32"/>
  <c r="J362" i="32"/>
  <c r="K362" i="32" s="1"/>
  <c r="Q361" i="32"/>
  <c r="J361" i="32"/>
  <c r="K361" i="32" s="1"/>
  <c r="Q360" i="32"/>
  <c r="J360" i="32"/>
  <c r="K360" i="32" s="1"/>
  <c r="Q359" i="32"/>
  <c r="J359" i="32"/>
  <c r="K359" i="32" s="1"/>
  <c r="Q358" i="32"/>
  <c r="J358" i="32"/>
  <c r="K358" i="32" s="1"/>
  <c r="Q357" i="32"/>
  <c r="J357" i="32"/>
  <c r="K357" i="32" s="1"/>
  <c r="Q356" i="32"/>
  <c r="J356" i="32"/>
  <c r="K356" i="32" s="1"/>
  <c r="Q355" i="32"/>
  <c r="J355" i="32"/>
  <c r="K355" i="32" s="1"/>
  <c r="Q354" i="32"/>
  <c r="J354" i="32"/>
  <c r="K354" i="32" s="1"/>
  <c r="Q353" i="32"/>
  <c r="J353" i="32"/>
  <c r="K353" i="32" s="1"/>
  <c r="Q352" i="32"/>
  <c r="J352" i="32"/>
  <c r="K352" i="32" s="1"/>
  <c r="Q351" i="32"/>
  <c r="J351" i="32"/>
  <c r="K351" i="32" s="1"/>
  <c r="Q350" i="32"/>
  <c r="J350" i="32"/>
  <c r="K350" i="32" s="1"/>
  <c r="Q349" i="32"/>
  <c r="J349" i="32"/>
  <c r="K349" i="32" s="1"/>
  <c r="Q348" i="32"/>
  <c r="J348" i="32"/>
  <c r="K348" i="32" s="1"/>
  <c r="Q347" i="32"/>
  <c r="J347" i="32"/>
  <c r="K347" i="32" s="1"/>
  <c r="Q346" i="32"/>
  <c r="J346" i="32"/>
  <c r="K346" i="32" s="1"/>
  <c r="Q345" i="32"/>
  <c r="J345" i="32"/>
  <c r="K345" i="32" s="1"/>
  <c r="Q344" i="32"/>
  <c r="J344" i="32"/>
  <c r="K344" i="32" s="1"/>
  <c r="Q343" i="32"/>
  <c r="J343" i="32"/>
  <c r="K343" i="32" s="1"/>
  <c r="Q342" i="32"/>
  <c r="J342" i="32"/>
  <c r="K342" i="32" s="1"/>
  <c r="Q341" i="32"/>
  <c r="J341" i="32"/>
  <c r="K341" i="32" s="1"/>
  <c r="Q340" i="32"/>
  <c r="J340" i="32"/>
  <c r="K340" i="32" s="1"/>
  <c r="Q339" i="32"/>
  <c r="J339" i="32"/>
  <c r="K339" i="32" s="1"/>
  <c r="Q338" i="32"/>
  <c r="J338" i="32"/>
  <c r="K338" i="32" s="1"/>
  <c r="Q337" i="32"/>
  <c r="J337" i="32"/>
  <c r="K337" i="32" s="1"/>
  <c r="Q336" i="32"/>
  <c r="J336" i="32"/>
  <c r="K336" i="32" s="1"/>
  <c r="Q335" i="32"/>
  <c r="J335" i="32"/>
  <c r="K335" i="32" s="1"/>
  <c r="Q334" i="32"/>
  <c r="J334" i="32"/>
  <c r="K334" i="32" s="1"/>
  <c r="Q333" i="32"/>
  <c r="J333" i="32"/>
  <c r="K333" i="32" s="1"/>
  <c r="Q332" i="32"/>
  <c r="J332" i="32"/>
  <c r="K332" i="32" s="1"/>
  <c r="Q331" i="32"/>
  <c r="J331" i="32"/>
  <c r="K331" i="32" s="1"/>
  <c r="Q330" i="32"/>
  <c r="J330" i="32"/>
  <c r="K330" i="32" s="1"/>
  <c r="Q329" i="32"/>
  <c r="J329" i="32"/>
  <c r="K329" i="32" s="1"/>
  <c r="Q328" i="32"/>
  <c r="J328" i="32"/>
  <c r="K328" i="32" s="1"/>
  <c r="Q327" i="32"/>
  <c r="J327" i="32"/>
  <c r="K327" i="32" s="1"/>
  <c r="Q326" i="32"/>
  <c r="J326" i="32"/>
  <c r="K326" i="32" s="1"/>
  <c r="Q325" i="32"/>
  <c r="J325" i="32"/>
  <c r="K325" i="32" s="1"/>
  <c r="Q324" i="32"/>
  <c r="J324" i="32"/>
  <c r="K324" i="32" s="1"/>
  <c r="Q323" i="32"/>
  <c r="J323" i="32"/>
  <c r="K323" i="32" s="1"/>
  <c r="Q322" i="32"/>
  <c r="J322" i="32"/>
  <c r="K322" i="32" s="1"/>
  <c r="Q321" i="32"/>
  <c r="J321" i="32"/>
  <c r="K321" i="32" s="1"/>
  <c r="Q320" i="32"/>
  <c r="J320" i="32"/>
  <c r="K320" i="32" s="1"/>
  <c r="Q319" i="32"/>
  <c r="J319" i="32"/>
  <c r="K319" i="32" s="1"/>
  <c r="Q318" i="32"/>
  <c r="J318" i="32"/>
  <c r="K318" i="32" s="1"/>
  <c r="Q317" i="32"/>
  <c r="J317" i="32"/>
  <c r="K317" i="32" s="1"/>
  <c r="Q316" i="32"/>
  <c r="J316" i="32"/>
  <c r="K316" i="32" s="1"/>
  <c r="Q315" i="32"/>
  <c r="J315" i="32"/>
  <c r="K315" i="32" s="1"/>
  <c r="Q314" i="32"/>
  <c r="J314" i="32"/>
  <c r="K314" i="32" s="1"/>
  <c r="Q313" i="32"/>
  <c r="J313" i="32"/>
  <c r="K313" i="32" s="1"/>
  <c r="Q312" i="32"/>
  <c r="J312" i="32"/>
  <c r="K312" i="32" s="1"/>
  <c r="Q311" i="32"/>
  <c r="J311" i="32"/>
  <c r="K311" i="32" s="1"/>
  <c r="Q310" i="32"/>
  <c r="J310" i="32"/>
  <c r="K310" i="32" s="1"/>
  <c r="Q309" i="32"/>
  <c r="J309" i="32"/>
  <c r="K309" i="32" s="1"/>
  <c r="Q308" i="32"/>
  <c r="J308" i="32"/>
  <c r="K308" i="32" s="1"/>
  <c r="Q307" i="32"/>
  <c r="K307" i="32"/>
  <c r="Q306" i="32"/>
  <c r="J306" i="32"/>
  <c r="K306" i="32" s="1"/>
  <c r="Q305" i="32"/>
  <c r="J305" i="32"/>
  <c r="K305" i="32" s="1"/>
  <c r="Q304" i="32"/>
  <c r="J304" i="32"/>
  <c r="K304" i="32" s="1"/>
  <c r="Q303" i="32"/>
  <c r="J303" i="32"/>
  <c r="K303" i="32" s="1"/>
  <c r="Q302" i="32"/>
  <c r="J302" i="32"/>
  <c r="K302" i="32" s="1"/>
  <c r="Q301" i="32"/>
  <c r="J301" i="32"/>
  <c r="K301" i="32" s="1"/>
  <c r="Q300" i="32"/>
  <c r="J300" i="32"/>
  <c r="K300" i="32" s="1"/>
  <c r="Q299" i="32"/>
  <c r="J299" i="32"/>
  <c r="K299" i="32" s="1"/>
  <c r="Q298" i="32"/>
  <c r="J298" i="32"/>
  <c r="K298" i="32" s="1"/>
  <c r="Q297" i="32"/>
  <c r="J297" i="32"/>
  <c r="K297" i="32" s="1"/>
  <c r="Q296" i="32"/>
  <c r="J296" i="32"/>
  <c r="K296" i="32" s="1"/>
  <c r="Q295" i="32"/>
  <c r="J295" i="32"/>
  <c r="K295" i="32" s="1"/>
  <c r="Q294" i="32"/>
  <c r="J294" i="32"/>
  <c r="K294" i="32" s="1"/>
  <c r="Q293" i="32"/>
  <c r="J293" i="32"/>
  <c r="K293" i="32" s="1"/>
  <c r="Q292" i="32"/>
  <c r="J292" i="32"/>
  <c r="K292" i="32" s="1"/>
  <c r="Q291" i="32"/>
  <c r="J291" i="32"/>
  <c r="K291" i="32" s="1"/>
  <c r="Q290" i="32"/>
  <c r="J290" i="32"/>
  <c r="K290" i="32" s="1"/>
  <c r="Q289" i="32"/>
  <c r="J289" i="32"/>
  <c r="K289" i="32" s="1"/>
  <c r="Q288" i="32"/>
  <c r="J288" i="32"/>
  <c r="K288" i="32" s="1"/>
  <c r="Q287" i="32"/>
  <c r="J287" i="32"/>
  <c r="K287" i="32" s="1"/>
  <c r="Q286" i="32"/>
  <c r="J286" i="32"/>
  <c r="K286" i="32" s="1"/>
  <c r="Q285" i="32"/>
  <c r="J285" i="32"/>
  <c r="K285" i="32" s="1"/>
  <c r="Q284" i="32"/>
  <c r="J284" i="32"/>
  <c r="K284" i="32" s="1"/>
  <c r="Q283" i="32"/>
  <c r="J283" i="32"/>
  <c r="K283" i="32" s="1"/>
  <c r="Q282" i="32"/>
  <c r="J282" i="32"/>
  <c r="K282" i="32" s="1"/>
  <c r="Q281" i="32"/>
  <c r="J281" i="32"/>
  <c r="K281" i="32" s="1"/>
  <c r="Q280" i="32"/>
  <c r="J280" i="32"/>
  <c r="K280" i="32" s="1"/>
  <c r="Q279" i="32"/>
  <c r="J279" i="32"/>
  <c r="K279" i="32" s="1"/>
  <c r="Q278" i="32"/>
  <c r="J278" i="32"/>
  <c r="K278" i="32" s="1"/>
  <c r="Q277" i="32"/>
  <c r="J277" i="32"/>
  <c r="K277" i="32" s="1"/>
  <c r="Q276" i="32"/>
  <c r="J276" i="32"/>
  <c r="K276" i="32" s="1"/>
  <c r="Q275" i="32"/>
  <c r="J275" i="32"/>
  <c r="K275" i="32" s="1"/>
  <c r="Q274" i="32"/>
  <c r="J274" i="32"/>
  <c r="K274" i="32" s="1"/>
  <c r="Q273" i="32"/>
  <c r="J273" i="32"/>
  <c r="K273" i="32" s="1"/>
  <c r="Q272" i="32"/>
  <c r="J272" i="32"/>
  <c r="K272" i="32" s="1"/>
  <c r="Q271" i="32"/>
  <c r="J271" i="32"/>
  <c r="K271" i="32" s="1"/>
  <c r="Q270" i="32"/>
  <c r="J270" i="32"/>
  <c r="K270" i="32" s="1"/>
  <c r="Q269" i="32"/>
  <c r="J269" i="32"/>
  <c r="K269" i="32" s="1"/>
  <c r="Q268" i="32"/>
  <c r="J268" i="32"/>
  <c r="K268" i="32" s="1"/>
  <c r="Q267" i="32"/>
  <c r="J267" i="32"/>
  <c r="K267" i="32" s="1"/>
  <c r="J266" i="32"/>
  <c r="K266" i="32" s="1"/>
  <c r="Q265" i="32"/>
  <c r="J265" i="32"/>
  <c r="K265" i="32" s="1"/>
  <c r="Q264" i="32"/>
  <c r="J264" i="32"/>
  <c r="K264" i="32" s="1"/>
  <c r="Q263" i="32"/>
  <c r="J263" i="32"/>
  <c r="K263" i="32" s="1"/>
  <c r="Q262" i="32"/>
  <c r="J262" i="32"/>
  <c r="K262" i="32" s="1"/>
  <c r="Q261" i="32"/>
  <c r="J261" i="32"/>
  <c r="K261" i="32" s="1"/>
  <c r="Q260" i="32"/>
  <c r="J260" i="32"/>
  <c r="K260" i="32" s="1"/>
  <c r="Q259" i="32"/>
  <c r="J259" i="32"/>
  <c r="K259" i="32" s="1"/>
  <c r="Q258" i="32"/>
  <c r="J258" i="32"/>
  <c r="K258" i="32" s="1"/>
  <c r="Q257" i="32"/>
  <c r="J257" i="32"/>
  <c r="K257" i="32" s="1"/>
  <c r="Q256" i="32"/>
  <c r="J256" i="32"/>
  <c r="K256" i="32" s="1"/>
  <c r="Q255" i="32"/>
  <c r="J255" i="32"/>
  <c r="K255" i="32" s="1"/>
  <c r="Q254" i="32"/>
  <c r="J254" i="32"/>
  <c r="K254" i="32" s="1"/>
  <c r="Q253" i="32"/>
  <c r="J253" i="32"/>
  <c r="K253" i="32" s="1"/>
  <c r="Q252" i="32"/>
  <c r="J252" i="32"/>
  <c r="K252" i="32" s="1"/>
  <c r="Q251" i="32"/>
  <c r="J251" i="32"/>
  <c r="K251" i="32" s="1"/>
  <c r="Q250" i="32"/>
  <c r="J250" i="32"/>
  <c r="K250" i="32" s="1"/>
  <c r="Q249" i="32"/>
  <c r="J249" i="32"/>
  <c r="K249" i="32" s="1"/>
  <c r="Q248" i="32"/>
  <c r="J248" i="32"/>
  <c r="K248" i="32" s="1"/>
  <c r="Q247" i="32"/>
  <c r="J247" i="32"/>
  <c r="K247" i="32" s="1"/>
  <c r="Q246" i="32"/>
  <c r="J246" i="32"/>
  <c r="K246" i="32" s="1"/>
  <c r="Q245" i="32"/>
  <c r="J245" i="32"/>
  <c r="K245" i="32" s="1"/>
  <c r="Q244" i="32"/>
  <c r="J244" i="32"/>
  <c r="K244" i="32" s="1"/>
  <c r="Q243" i="32"/>
  <c r="J243" i="32"/>
  <c r="K243" i="32" s="1"/>
  <c r="Q242" i="32"/>
  <c r="J242" i="32"/>
  <c r="K242" i="32" s="1"/>
  <c r="Q241" i="32"/>
  <c r="J241" i="32"/>
  <c r="K241" i="32" s="1"/>
  <c r="Q240" i="32"/>
  <c r="J240" i="32"/>
  <c r="K240" i="32" s="1"/>
  <c r="Q239" i="32"/>
  <c r="J239" i="32"/>
  <c r="K239" i="32" s="1"/>
  <c r="Q238" i="32"/>
  <c r="J238" i="32"/>
  <c r="K238" i="32" s="1"/>
  <c r="Q237" i="32"/>
  <c r="J237" i="32"/>
  <c r="K237" i="32" s="1"/>
  <c r="Q236" i="32"/>
  <c r="J236" i="32"/>
  <c r="K236" i="32" s="1"/>
  <c r="Q235" i="32"/>
  <c r="J235" i="32"/>
  <c r="K235" i="32" s="1"/>
  <c r="Q234" i="32"/>
  <c r="J234" i="32"/>
  <c r="K234" i="32" s="1"/>
  <c r="Q233" i="32"/>
  <c r="J233" i="32"/>
  <c r="K233" i="32" s="1"/>
  <c r="Q232" i="32"/>
  <c r="J232" i="32"/>
  <c r="K232" i="32" s="1"/>
  <c r="Q231" i="32"/>
  <c r="J231" i="32"/>
  <c r="K231" i="32" s="1"/>
  <c r="Q230" i="32"/>
  <c r="J230" i="32"/>
  <c r="K230" i="32" s="1"/>
  <c r="Q229" i="32"/>
  <c r="J229" i="32"/>
  <c r="K229" i="32" s="1"/>
  <c r="Q228" i="32"/>
  <c r="J228" i="32"/>
  <c r="K228" i="32" s="1"/>
  <c r="Q227" i="32"/>
  <c r="J227" i="32"/>
  <c r="K227" i="32" s="1"/>
  <c r="Q226" i="32"/>
  <c r="J226" i="32"/>
  <c r="K226" i="32" s="1"/>
  <c r="Q225" i="32"/>
  <c r="J225" i="32"/>
  <c r="K225" i="32" s="1"/>
  <c r="Q224" i="32"/>
  <c r="J224" i="32"/>
  <c r="K224" i="32" s="1"/>
  <c r="Q223" i="32"/>
  <c r="J223" i="32"/>
  <c r="K223" i="32" s="1"/>
  <c r="Q222" i="32"/>
  <c r="J222" i="32"/>
  <c r="K222" i="32" s="1"/>
  <c r="Q221" i="32"/>
  <c r="J221" i="32"/>
  <c r="K221" i="32" s="1"/>
  <c r="Q220" i="32"/>
  <c r="J220" i="32"/>
  <c r="K220" i="32" s="1"/>
  <c r="Q219" i="32"/>
  <c r="J219" i="32"/>
  <c r="K219" i="32" s="1"/>
  <c r="Q218" i="32"/>
  <c r="J218" i="32"/>
  <c r="K218" i="32" s="1"/>
  <c r="Q217" i="32"/>
  <c r="J217" i="32"/>
  <c r="K217" i="32" s="1"/>
  <c r="Q216" i="32"/>
  <c r="J216" i="32"/>
  <c r="K216" i="32" s="1"/>
  <c r="Q215" i="32"/>
  <c r="J215" i="32"/>
  <c r="K215" i="32" s="1"/>
  <c r="Q214" i="32"/>
  <c r="J214" i="32"/>
  <c r="K214" i="32" s="1"/>
  <c r="Q213" i="32"/>
  <c r="J213" i="32"/>
  <c r="K213" i="32" s="1"/>
  <c r="Q212" i="32"/>
  <c r="J212" i="32"/>
  <c r="K212" i="32" s="1"/>
  <c r="Q211" i="32"/>
  <c r="J211" i="32"/>
  <c r="K211" i="32" s="1"/>
  <c r="Q210" i="32"/>
  <c r="J210" i="32"/>
  <c r="K210" i="32" s="1"/>
  <c r="Q209" i="32"/>
  <c r="J209" i="32"/>
  <c r="K209" i="32" s="1"/>
  <c r="Q208" i="32"/>
  <c r="J208" i="32"/>
  <c r="K208" i="32" s="1"/>
  <c r="Q207" i="32"/>
  <c r="J207" i="32"/>
  <c r="K207" i="32" s="1"/>
  <c r="Q206" i="32"/>
  <c r="J206" i="32"/>
  <c r="K206" i="32" s="1"/>
  <c r="Q205" i="32"/>
  <c r="J205" i="32"/>
  <c r="K205" i="32" s="1"/>
  <c r="Q204" i="32"/>
  <c r="J204" i="32"/>
  <c r="K204" i="32" s="1"/>
  <c r="Q203" i="32"/>
  <c r="J203" i="32"/>
  <c r="K203" i="32" s="1"/>
  <c r="Q202" i="32"/>
  <c r="J202" i="32"/>
  <c r="K202" i="32" s="1"/>
  <c r="Q201" i="32"/>
  <c r="J201" i="32"/>
  <c r="K201" i="32" s="1"/>
  <c r="Q200" i="32"/>
  <c r="J200" i="32"/>
  <c r="K200" i="32" s="1"/>
  <c r="Q199" i="32"/>
  <c r="J199" i="32"/>
  <c r="K199" i="32" s="1"/>
  <c r="Q198" i="32"/>
  <c r="J198" i="32"/>
  <c r="K198" i="32" s="1"/>
  <c r="Q197" i="32"/>
  <c r="J197" i="32"/>
  <c r="K197" i="32" s="1"/>
  <c r="Q196" i="32"/>
  <c r="J196" i="32"/>
  <c r="K196" i="32" s="1"/>
  <c r="Q195" i="32"/>
  <c r="J195" i="32"/>
  <c r="K195" i="32" s="1"/>
  <c r="Q194" i="32"/>
  <c r="J194" i="32"/>
  <c r="K194" i="32" s="1"/>
  <c r="Q193" i="32"/>
  <c r="J193" i="32"/>
  <c r="K193" i="32" s="1"/>
  <c r="Q192" i="32"/>
  <c r="J192" i="32"/>
  <c r="K192" i="32" s="1"/>
  <c r="Q191" i="32"/>
  <c r="J191" i="32"/>
  <c r="K191" i="32" s="1"/>
  <c r="Q190" i="32"/>
  <c r="J190" i="32"/>
  <c r="K190" i="32" s="1"/>
  <c r="Q189" i="32"/>
  <c r="J189" i="32"/>
  <c r="K189" i="32" s="1"/>
  <c r="Q188" i="32"/>
  <c r="J188" i="32"/>
  <c r="K188" i="32" s="1"/>
  <c r="Q187" i="32"/>
  <c r="J187" i="32"/>
  <c r="K187" i="32" s="1"/>
  <c r="Q186" i="32"/>
  <c r="J186" i="32"/>
  <c r="K186" i="32" s="1"/>
  <c r="Q185" i="32"/>
  <c r="J185" i="32"/>
  <c r="K185" i="32" s="1"/>
  <c r="Q184" i="32"/>
  <c r="J184" i="32"/>
  <c r="K184" i="32" s="1"/>
  <c r="Q183" i="32"/>
  <c r="J183" i="32"/>
  <c r="K183" i="32" s="1"/>
  <c r="Q182" i="32"/>
  <c r="J182" i="32"/>
  <c r="K182" i="32" s="1"/>
  <c r="Q181" i="32"/>
  <c r="J181" i="32"/>
  <c r="K181" i="32" s="1"/>
  <c r="Q180" i="32"/>
  <c r="Q179" i="32"/>
  <c r="J179" i="32"/>
  <c r="K179" i="32" s="1"/>
  <c r="Q178" i="32"/>
  <c r="J178" i="32"/>
  <c r="K178" i="32" s="1"/>
  <c r="Q177" i="32"/>
  <c r="J177" i="32"/>
  <c r="K177" i="32" s="1"/>
  <c r="Q176" i="32"/>
  <c r="J176" i="32"/>
  <c r="K176" i="32" s="1"/>
  <c r="Q175" i="32"/>
  <c r="J175" i="32"/>
  <c r="K175" i="32" s="1"/>
  <c r="Q174" i="32"/>
  <c r="J174" i="32"/>
  <c r="K174" i="32" s="1"/>
  <c r="Q173" i="32"/>
  <c r="J173" i="32"/>
  <c r="K173" i="32" s="1"/>
  <c r="Q172" i="32"/>
  <c r="J172" i="32"/>
  <c r="K172" i="32" s="1"/>
  <c r="Q171" i="32"/>
  <c r="J171" i="32"/>
  <c r="K171" i="32" s="1"/>
  <c r="Q170" i="32"/>
  <c r="J170" i="32"/>
  <c r="K170" i="32" s="1"/>
  <c r="Q169" i="32"/>
  <c r="J169" i="32"/>
  <c r="K169" i="32" s="1"/>
  <c r="Q168" i="32"/>
  <c r="J168" i="32"/>
  <c r="K168" i="32" s="1"/>
  <c r="Q167" i="32"/>
  <c r="J167" i="32"/>
  <c r="K167" i="32" s="1"/>
  <c r="Q166" i="32"/>
  <c r="J166" i="32"/>
  <c r="K166" i="32" s="1"/>
  <c r="Q165" i="32"/>
  <c r="J165" i="32"/>
  <c r="K165" i="32" s="1"/>
  <c r="Q164" i="32"/>
  <c r="J164" i="32"/>
  <c r="K164" i="32" s="1"/>
  <c r="Q163" i="32"/>
  <c r="J163" i="32"/>
  <c r="K163" i="32" s="1"/>
  <c r="Q162" i="32"/>
  <c r="J162" i="32"/>
  <c r="K162" i="32" s="1"/>
  <c r="Q161" i="32"/>
  <c r="J161" i="32"/>
  <c r="K161" i="32" s="1"/>
  <c r="Q160" i="32"/>
  <c r="J160" i="32"/>
  <c r="K160" i="32" s="1"/>
  <c r="Q159" i="32"/>
  <c r="J159" i="32"/>
  <c r="K159" i="32" s="1"/>
  <c r="Q158" i="32"/>
  <c r="J158" i="32"/>
  <c r="K158" i="32" s="1"/>
  <c r="Q157" i="32"/>
  <c r="J157" i="32"/>
  <c r="K157" i="32" s="1"/>
  <c r="Q156" i="32"/>
  <c r="J156" i="32"/>
  <c r="K156" i="32" s="1"/>
  <c r="Q155" i="32"/>
  <c r="J155" i="32"/>
  <c r="K155" i="32" s="1"/>
  <c r="Q154" i="32"/>
  <c r="J154" i="32"/>
  <c r="K154" i="32" s="1"/>
  <c r="Q153" i="32"/>
  <c r="J153" i="32"/>
  <c r="K153" i="32" s="1"/>
  <c r="H153" i="32"/>
  <c r="Q152" i="32"/>
  <c r="J152" i="32"/>
  <c r="K152" i="32" s="1"/>
  <c r="Q151" i="32"/>
  <c r="J151" i="32"/>
  <c r="K151" i="32" s="1"/>
  <c r="Q150" i="32"/>
  <c r="J150" i="32"/>
  <c r="K150" i="32" s="1"/>
  <c r="Q149" i="32"/>
  <c r="J149" i="32"/>
  <c r="K149" i="32" s="1"/>
  <c r="Q148" i="32"/>
  <c r="J148" i="32"/>
  <c r="K148" i="32" s="1"/>
  <c r="Q147" i="32"/>
  <c r="J147" i="32"/>
  <c r="K147" i="32" s="1"/>
  <c r="Q146" i="32"/>
  <c r="J146" i="32"/>
  <c r="K146" i="32" s="1"/>
  <c r="Q145" i="32"/>
  <c r="J145" i="32"/>
  <c r="K145" i="32" s="1"/>
  <c r="Q144" i="32"/>
  <c r="J144" i="32"/>
  <c r="K144" i="32" s="1"/>
  <c r="Q143" i="32"/>
  <c r="J143" i="32"/>
  <c r="K143" i="32" s="1"/>
  <c r="Q142" i="32"/>
  <c r="J142" i="32"/>
  <c r="K142" i="32" s="1"/>
  <c r="Q141" i="32"/>
  <c r="J141" i="32"/>
  <c r="K141" i="32" s="1"/>
  <c r="Q140" i="32"/>
  <c r="J140" i="32"/>
  <c r="K140" i="32" s="1"/>
  <c r="Q139" i="32"/>
  <c r="J139" i="32"/>
  <c r="K139" i="32" s="1"/>
  <c r="Q138" i="32"/>
  <c r="J138" i="32"/>
  <c r="K138" i="32" s="1"/>
  <c r="Q137" i="32"/>
  <c r="J137" i="32"/>
  <c r="K137" i="32" s="1"/>
  <c r="Q136" i="32"/>
  <c r="J136" i="32"/>
  <c r="K136" i="32" s="1"/>
  <c r="Q135" i="32"/>
  <c r="J135" i="32"/>
  <c r="K135" i="32" s="1"/>
  <c r="Q134" i="32"/>
  <c r="J134" i="32"/>
  <c r="K134" i="32" s="1"/>
  <c r="Q133" i="32"/>
  <c r="J133" i="32"/>
  <c r="K133" i="32" s="1"/>
  <c r="Q132" i="32"/>
  <c r="J132" i="32"/>
  <c r="K132" i="32" s="1"/>
  <c r="Q131" i="32"/>
  <c r="J131" i="32"/>
  <c r="K131" i="32" s="1"/>
  <c r="Q130" i="32"/>
  <c r="J130" i="32"/>
  <c r="K130" i="32" s="1"/>
  <c r="Q129" i="32"/>
  <c r="J129" i="32"/>
  <c r="K129" i="32" s="1"/>
  <c r="Q128" i="32"/>
  <c r="J128" i="32"/>
  <c r="K128" i="32" s="1"/>
  <c r="Q127" i="32"/>
  <c r="J127" i="32"/>
  <c r="K127" i="32" s="1"/>
  <c r="Q126" i="32"/>
  <c r="J126" i="32"/>
  <c r="K126" i="32" s="1"/>
  <c r="Q125" i="32"/>
  <c r="J125" i="32"/>
  <c r="K125" i="32" s="1"/>
  <c r="Q124" i="32"/>
  <c r="J124" i="32"/>
  <c r="K124" i="32" s="1"/>
  <c r="Q123" i="32"/>
  <c r="J123" i="32"/>
  <c r="K123" i="32" s="1"/>
  <c r="Q122" i="32"/>
  <c r="J122" i="32"/>
  <c r="K122" i="32" s="1"/>
  <c r="Q121" i="32"/>
  <c r="J121" i="32"/>
  <c r="K121" i="32" s="1"/>
  <c r="Q120" i="32"/>
  <c r="J120" i="32"/>
  <c r="K120" i="32" s="1"/>
  <c r="Q119" i="32"/>
  <c r="J119" i="32"/>
  <c r="K119" i="32" s="1"/>
  <c r="Q118" i="32"/>
  <c r="J118" i="32"/>
  <c r="K118" i="32" s="1"/>
  <c r="Q117" i="32"/>
  <c r="J117" i="32"/>
  <c r="K117" i="32" s="1"/>
  <c r="Q116" i="32"/>
  <c r="J116" i="32"/>
  <c r="K116" i="32" s="1"/>
  <c r="Q115" i="32"/>
  <c r="J115" i="32"/>
  <c r="K115" i="32" s="1"/>
  <c r="Q114" i="32"/>
  <c r="J114" i="32"/>
  <c r="K114" i="32" s="1"/>
  <c r="Q113" i="32"/>
  <c r="J113" i="32"/>
  <c r="K113" i="32" s="1"/>
  <c r="Q112" i="32"/>
  <c r="J112" i="32"/>
  <c r="K112" i="32" s="1"/>
  <c r="Q111" i="32"/>
  <c r="J111" i="32"/>
  <c r="K111" i="32" s="1"/>
  <c r="Q110" i="32"/>
  <c r="J110" i="32"/>
  <c r="K110" i="32" s="1"/>
  <c r="Q109" i="32"/>
  <c r="J109" i="32"/>
  <c r="K109" i="32" s="1"/>
  <c r="Q108" i="32"/>
  <c r="J108" i="32"/>
  <c r="K108" i="32" s="1"/>
  <c r="Q107" i="32"/>
  <c r="J107" i="32"/>
  <c r="K107" i="32" s="1"/>
  <c r="Q106" i="32"/>
  <c r="J106" i="32"/>
  <c r="K106" i="32" s="1"/>
  <c r="Q105" i="32"/>
  <c r="J105" i="32"/>
  <c r="K105" i="32" s="1"/>
  <c r="Q104" i="32"/>
  <c r="J104" i="32"/>
  <c r="K104" i="32" s="1"/>
  <c r="Q103" i="32"/>
  <c r="J103" i="32"/>
  <c r="K103" i="32" s="1"/>
  <c r="Q102" i="32"/>
  <c r="J102" i="32"/>
  <c r="K102" i="32" s="1"/>
  <c r="Q101" i="32"/>
  <c r="J101" i="32"/>
  <c r="K101" i="32" s="1"/>
  <c r="Q100" i="32"/>
  <c r="J100" i="32"/>
  <c r="K100" i="32" s="1"/>
  <c r="Q99" i="32"/>
  <c r="J99" i="32"/>
  <c r="K99" i="32" s="1"/>
  <c r="Q98" i="32"/>
  <c r="J98" i="32"/>
  <c r="K98" i="32" s="1"/>
  <c r="Q97" i="32"/>
  <c r="J97" i="32"/>
  <c r="K97" i="32" s="1"/>
  <c r="Q96" i="32"/>
  <c r="J96" i="32"/>
  <c r="K96" i="32" s="1"/>
  <c r="Q95" i="32"/>
  <c r="J95" i="32"/>
  <c r="K95" i="32" s="1"/>
  <c r="Q94" i="32"/>
  <c r="J94" i="32"/>
  <c r="K94" i="32" s="1"/>
  <c r="Q93" i="32"/>
  <c r="J93" i="32"/>
  <c r="K93" i="32" s="1"/>
  <c r="Q92" i="32"/>
  <c r="J92" i="32"/>
  <c r="K92" i="32" s="1"/>
  <c r="Q91" i="32"/>
  <c r="J91" i="32"/>
  <c r="K91" i="32" s="1"/>
  <c r="Q90" i="32"/>
  <c r="J90" i="32"/>
  <c r="K90" i="32" s="1"/>
  <c r="Q89" i="32"/>
  <c r="J89" i="32"/>
  <c r="K89" i="32" s="1"/>
  <c r="Q88" i="32"/>
  <c r="J88" i="32"/>
  <c r="K88" i="32" s="1"/>
  <c r="Q87" i="32"/>
  <c r="J87" i="32"/>
  <c r="K87" i="32" s="1"/>
  <c r="Q86" i="32"/>
  <c r="J86" i="32"/>
  <c r="K86" i="32" s="1"/>
  <c r="Q85" i="32"/>
  <c r="J85" i="32"/>
  <c r="K85" i="32" s="1"/>
  <c r="Q84" i="32"/>
  <c r="J84" i="32"/>
  <c r="K84" i="32" s="1"/>
  <c r="Q83" i="32"/>
  <c r="J83" i="32"/>
  <c r="K83" i="32" s="1"/>
  <c r="Q82" i="32"/>
  <c r="J82" i="32"/>
  <c r="K82" i="32" s="1"/>
  <c r="Q81" i="32"/>
  <c r="J81" i="32"/>
  <c r="K81" i="32" s="1"/>
  <c r="Q80" i="32"/>
  <c r="J80" i="32"/>
  <c r="K80" i="32" s="1"/>
  <c r="Q79" i="32"/>
  <c r="J79" i="32"/>
  <c r="K79" i="32" s="1"/>
  <c r="Q78" i="32"/>
  <c r="J78" i="32"/>
  <c r="K78" i="32" s="1"/>
  <c r="Q77" i="32"/>
  <c r="J77" i="32"/>
  <c r="K77" i="32" s="1"/>
  <c r="Q76" i="32"/>
  <c r="J76" i="32"/>
  <c r="K76" i="32" s="1"/>
  <c r="Q75" i="32"/>
  <c r="J75" i="32"/>
  <c r="K75" i="32" s="1"/>
  <c r="Q74" i="32"/>
  <c r="J74" i="32"/>
  <c r="K74" i="32" s="1"/>
  <c r="Q73" i="32"/>
  <c r="J73" i="32"/>
  <c r="K73" i="32" s="1"/>
  <c r="Q72" i="32"/>
  <c r="J72" i="32"/>
  <c r="K72" i="32" s="1"/>
  <c r="Q71" i="32"/>
  <c r="J71" i="32"/>
  <c r="K71" i="32" s="1"/>
  <c r="Q70" i="32"/>
  <c r="J70" i="32"/>
  <c r="K70" i="32" s="1"/>
  <c r="Q69" i="32"/>
  <c r="J69" i="32"/>
  <c r="K69" i="32" s="1"/>
  <c r="Q68" i="32"/>
  <c r="J68" i="32"/>
  <c r="K68" i="32" s="1"/>
  <c r="Q67" i="32"/>
  <c r="J67" i="32"/>
  <c r="K67" i="32" s="1"/>
  <c r="Q66" i="32"/>
  <c r="J66" i="32"/>
  <c r="K66" i="32" s="1"/>
  <c r="Q65" i="32"/>
  <c r="J65" i="32"/>
  <c r="K65" i="32" s="1"/>
  <c r="Q64" i="32"/>
  <c r="J64" i="32"/>
  <c r="K64" i="32" s="1"/>
  <c r="Q63" i="32"/>
  <c r="J63" i="32"/>
  <c r="K63" i="32" s="1"/>
  <c r="Q62" i="32"/>
  <c r="J62" i="32"/>
  <c r="K62" i="32" s="1"/>
  <c r="Q61" i="32"/>
  <c r="J61" i="32"/>
  <c r="K61" i="32" s="1"/>
  <c r="Q60" i="32"/>
  <c r="J60" i="32"/>
  <c r="K60" i="32" s="1"/>
  <c r="Q59" i="32"/>
  <c r="J59" i="32"/>
  <c r="K59" i="32" s="1"/>
  <c r="Q58" i="32"/>
  <c r="J58" i="32"/>
  <c r="K58" i="32" s="1"/>
  <c r="H58" i="32"/>
  <c r="Q57" i="32"/>
  <c r="J57" i="32"/>
  <c r="K57" i="32" s="1"/>
  <c r="Q56" i="32"/>
  <c r="J56" i="32"/>
  <c r="K56" i="32" s="1"/>
  <c r="Q55" i="32"/>
  <c r="J55" i="32"/>
  <c r="K55" i="32" s="1"/>
  <c r="Q54" i="32"/>
  <c r="J54" i="32"/>
  <c r="K54" i="32" s="1"/>
  <c r="Q53" i="32"/>
  <c r="J53" i="32"/>
  <c r="K53" i="32" s="1"/>
  <c r="Q52" i="32"/>
  <c r="J52" i="32"/>
  <c r="K52" i="32" s="1"/>
  <c r="Q51" i="32"/>
  <c r="J51" i="32"/>
  <c r="K51" i="32" s="1"/>
  <c r="Q50" i="32"/>
  <c r="J50" i="32"/>
  <c r="K50" i="32" s="1"/>
  <c r="Q49" i="32"/>
  <c r="J49" i="32"/>
  <c r="K49" i="32" s="1"/>
  <c r="Q48" i="32"/>
  <c r="J48" i="32"/>
  <c r="K48" i="32" s="1"/>
  <c r="Q47" i="32"/>
  <c r="J47" i="32"/>
  <c r="K47" i="32" s="1"/>
  <c r="Q46" i="32"/>
  <c r="J46" i="32"/>
  <c r="K46" i="32" s="1"/>
  <c r="Q45" i="32"/>
  <c r="J45" i="32"/>
  <c r="K45" i="32" s="1"/>
  <c r="Q44" i="32"/>
  <c r="J44" i="32"/>
  <c r="K44" i="32" s="1"/>
  <c r="Q43" i="32"/>
  <c r="J43" i="32"/>
  <c r="K43" i="32" s="1"/>
  <c r="Q42" i="32"/>
  <c r="J42" i="32"/>
  <c r="K42" i="32" s="1"/>
  <c r="Q41" i="32"/>
  <c r="J41" i="32"/>
  <c r="K41" i="32" s="1"/>
  <c r="Q40" i="32"/>
  <c r="J40" i="32"/>
  <c r="K40" i="32" s="1"/>
  <c r="Q39" i="32"/>
  <c r="J39" i="32"/>
  <c r="K39" i="32" s="1"/>
  <c r="Q38" i="32"/>
  <c r="J38" i="32"/>
  <c r="K38" i="32" s="1"/>
  <c r="Q37" i="32"/>
  <c r="J37" i="32"/>
  <c r="K37" i="32" s="1"/>
  <c r="Q36" i="32"/>
  <c r="J36" i="32"/>
  <c r="K36" i="32" s="1"/>
  <c r="Q35" i="32"/>
  <c r="J35" i="32"/>
  <c r="K35" i="32" s="1"/>
  <c r="Q34" i="32"/>
  <c r="J34" i="32"/>
  <c r="K34" i="32" s="1"/>
  <c r="Q33" i="32"/>
  <c r="J33" i="32"/>
  <c r="K33" i="32" s="1"/>
  <c r="Q32" i="32"/>
  <c r="J32" i="32"/>
  <c r="K32" i="32" s="1"/>
  <c r="Q31" i="32"/>
  <c r="J31" i="32"/>
  <c r="K31" i="32" s="1"/>
  <c r="Q30" i="32"/>
  <c r="J30" i="32"/>
  <c r="K30" i="32" s="1"/>
  <c r="Q29" i="32"/>
  <c r="J29" i="32"/>
  <c r="K29" i="32" s="1"/>
  <c r="Q28" i="32"/>
  <c r="J28" i="32"/>
  <c r="K28" i="32" s="1"/>
  <c r="Q27" i="32"/>
  <c r="J27" i="32"/>
  <c r="K27" i="32" s="1"/>
  <c r="Q26" i="32"/>
  <c r="J26" i="32"/>
  <c r="K26" i="32" s="1"/>
  <c r="Q25" i="32"/>
  <c r="J25" i="32"/>
  <c r="K25" i="32" s="1"/>
  <c r="Q24" i="32"/>
  <c r="J24" i="32"/>
  <c r="K24" i="32" s="1"/>
  <c r="Q23" i="32"/>
  <c r="J23" i="32"/>
  <c r="K23" i="32" s="1"/>
  <c r="Q22" i="32"/>
  <c r="J22" i="32"/>
  <c r="K22" i="32" s="1"/>
  <c r="Q21" i="32"/>
  <c r="J21" i="32"/>
  <c r="K21" i="32" s="1"/>
  <c r="Q20" i="32"/>
  <c r="J20" i="32"/>
  <c r="K20" i="32" s="1"/>
  <c r="Q19" i="32"/>
  <c r="J19" i="32"/>
  <c r="K19" i="32" s="1"/>
  <c r="Q18" i="32"/>
  <c r="J18" i="32"/>
  <c r="K18" i="32" s="1"/>
  <c r="Q17" i="32"/>
  <c r="J17" i="32"/>
  <c r="K17" i="32" s="1"/>
  <c r="Q16" i="32"/>
  <c r="J16" i="32"/>
  <c r="K16" i="32" s="1"/>
  <c r="Q15" i="32"/>
  <c r="J15" i="32"/>
  <c r="K15" i="32" s="1"/>
  <c r="Q14" i="32"/>
  <c r="J14" i="32"/>
  <c r="K14" i="32" s="1"/>
  <c r="Q13" i="32"/>
  <c r="J13" i="32"/>
  <c r="K13" i="32" s="1"/>
  <c r="Q12" i="32"/>
  <c r="J12" i="32"/>
  <c r="K12" i="32" s="1"/>
  <c r="Q11" i="32"/>
  <c r="J11" i="32"/>
  <c r="K11" i="32" s="1"/>
  <c r="Q10" i="32"/>
  <c r="J10" i="32"/>
  <c r="K10" i="32" s="1"/>
  <c r="Q9" i="32"/>
  <c r="J9" i="32"/>
  <c r="K9" i="32" s="1"/>
  <c r="Q8" i="32"/>
  <c r="J8" i="32"/>
  <c r="K8" i="32" s="1"/>
  <c r="Q7" i="32"/>
  <c r="J7" i="32"/>
  <c r="K7" i="32" s="1"/>
  <c r="Q6" i="32"/>
  <c r="J6" i="32"/>
  <c r="K6" i="32" s="1"/>
  <c r="Q5" i="32"/>
  <c r="J5" i="32"/>
  <c r="K5" i="32" s="1"/>
  <c r="Q4" i="32"/>
  <c r="J4" i="32"/>
  <c r="K4" i="32" s="1"/>
  <c r="Q3" i="32"/>
  <c r="J3" i="32"/>
  <c r="K3" i="32" s="1"/>
  <c r="D638" i="32" l="1"/>
  <c r="D640" i="32" s="1"/>
  <c r="E640" i="32" s="1"/>
  <c r="D641" i="32"/>
  <c r="E641" i="32" s="1"/>
  <c r="J180" i="32"/>
  <c r="K180" i="3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4E2387-CEBB-45F2-A568-D6F7A645861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<sst xmlns="http://schemas.openxmlformats.org/spreadsheetml/2006/main" count="1222" uniqueCount="410">
  <si>
    <t>JOB</t>
  </si>
  <si>
    <t>Remark</t>
  </si>
  <si>
    <t>Machine</t>
  </si>
  <si>
    <t>กำหนดส่ง</t>
  </si>
  <si>
    <t>ลำดับ</t>
  </si>
  <si>
    <t>SPAR</t>
  </si>
  <si>
    <t>จำนวนชิ้น</t>
  </si>
  <si>
    <t>Status On Plan Work Shop</t>
  </si>
  <si>
    <t>วันที่</t>
  </si>
  <si>
    <t>DWG.Name</t>
  </si>
  <si>
    <t xml:space="preserve">เสร็จแล้ว </t>
  </si>
  <si>
    <t>ยังไม่เสร็จ</t>
  </si>
  <si>
    <t>สถานะ</t>
  </si>
  <si>
    <t xml:space="preserve">ผู้รับผิดชอบ </t>
  </si>
  <si>
    <t>โปรแกรม</t>
  </si>
  <si>
    <t>ผู้ส่งแบบ</t>
  </si>
  <si>
    <t>วันเสร็จจริง</t>
  </si>
  <si>
    <t>ผู้รับ</t>
  </si>
  <si>
    <t xml:space="preserve">วันที่รับ </t>
  </si>
  <si>
    <t>KPI ส่งมอบ</t>
  </si>
  <si>
    <t>แก้ไข(ชิ้น)</t>
  </si>
  <si>
    <t xml:space="preserve">สรุปผล </t>
  </si>
  <si>
    <t>จำนวนแบบทั้งหมด (DWG)</t>
  </si>
  <si>
    <t>จำนวนชิ้นงานทั้งหมด (ชิ้น)</t>
  </si>
  <si>
    <t>จำนวนงานที่ส่งเกินกำหนด (DWG)</t>
  </si>
  <si>
    <t>จำนวนงานที่ส่งตามกำหนด (DWG)</t>
  </si>
  <si>
    <t>จำนวนงานที่ผิดพลาด (DWG)</t>
  </si>
  <si>
    <t xml:space="preserve">KPI ส่งมอบ มากกว่า 90 % </t>
  </si>
  <si>
    <t>KPI งานผิดพลาด น้อยกว่า 5 %</t>
  </si>
  <si>
    <t>ชาญชัย</t>
  </si>
  <si>
    <t>สรายุทธ</t>
  </si>
  <si>
    <t>งานด่วน</t>
  </si>
  <si>
    <t>ธีรณัฐ</t>
  </si>
  <si>
    <t>LATHE 2</t>
  </si>
  <si>
    <t>ML 2</t>
  </si>
  <si>
    <t>ML 3</t>
  </si>
  <si>
    <t>LATHE 1</t>
  </si>
  <si>
    <t>งานแก้</t>
  </si>
  <si>
    <t>ยกเลิก</t>
  </si>
  <si>
    <t>ผู้รับผิดชอบ</t>
  </si>
  <si>
    <t>เวลา/ช.ม/นาที</t>
  </si>
  <si>
    <t>เวลารวม</t>
  </si>
  <si>
    <t>ML 1</t>
  </si>
  <si>
    <t>PROCESS</t>
  </si>
  <si>
    <t>องอาจ</t>
  </si>
  <si>
    <t xml:space="preserve"> </t>
  </si>
  <si>
    <t xml:space="preserve">  </t>
  </si>
  <si>
    <t>\</t>
  </si>
  <si>
    <t>แก้ไขได้</t>
  </si>
  <si>
    <t>ขึ้นใหม่</t>
  </si>
  <si>
    <t>CAM 1</t>
  </si>
  <si>
    <t>CAM 2</t>
  </si>
  <si>
    <t>ชุบแข็ง</t>
  </si>
  <si>
    <t>Grinding</t>
  </si>
  <si>
    <t xml:space="preserve">Wire cut </t>
  </si>
  <si>
    <t>Waterjet</t>
  </si>
  <si>
    <t>EDM</t>
  </si>
  <si>
    <t>CNC-Late</t>
  </si>
  <si>
    <t>OUTSOURCE</t>
  </si>
  <si>
    <t>Coating /Heat Treatment</t>
  </si>
  <si>
    <t>Process</t>
  </si>
  <si>
    <t>รังสรรค์</t>
  </si>
  <si>
    <t>ศักดิ์ดา</t>
  </si>
  <si>
    <t>สุขสันต์</t>
  </si>
  <si>
    <t>เพลินชัย</t>
  </si>
  <si>
    <t>CAM 3</t>
  </si>
  <si>
    <t xml:space="preserve">จักรกฤษณ์ </t>
  </si>
  <si>
    <t>Top 010</t>
  </si>
  <si>
    <t>ราคาแมท ขึ้นใหม่</t>
  </si>
  <si>
    <t>Weldding</t>
  </si>
  <si>
    <t xml:space="preserve">คุณปณิธาน </t>
  </si>
  <si>
    <t>MXS8-30ASBT-M9NLB_1</t>
  </si>
  <si>
    <t xml:space="preserve">คุณปฐมพงษ์ </t>
  </si>
  <si>
    <t>JA-2919-003-01</t>
  </si>
  <si>
    <t>JA-2919-003-02</t>
  </si>
  <si>
    <t>MXS-BT16-50_AOP-BM_0__1</t>
  </si>
  <si>
    <t>FCT FIXTURE MODEL M5843-13</t>
  </si>
  <si>
    <t>FCT FIXTURE MODEL M5843-19</t>
  </si>
  <si>
    <t>JA-2940-001-01</t>
  </si>
  <si>
    <t>JA-2943-001-01-Modify</t>
  </si>
  <si>
    <t xml:space="preserve">JA-2774-005-01-Modify </t>
  </si>
  <si>
    <t>JA-2946-001-01</t>
  </si>
  <si>
    <t>JA-2946-001-02</t>
  </si>
  <si>
    <t>JA-2946-001-03</t>
  </si>
  <si>
    <t>plate-002</t>
  </si>
  <si>
    <t>ME-B0441-02-001-0002</t>
  </si>
  <si>
    <t>JB-0441-003-01</t>
  </si>
  <si>
    <t>ME-B0431-00-000-0002-R2</t>
  </si>
  <si>
    <t>ME-B0431-00-000-0008-R3</t>
  </si>
  <si>
    <t>ME-B0431-00-000-0015</t>
  </si>
  <si>
    <t>JB-0449-001-01</t>
  </si>
  <si>
    <t>JB-0449-001-03</t>
  </si>
  <si>
    <t>JA-2926-002-01-Modify</t>
  </si>
  <si>
    <t>JA-2926-002-02-Modify</t>
  </si>
  <si>
    <t>01/10/2569</t>
  </si>
  <si>
    <t>02/10/2569</t>
  </si>
  <si>
    <t>08/10/2569</t>
  </si>
  <si>
    <t>15/10/2569</t>
  </si>
  <si>
    <t>JD-0885-001-01</t>
  </si>
  <si>
    <t>MATTEL-ALB-0C-17 - DRAWING</t>
  </si>
  <si>
    <t>09/10/2569</t>
  </si>
  <si>
    <t>JD-0886-001-01</t>
  </si>
  <si>
    <t>b-gn0184-a01002-00</t>
  </si>
  <si>
    <t>JD-0886-001-02</t>
  </si>
  <si>
    <t>b-gn0184-a01003-00</t>
  </si>
  <si>
    <t>JD-0886-001-03</t>
  </si>
  <si>
    <t>b-gn0184-a01004-00</t>
  </si>
  <si>
    <t>JD-0886-001-04</t>
  </si>
  <si>
    <t>b-gn0184-a01005-00</t>
  </si>
  <si>
    <t>JD-0886-001-05</t>
  </si>
  <si>
    <t>b-gn0184-a01006-00</t>
  </si>
  <si>
    <t>JD-0886-001-06</t>
  </si>
  <si>
    <t>b-gn0184-a01007-00</t>
  </si>
  <si>
    <t>JD-0886-001-07</t>
  </si>
  <si>
    <t>b-gn0184-a01008-00</t>
  </si>
  <si>
    <t>JD-0886-001-08</t>
  </si>
  <si>
    <t>b-gn0184-a01009-00</t>
  </si>
  <si>
    <t>JD-0886-001-09</t>
  </si>
  <si>
    <t>b-gn0184-a01010-00</t>
  </si>
  <si>
    <t>JD-0886-001-10</t>
  </si>
  <si>
    <t>b-gn0184-a01012-00</t>
  </si>
  <si>
    <t>JD-0886-001-11</t>
  </si>
  <si>
    <t>b-gn0184-a01013-00</t>
  </si>
  <si>
    <t>JD-0886-001-12</t>
  </si>
  <si>
    <t>b-gn0184-a01014-00</t>
  </si>
  <si>
    <t>JD-0886-001-13</t>
  </si>
  <si>
    <t>b-gn0184-a01016-00</t>
  </si>
  <si>
    <t>JD-0886-001-14</t>
  </si>
  <si>
    <t>b-gn0184-a01101-00</t>
  </si>
  <si>
    <t>JD-0887-001-01</t>
  </si>
  <si>
    <t>B-GN0184-A01018-00</t>
  </si>
  <si>
    <t>JD-0887-002-01</t>
  </si>
  <si>
    <t>JD-0887-002-02</t>
  </si>
  <si>
    <t>JD-0887-002-03</t>
  </si>
  <si>
    <t>JD-0887-002-04</t>
  </si>
  <si>
    <t>JD-0887-002-05</t>
  </si>
  <si>
    <t>JD-0887-002-06</t>
  </si>
  <si>
    <t>JD-0887-002-07</t>
  </si>
  <si>
    <t>JD-0887-002-08</t>
  </si>
  <si>
    <t>JD-0887-002-09</t>
  </si>
  <si>
    <t>JD-0887-002-10</t>
  </si>
  <si>
    <t>JD-0887-002-11</t>
  </si>
  <si>
    <t>JD-0887-002-12</t>
  </si>
  <si>
    <t>JD-0887-002-13</t>
  </si>
  <si>
    <t>JD-0887-002-14</t>
  </si>
  <si>
    <t>JD-0888-001-01</t>
  </si>
  <si>
    <t>B-GN0184-A01031-00</t>
  </si>
  <si>
    <t>JD-0888-002-01</t>
  </si>
  <si>
    <t>JD-0888-002-02</t>
  </si>
  <si>
    <t>JD-0888-002-03</t>
  </si>
  <si>
    <t>JD-0888-002-04</t>
  </si>
  <si>
    <t>JD-0888-002-05</t>
  </si>
  <si>
    <t>JD-0888-002-06</t>
  </si>
  <si>
    <t>JD-0888-002-07</t>
  </si>
  <si>
    <t>JD-0888-002-08</t>
  </si>
  <si>
    <t>JD-0888-002-09</t>
  </si>
  <si>
    <t>JD-0888-002-10</t>
  </si>
  <si>
    <t>JD-0888-002-11</t>
  </si>
  <si>
    <t>JD-0888-002-12</t>
  </si>
  <si>
    <t>JD-0888-002-13</t>
  </si>
  <si>
    <t>JD-0888-002-14</t>
  </si>
  <si>
    <t>JD-0889-001-01</t>
  </si>
  <si>
    <t>B-GN0184-A01018-00 - Sheet1</t>
  </si>
  <si>
    <t>JD-0889-002-01</t>
  </si>
  <si>
    <t>JD-0889-002-02</t>
  </si>
  <si>
    <t>JD-0889-002-03</t>
  </si>
  <si>
    <t>JD-0889-002-04</t>
  </si>
  <si>
    <t>JD-0889-002-05</t>
  </si>
  <si>
    <t>JD-0889-002-06</t>
  </si>
  <si>
    <t>JD-0889-002-07</t>
  </si>
  <si>
    <t>JD-0889-002-08</t>
  </si>
  <si>
    <t>JD-0889-002-09</t>
  </si>
  <si>
    <t>JD-0889-002-10</t>
  </si>
  <si>
    <t>JD-0889-002-11</t>
  </si>
  <si>
    <t>JD-0889-002-12</t>
  </si>
  <si>
    <t>JD-0889-002-13</t>
  </si>
  <si>
    <t>JD-0889-002-14</t>
  </si>
  <si>
    <t>JD-0890-001-01</t>
  </si>
  <si>
    <t>B-GN0184-A01032-00 - Sheet1</t>
  </si>
  <si>
    <t>JD-0890-002-01</t>
  </si>
  <si>
    <t>JD-0890-002-02</t>
  </si>
  <si>
    <t>JD-0890-002-03</t>
  </si>
  <si>
    <t>JD-0890-002-04</t>
  </si>
  <si>
    <t>JD-0890-002-05</t>
  </si>
  <si>
    <t>JD-0890-002-06</t>
  </si>
  <si>
    <t>JD-0890-002-07</t>
  </si>
  <si>
    <t>JD-0890-002-08</t>
  </si>
  <si>
    <t>JD-0890-002-09</t>
  </si>
  <si>
    <t>JD-0890-002-10</t>
  </si>
  <si>
    <t>JD-0890-002-11</t>
  </si>
  <si>
    <t>JD-0890-002-12</t>
  </si>
  <si>
    <t>JD-0890-002-13</t>
  </si>
  <si>
    <t>JD-0890-002-14</t>
  </si>
  <si>
    <t>JD-0891-001-01</t>
  </si>
  <si>
    <t>B-GN0184-A01030-00 - Sheet1</t>
  </si>
  <si>
    <t>JD-0891-002-01</t>
  </si>
  <si>
    <t>JD-0891-002-02</t>
  </si>
  <si>
    <t>JD-0891-002-03</t>
  </si>
  <si>
    <t>JD-0891-002-04</t>
  </si>
  <si>
    <t>JD-0891-002-05</t>
  </si>
  <si>
    <t>JD-0891-002-06</t>
  </si>
  <si>
    <t>JD-0891-002-07</t>
  </si>
  <si>
    <t>JD-0891-002-08</t>
  </si>
  <si>
    <t>JD-0891-002-09</t>
  </si>
  <si>
    <t>JD-0891-002-10</t>
  </si>
  <si>
    <t>JD-0891-002-11</t>
  </si>
  <si>
    <t>JD-0891-002-12</t>
  </si>
  <si>
    <t>JD-0891-002-13</t>
  </si>
  <si>
    <t>JD-0891-002-14</t>
  </si>
  <si>
    <t>14/10/2569</t>
  </si>
  <si>
    <t>Plate-003</t>
  </si>
  <si>
    <t>Shaft-014</t>
  </si>
  <si>
    <t>12/10/2569</t>
  </si>
  <si>
    <t>19/10/2569</t>
  </si>
  <si>
    <t>JB-0449-001-02-Modify</t>
  </si>
  <si>
    <t>JD-0885-001-02</t>
  </si>
  <si>
    <t>MATTEL-ALB-0C-18 - DRAWING</t>
  </si>
  <si>
    <t>JD-0885-001-03</t>
  </si>
  <si>
    <t>MATTEL-ALB-1C-02 - DRAWING</t>
  </si>
  <si>
    <t>JD-0885-001-04</t>
  </si>
  <si>
    <t>MATTEL-ALB-1C-05 - DRAWING</t>
  </si>
  <si>
    <t>JD-0885-001-05</t>
  </si>
  <si>
    <t>MATTEL-ALB-1C-06 - DRAWING</t>
  </si>
  <si>
    <t>JD-0885-001-06</t>
  </si>
  <si>
    <t>MATTEL-ALB-1C-07 - DRAWING</t>
  </si>
  <si>
    <t>JD-0885-001-07</t>
  </si>
  <si>
    <t>MATTEL-ALB-1C-08 - DRAWING</t>
  </si>
  <si>
    <t>JD-0885-001-08</t>
  </si>
  <si>
    <t>MATTEL-ALB-1C-09 - DRAWING</t>
  </si>
  <si>
    <t>JD-0885-001-09</t>
  </si>
  <si>
    <t>MATTEL-ALB-2C-02 - DRAWING</t>
  </si>
  <si>
    <t>JD-0885-001-10</t>
  </si>
  <si>
    <t>MATTEL-ALB-2C-03 - DRAWING</t>
  </si>
  <si>
    <t>JD-0885-001-11</t>
  </si>
  <si>
    <t>MATTEL-ALB-2C-04 - DRAWING</t>
  </si>
  <si>
    <t>JD-0885-001-12-CNC</t>
  </si>
  <si>
    <t>MATTEL-ALB-0A-01-CNC - DRAWING</t>
  </si>
  <si>
    <t>JD-0885-001-13-LA</t>
  </si>
  <si>
    <t>MATTEL-ALB-0A-01-LA - DRAWING</t>
  </si>
  <si>
    <t>21/10/2569</t>
  </si>
  <si>
    <t>JD-0885-001-14-Modify</t>
  </si>
  <si>
    <t>MATTEL-ALB-0A-02 - DRAWING</t>
  </si>
  <si>
    <t>JD-0885-001-15-CNC</t>
  </si>
  <si>
    <t>MATTEL-ALB-0A-03-CNC - DRAWING</t>
  </si>
  <si>
    <t>JD-0885-001-16-LA</t>
  </si>
  <si>
    <t>MATTEL-ALB-0A-03-LA - DRAWING</t>
  </si>
  <si>
    <t>JD-0885-001-17</t>
  </si>
  <si>
    <t>MATTEL-ALB-0A-08 - DRAWING</t>
  </si>
  <si>
    <t>JD-0885-001-18</t>
  </si>
  <si>
    <t>MATTEL-ALB-0C-23 - DRAWING</t>
  </si>
  <si>
    <t>JD-0885-001-19</t>
  </si>
  <si>
    <t>MATTEL-ALB-0C-24 - DRAWING</t>
  </si>
  <si>
    <t>JD-0885-001-20</t>
  </si>
  <si>
    <t>MATTEL-ALB-3C-01 - DRAWING</t>
  </si>
  <si>
    <t>JD-0885-001-21</t>
  </si>
  <si>
    <t>MATTEL-ALB-3C-02 - DRAWING</t>
  </si>
  <si>
    <t>JD-0885-001-22</t>
  </si>
  <si>
    <t>MATTEL-ALB-3C-03 - DRAWING</t>
  </si>
  <si>
    <t>JD-0885-001-23</t>
  </si>
  <si>
    <t>MATTEL-ALB-3C-04 - DRAWING</t>
  </si>
  <si>
    <t>JD-0885-001-24</t>
  </si>
  <si>
    <t>MATTEL-ALB-3C-05 - DRAWING</t>
  </si>
  <si>
    <t>JD-0885-001-25</t>
  </si>
  <si>
    <t>MATTEL-ALB-3C-06 - DRAWING</t>
  </si>
  <si>
    <t>JD-0885-001-26</t>
  </si>
  <si>
    <t>MATTEL-ALB-4C-01 - DRAWING</t>
  </si>
  <si>
    <t>JD-0885-001-27</t>
  </si>
  <si>
    <t>MATTEL-ALB-4C-02 - DRAWING</t>
  </si>
  <si>
    <t>JD-0885-001-28</t>
  </si>
  <si>
    <t>MATTEL-ALB-4C-03 - DRAWING</t>
  </si>
  <si>
    <t>JD-0885-001-29</t>
  </si>
  <si>
    <t>MATTEL-ALB-4C-04 - DRAWING</t>
  </si>
  <si>
    <t>JD-0885-001-30</t>
  </si>
  <si>
    <t>MATTEL-ALB-4C-05 - DRAWING</t>
  </si>
  <si>
    <t>JD-0885-001-31</t>
  </si>
  <si>
    <t>MATTEL-ALB-4C-06 - DRAWING</t>
  </si>
  <si>
    <t>JD-0885-001-32</t>
  </si>
  <si>
    <t>MATTEL-ALB-4C-07 - DRAWING</t>
  </si>
  <si>
    <t>JD-0885-001-33</t>
  </si>
  <si>
    <t>MATTEL-ALB-4C-08 - DRAWING</t>
  </si>
  <si>
    <t>JD-0885-001-34</t>
  </si>
  <si>
    <t>MATTEL-ALB-4C-09 - DRAWING</t>
  </si>
  <si>
    <t>JD-0885-001-35</t>
  </si>
  <si>
    <t>MATTEL-ALB-4C-10 - DRAWING</t>
  </si>
  <si>
    <t>JD-0885-001-36</t>
  </si>
  <si>
    <t>MATTEL-ALB-4C-11 - DRAWING</t>
  </si>
  <si>
    <t>JD-0885-001-37</t>
  </si>
  <si>
    <t>MATTEL-ALB-4C-12 - DRAWING</t>
  </si>
  <si>
    <t>JD-0885-001-38</t>
  </si>
  <si>
    <t>MATTEL-ALB-4C-13 - DRAWING</t>
  </si>
  <si>
    <t>JD-0885-001-39</t>
  </si>
  <si>
    <t>MATTEL-ALB-4C-14 - DRAWING</t>
  </si>
  <si>
    <t>JD-0885-001-40</t>
  </si>
  <si>
    <t>MATTEL-ALB-4C-15 - DRAWING</t>
  </si>
  <si>
    <t>JD-0885-001-41</t>
  </si>
  <si>
    <t>MATTEL-ALB-4C-16 - DRAWING</t>
  </si>
  <si>
    <t>JD-0885-001-42</t>
  </si>
  <si>
    <t>MATTEL-ALB-4C-17 - DRAWING</t>
  </si>
  <si>
    <t>JD-0885-001-43</t>
  </si>
  <si>
    <t>MATTEL-ALB-5C-02 - DRAWING</t>
  </si>
  <si>
    <t>JD-0885-001-44</t>
  </si>
  <si>
    <t>MATTEL-ALB-5C-03 - DRAWING</t>
  </si>
  <si>
    <t>JD-0885-001-45</t>
  </si>
  <si>
    <t>MATTEL-ALB-5C-06 - DRAWING</t>
  </si>
  <si>
    <t>JD-0885-001-46</t>
  </si>
  <si>
    <t>MATTEL-ALB-5C-09 - DRAWING</t>
  </si>
  <si>
    <t>05/10/2569</t>
  </si>
  <si>
    <t>06/10/2569</t>
  </si>
  <si>
    <t>JA-2926-002-03-Modify</t>
  </si>
  <si>
    <t>FCT FIXTURE MODEL M5843-18</t>
  </si>
  <si>
    <t>28/10/2569</t>
  </si>
  <si>
    <t>JA-2944-001-01</t>
  </si>
  <si>
    <t>F2636-A-002-00</t>
  </si>
  <si>
    <t>JA-2944-001-02</t>
  </si>
  <si>
    <t>F2636-A-003-00</t>
  </si>
  <si>
    <t>JA-2944-001-03</t>
  </si>
  <si>
    <t>F2636-A-010-00</t>
  </si>
  <si>
    <t>JA-2944-001-04</t>
  </si>
  <si>
    <t>F2636-A-020-00</t>
  </si>
  <si>
    <t>JA-2944-001-05</t>
  </si>
  <si>
    <t>F2636-A-034-00</t>
  </si>
  <si>
    <t>JA-2944-001-06</t>
  </si>
  <si>
    <t>F2636-B-001-00</t>
  </si>
  <si>
    <t>JA-2944-001-07</t>
  </si>
  <si>
    <t>F2636-C-001-00</t>
  </si>
  <si>
    <t>05/11/2569</t>
  </si>
  <si>
    <t>JA-2945-001-01</t>
  </si>
  <si>
    <t>F2636-A-001-00</t>
  </si>
  <si>
    <t>JA-2945-001-02</t>
  </si>
  <si>
    <t>JA-2945-001-03</t>
  </si>
  <si>
    <t>JA-2945-001-04</t>
  </si>
  <si>
    <t>F2636-A-004-00</t>
  </si>
  <si>
    <t>JA-2945-001-05</t>
  </si>
  <si>
    <t>F2636-A-005-00</t>
  </si>
  <si>
    <t>JA-2945-001-06</t>
  </si>
  <si>
    <t>F2636-A-006-00</t>
  </si>
  <si>
    <t>JA-2945-001-07</t>
  </si>
  <si>
    <t>F2636-A-007-00</t>
  </si>
  <si>
    <t>JA-2945-001-08</t>
  </si>
  <si>
    <t>F2636-A-008-00</t>
  </si>
  <si>
    <t>JA-2945-001-09</t>
  </si>
  <si>
    <t>F2636-A-009-00</t>
  </si>
  <si>
    <t>JA-2945-001-10</t>
  </si>
  <si>
    <t>JA-2945-001-11</t>
  </si>
  <si>
    <t>F2636-A-011-00</t>
  </si>
  <si>
    <t>JA-2945-001-12</t>
  </si>
  <si>
    <t>F2636-A-012-00</t>
  </si>
  <si>
    <t>JA-2945-001-13</t>
  </si>
  <si>
    <t>F2636-A-013-00</t>
  </si>
  <si>
    <t>JA-2945-001-14</t>
  </si>
  <si>
    <t>F2636-A-014-00</t>
  </si>
  <si>
    <t>JA-2945-001-15</t>
  </si>
  <si>
    <t>F2636-A-015-00</t>
  </si>
  <si>
    <t>JA-2945-001-16</t>
  </si>
  <si>
    <t>F2636-A-016-00</t>
  </si>
  <si>
    <t>JA-2945-001-17</t>
  </si>
  <si>
    <t>F2636-A-017-00</t>
  </si>
  <si>
    <t>JA-2945-001-18</t>
  </si>
  <si>
    <t>F2636-A-018-00</t>
  </si>
  <si>
    <t>JA-2945-001-19</t>
  </si>
  <si>
    <t>F2636-A-019-00</t>
  </si>
  <si>
    <t>JA-2945-001-20</t>
  </si>
  <si>
    <t>JA-2945-001-21</t>
  </si>
  <si>
    <t>F2636-A-022-00</t>
  </si>
  <si>
    <t>JA-2945-001-22</t>
  </si>
  <si>
    <t>JA-2945-001-23</t>
  </si>
  <si>
    <t>F2636-A-037-00</t>
  </si>
  <si>
    <t>JA-2945-001-24</t>
  </si>
  <si>
    <t>F2636-A-038-00</t>
  </si>
  <si>
    <t>JA-2945-001-25</t>
  </si>
  <si>
    <t>JA-2945-001-26</t>
  </si>
  <si>
    <t>JB-0426-004-01</t>
  </si>
  <si>
    <t>ME-B0426-00-02-0010</t>
  </si>
  <si>
    <t>16/10/2569</t>
  </si>
  <si>
    <t>JE-0748-001-01</t>
  </si>
  <si>
    <t>Cutter-01-2026(1)</t>
  </si>
  <si>
    <t>JA-2926-002-04-Modify</t>
  </si>
  <si>
    <t>FCT FIXTURE MODEL M5843-10</t>
  </si>
  <si>
    <t>JA-2926-002-05-Modify</t>
  </si>
  <si>
    <t>JA-2926-002-06-Modify</t>
  </si>
  <si>
    <t>JA-2926-002-07-Modify</t>
  </si>
  <si>
    <t>JD-0758-011-01</t>
  </si>
  <si>
    <t>SIS-FBN-PTC-0K-02 - DRAWING</t>
  </si>
  <si>
    <t>JD-0758-011-02</t>
  </si>
  <si>
    <t>SIS-FBN-PTC-0K-03 - DRAWING</t>
  </si>
  <si>
    <t>JD-0885-001-47-CNC</t>
  </si>
  <si>
    <t>MATTEL-ALB-0A-01-CNC- DRAWING</t>
  </si>
  <si>
    <t>JD-0885-001-48-LA</t>
  </si>
  <si>
    <t>MATTEL-ALB-0A-01-LA- DRAWING</t>
  </si>
  <si>
    <t>JD-0885-001-49</t>
  </si>
  <si>
    <t>MATTEL-ALB-4C-18 - DRAWING</t>
  </si>
  <si>
    <t>JD-0885-001-50</t>
  </si>
  <si>
    <t>MATTEL-ALB-NAME-PLATE - DRAWING</t>
  </si>
  <si>
    <t>JD-0886-001-15</t>
  </si>
  <si>
    <t>Housing_BGHFB-C6205DD-47</t>
  </si>
  <si>
    <t>JD-0887-001-02</t>
  </si>
  <si>
    <t>JD-0888-001-02</t>
  </si>
  <si>
    <t>JD-0889-001-02</t>
  </si>
  <si>
    <t xml:space="preserve">คุณฑาริกา </t>
  </si>
  <si>
    <t>คุณณัฐนนท์</t>
  </si>
  <si>
    <t>คุณยุทธนา</t>
  </si>
  <si>
    <t xml:space="preserve">คุณมานะ </t>
  </si>
  <si>
    <t xml:space="preserve">คุณมนัสนันท์ </t>
  </si>
  <si>
    <t xml:space="preserve">C/A </t>
  </si>
  <si>
    <t>ZINC</t>
  </si>
  <si>
    <t>H/C</t>
  </si>
  <si>
    <t>E/N</t>
  </si>
  <si>
    <t>B/O</t>
  </si>
  <si>
    <t>B/A</t>
  </si>
  <si>
    <t>55-60 HRC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</si>
</sst>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[$-1010409]d\ mmm\ yy;@"/>
    <numFmt numFmtId="166" formatCode="[h]:mm;@"/>
  </numFmts>
  <fonts count="2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b/>
      <sz val="72"/>
      <color theme="1"/>
      <name val="CordiaUPC"/>
      <family val="2"/>
    </font>
    <font>
      <sz val="18"/>
      <color theme="1"/>
      <name val="CordiaUPC"/>
      <family val="2"/>
    </font>
    <font>
      <b/>
      <sz val="18"/>
      <color theme="1"/>
      <name val="CordiaUPC"/>
      <family val="2"/>
    </font>
    <font>
      <sz val="18"/>
      <color rgb="FFFF0000"/>
      <name val="CordiaUPC"/>
      <family val="2"/>
    </font>
    <font>
      <b/>
      <sz val="20"/>
      <color theme="1"/>
      <name val="CordiaUPC"/>
      <family val="2"/>
    </font>
    <font>
      <sz val="13"/>
      <color theme="1"/>
      <name val="CordiaUPC"/>
      <family val="2"/>
    </font>
    <font>
      <b/>
      <sz val="18"/>
      <color rgb="FFFF0000"/>
      <name val="CordiaUPC"/>
      <family val="2"/>
    </font>
    <font>
      <sz val="18"/>
      <name val="CordiaUPC"/>
      <family val="2"/>
    </font>
    <font>
      <sz val="11"/>
      <name val="Calibri"/>
      <family val="2"/>
      <charset val="222"/>
      <scheme val="minor"/>
    </font>
    <font>
      <b/>
      <sz val="72"/>
      <name val="CordiaUPC"/>
      <family val="2"/>
    </font>
    <font>
      <b/>
      <sz val="20"/>
      <name val="CordiaUPC"/>
      <family val="2"/>
    </font>
    <font>
      <sz val="20"/>
      <name val="Calibri"/>
      <family val="2"/>
      <charset val="222"/>
      <scheme val="minor"/>
    </font>
    <font>
      <b/>
      <sz val="18"/>
      <name val="CordiaUPC"/>
      <family val="2"/>
    </font>
    <font>
      <b/>
      <sz val="22"/>
      <name val="CordiaUPC"/>
      <family val="2"/>
    </font>
    <font>
      <sz val="16"/>
      <name val="CordiaUPC"/>
      <family val="2"/>
    </font>
    <font>
      <sz val="14"/>
      <name val="CordiaUPC"/>
      <family val="2"/>
    </font>
    <font>
      <sz val="14"/>
      <name val="CordiaUPC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5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24" fillId="0" borderId="0"/>
    <xf numFmtId="164" fontId="23" fillId="0" borderId="0" applyFont="0" applyFill="0" applyBorder="0" applyAlignment="0" applyProtection="0"/>
    <xf numFmtId="0" fontId="7" fillId="0" borderId="0"/>
    <xf numFmtId="0" fontId="23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3" xfId="0" applyFont="1" applyFill="1" applyBorder="1" applyAlignment="1">
      <alignment horizontal="left" vertical="center"/>
    </xf>
    <xf numFmtId="165" fontId="9" fillId="6" borderId="8" xfId="0" applyNumberFormat="1" applyFont="1" applyFill="1" applyBorder="1" applyAlignment="1">
      <alignment horizontal="center" vertical="center"/>
    </xf>
    <xf numFmtId="164" fontId="9" fillId="4" borderId="11" xfId="2" applyFont="1" applyFill="1" applyBorder="1" applyAlignment="1">
      <alignment horizontal="right" vertical="center"/>
    </xf>
    <xf numFmtId="164" fontId="9" fillId="4" borderId="12" xfId="2" applyFont="1" applyFill="1" applyBorder="1" applyAlignment="1">
      <alignment horizontal="right" vertical="center"/>
    </xf>
    <xf numFmtId="164" fontId="9" fillId="4" borderId="13" xfId="2" applyFont="1" applyFill="1" applyBorder="1" applyAlignment="1">
      <alignment horizontal="right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1" fillId="4" borderId="12" xfId="0" applyFont="1" applyFill="1" applyBorder="1" applyAlignment="1">
      <alignment horizontal="left" vertical="center"/>
    </xf>
    <xf numFmtId="164" fontId="11" fillId="4" borderId="12" xfId="2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65" fontId="9" fillId="8" borderId="8" xfId="0" applyNumberFormat="1" applyFont="1" applyFill="1" applyBorder="1" applyAlignment="1">
      <alignment horizontal="center" vertical="center"/>
    </xf>
    <xf numFmtId="1" fontId="9" fillId="8" borderId="8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/>
    <xf numFmtId="0" fontId="18" fillId="8" borderId="10" xfId="0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164" fontId="15" fillId="0" borderId="0" xfId="2" applyFont="1" applyBorder="1" applyAlignment="1">
      <alignment horizontal="center" vertical="center"/>
    </xf>
    <xf numFmtId="164" fontId="15" fillId="0" borderId="0" xfId="2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6" fontId="15" fillId="0" borderId="0" xfId="2" applyNumberFormat="1" applyFont="1" applyFill="1" applyBorder="1" applyAlignment="1">
      <alignment horizontal="center" vertical="center"/>
    </xf>
    <xf numFmtId="164" fontId="16" fillId="0" borderId="0" xfId="2" applyFont="1" applyAlignment="1">
      <alignment horizontal="center"/>
    </xf>
    <xf numFmtId="0" fontId="15" fillId="0" borderId="0" xfId="0" applyFont="1" applyAlignment="1">
      <alignment horizontal="left" vertical="center"/>
    </xf>
    <xf numFmtId="166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164" fontId="15" fillId="0" borderId="11" xfId="2" applyFont="1" applyFill="1" applyBorder="1" applyAlignment="1">
      <alignment horizontal="right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164" fontId="15" fillId="0" borderId="12" xfId="2" applyFont="1" applyFill="1" applyBorder="1" applyAlignment="1">
      <alignment horizontal="right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/>
    </xf>
    <xf numFmtId="164" fontId="15" fillId="0" borderId="13" xfId="2" applyFont="1" applyFill="1" applyBorder="1" applyAlignment="1">
      <alignment horizontal="right" vertical="center"/>
    </xf>
    <xf numFmtId="0" fontId="15" fillId="0" borderId="13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1" xfId="1" applyFont="1" applyFill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0" fontId="23" fillId="0" borderId="1" xfId="1" applyFont="1" applyFill="1" applyBorder="1" applyAlignment="1">
      <alignment horizontal="left" vertical="center"/>
    </xf>
    <xf numFmtId="0" fontId="15" fillId="0" borderId="20" xfId="0" applyFont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8" fillId="2" borderId="1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0" fontId="18" fillId="9" borderId="21" xfId="0" applyFont="1" applyFill="1" applyBorder="1" applyAlignment="1">
      <alignment horizontal="center" vertical="center"/>
    </xf>
    <xf numFmtId="0" fontId="18" fillId="9" borderId="22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6">
    <cellStyle name="Comma" xfId="2" builtinId="3"/>
    <cellStyle name="Comma 2" xfId="5" xr:uid="{1D82A0B4-0104-44DD-878D-FE19B1D8CA5B}"/>
    <cellStyle name="Comma 3" xfId="9" xr:uid="{5EB32B8C-2541-4389-97E4-7034C5D639D9}"/>
    <cellStyle name="Comma 3 2" xfId="13" xr:uid="{76F69D7D-19D2-4432-B684-5CF2A1FBCA42}"/>
    <cellStyle name="Comma 4" xfId="11" xr:uid="{678217F8-2EFE-4E76-AACB-CE1F78B8D2D9}"/>
    <cellStyle name="Comma 4 2" xfId="15" xr:uid="{31434744-7837-474C-905F-374C2F035ED3}"/>
    <cellStyle name="Hyperlink" xfId="1" builtinId="8"/>
    <cellStyle name="Normal" xfId="0" builtinId="0"/>
    <cellStyle name="Normal 2" xfId="3" xr:uid="{00000000-0005-0000-0000-000003000000}"/>
    <cellStyle name="Normal 3" xfId="4" xr:uid="{D8F245BC-630F-47BF-B29F-878AD3BA15C3}"/>
    <cellStyle name="Normal 3 2" xfId="7" xr:uid="{B6F8BDE4-6FB5-4020-8162-D48070F9EAED}"/>
    <cellStyle name="Normal 4" xfId="8" xr:uid="{25018225-FAAF-41A0-9D24-94055956F4E2}"/>
    <cellStyle name="Normal 4 2" xfId="12" xr:uid="{B56C8691-AB96-4EA6-AD0F-205C95800791}"/>
    <cellStyle name="Normal 5" xfId="10" xr:uid="{DC838473-8E53-4BF0-B0E4-08F1FC1DA53A}"/>
    <cellStyle name="Normal 5 2" xfId="14" xr:uid="{7C7BB175-4CF3-4636-A889-DA845E46C0C3}"/>
    <cellStyle name="ปกติ 2" xfId="6" xr:uid="{5657C73C-E9D6-44A8-9985-70723F52C592}"/>
  </cellStyles>
  <dxfs count="117"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u val="none"/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ill>
        <patternFill>
          <bgColor rgb="FF92D050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u val="none"/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u val="none"/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u val="none"/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u val="none"/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9999"/>
      <color rgb="FFFFCC66"/>
      <color rgb="FFFF9933"/>
      <color rgb="FF99FF33"/>
      <color rgb="FF0000FF"/>
      <color rgb="FFFFFF99"/>
      <color rgb="FF99FF99"/>
      <color rgb="FFFF6600"/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8C23-7321-4C16-9B26-33E7B8CD06F6}">
  <dimension ref="A1:AH704"/>
  <sheetViews>
    <sheetView zoomScale="75" zoomScaleNormal="75" workbookViewId="0">
      <pane ySplit="3" topLeftCell="A4" activePane="bottomLeft" state="frozen"/>
      <selection pane="bottomLeft" activeCell="C21" sqref="C21"/>
    </sheetView>
  </sheetViews>
  <sheetFormatPr defaultColWidth="9.140625" defaultRowHeight="27.75"/>
  <cols>
    <col min="1" max="1" width="13" style="52" bestFit="1" customWidth="1"/>
    <col min="2" max="2" width="13.140625" style="52" customWidth="1"/>
    <col min="3" max="3" width="35.42578125" style="55" customWidth="1"/>
    <col min="4" max="4" width="80.42578125" style="55" customWidth="1"/>
    <col min="5" max="5" width="17.5703125" style="52" customWidth="1"/>
    <col min="6" max="8" width="12.85546875" style="52" customWidth="1"/>
    <col min="9" max="9" width="13.7109375" style="52" customWidth="1"/>
    <col min="10" max="10" width="21.42578125" style="52" customWidth="1"/>
    <col min="11" max="11" width="16.140625" style="56" customWidth="1"/>
    <col min="12" max="12" width="13.7109375" style="52" customWidth="1"/>
    <col min="13" max="13" width="22.7109375" style="52" customWidth="1"/>
    <col min="14" max="14" width="16.7109375" style="56" customWidth="1"/>
    <col min="15" max="15" width="13.7109375" style="52" customWidth="1"/>
    <col min="16" max="16" width="22.7109375" style="52" customWidth="1"/>
    <col min="17" max="17" width="17.5703125" style="56" customWidth="1"/>
    <col min="18" max="18" width="13.7109375" style="52" customWidth="1"/>
    <col min="19" max="19" width="22.7109375" style="52" customWidth="1"/>
    <col min="20" max="20" width="17.5703125" style="56" customWidth="1"/>
    <col min="21" max="21" width="15.7109375" style="56" customWidth="1"/>
    <col min="22" max="22" width="18.28515625" style="56" customWidth="1"/>
    <col min="23" max="23" width="15.7109375" style="56" customWidth="1"/>
    <col min="24" max="24" width="20.140625" style="56" customWidth="1"/>
    <col min="25" max="25" width="22.5703125" style="52" customWidth="1"/>
    <col min="26" max="27" width="14" style="52" customWidth="1"/>
    <col min="28" max="28" width="16.42578125" style="52" bestFit="1" customWidth="1"/>
    <col min="29" max="32" width="15.42578125" style="52" customWidth="1"/>
    <col min="33" max="33" width="15.5703125" style="52" customWidth="1"/>
    <col min="34" max="34" width="43.5703125" style="52" bestFit="1" customWidth="1"/>
    <col min="35" max="16384" width="9.140625" style="45"/>
  </cols>
  <sheetData>
    <row r="1" spans="1:34" ht="65.25" customHeight="1" thickBot="1">
      <c r="A1" s="91" t="s">
        <v>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</row>
    <row r="2" spans="1:34" s="46" customFormat="1" ht="30" thickBot="1">
      <c r="A2" s="80" t="s">
        <v>4</v>
      </c>
      <c r="B2" s="80" t="s">
        <v>8</v>
      </c>
      <c r="C2" s="80" t="s">
        <v>0</v>
      </c>
      <c r="D2" s="80" t="s">
        <v>9</v>
      </c>
      <c r="E2" s="80" t="s">
        <v>6</v>
      </c>
      <c r="F2" s="80" t="s">
        <v>10</v>
      </c>
      <c r="G2" s="80" t="s">
        <v>11</v>
      </c>
      <c r="H2" s="80" t="s">
        <v>12</v>
      </c>
      <c r="I2" s="80" t="s">
        <v>43</v>
      </c>
      <c r="J2" s="80" t="s">
        <v>39</v>
      </c>
      <c r="K2" s="80" t="s">
        <v>40</v>
      </c>
      <c r="L2" s="80" t="s">
        <v>43</v>
      </c>
      <c r="M2" s="80" t="s">
        <v>39</v>
      </c>
      <c r="N2" s="80" t="s">
        <v>40</v>
      </c>
      <c r="O2" s="80" t="s">
        <v>43</v>
      </c>
      <c r="P2" s="80" t="s">
        <v>39</v>
      </c>
      <c r="Q2" s="80" t="s">
        <v>40</v>
      </c>
      <c r="R2" s="80" t="s">
        <v>43</v>
      </c>
      <c r="S2" s="80" t="s">
        <v>39</v>
      </c>
      <c r="T2" s="80" t="s">
        <v>40</v>
      </c>
      <c r="U2" s="80" t="s">
        <v>41</v>
      </c>
      <c r="V2" s="88" t="s">
        <v>58</v>
      </c>
      <c r="W2" s="89"/>
      <c r="X2" s="90"/>
      <c r="Y2" s="80" t="s">
        <v>15</v>
      </c>
      <c r="Z2" s="80" t="s">
        <v>3</v>
      </c>
      <c r="AA2" s="80" t="s">
        <v>16</v>
      </c>
      <c r="AB2" s="80" t="s">
        <v>17</v>
      </c>
      <c r="AC2" s="80" t="s">
        <v>18</v>
      </c>
      <c r="AD2" s="80" t="s">
        <v>19</v>
      </c>
      <c r="AE2" s="82" t="s">
        <v>20</v>
      </c>
      <c r="AF2" s="83"/>
      <c r="AG2" s="84" t="s">
        <v>68</v>
      </c>
      <c r="AH2" s="86" t="s">
        <v>1</v>
      </c>
    </row>
    <row r="3" spans="1:34" s="46" customFormat="1" ht="58.5">
      <c r="A3" s="81" t="s">
        <v>4</v>
      </c>
      <c r="B3" s="81" t="s">
        <v>8</v>
      </c>
      <c r="C3" s="81" t="s">
        <v>0</v>
      </c>
      <c r="D3" s="81" t="s">
        <v>9</v>
      </c>
      <c r="E3" s="81" t="s">
        <v>6</v>
      </c>
      <c r="F3" s="81" t="s">
        <v>10</v>
      </c>
      <c r="G3" s="81" t="s">
        <v>11</v>
      </c>
      <c r="H3" s="81" t="s">
        <v>12</v>
      </c>
      <c r="I3" s="81" t="s">
        <v>43</v>
      </c>
      <c r="J3" s="81" t="s">
        <v>39</v>
      </c>
      <c r="K3" s="81" t="s">
        <v>40</v>
      </c>
      <c r="L3" s="81" t="s">
        <v>43</v>
      </c>
      <c r="M3" s="81" t="s">
        <v>39</v>
      </c>
      <c r="N3" s="81" t="s">
        <v>40</v>
      </c>
      <c r="O3" s="81" t="s">
        <v>43</v>
      </c>
      <c r="P3" s="81" t="s">
        <v>39</v>
      </c>
      <c r="Q3" s="81" t="s">
        <v>40</v>
      </c>
      <c r="R3" s="81" t="s">
        <v>43</v>
      </c>
      <c r="S3" s="81" t="s">
        <v>39</v>
      </c>
      <c r="T3" s="81" t="s">
        <v>40</v>
      </c>
      <c r="U3" s="81" t="s">
        <v>41</v>
      </c>
      <c r="V3" s="75" t="s">
        <v>60</v>
      </c>
      <c r="W3" s="75" t="s">
        <v>60</v>
      </c>
      <c r="X3" s="76" t="s">
        <v>59</v>
      </c>
      <c r="Y3" s="81" t="s">
        <v>15</v>
      </c>
      <c r="Z3" s="81" t="s">
        <v>3</v>
      </c>
      <c r="AA3" s="81" t="s">
        <v>16</v>
      </c>
      <c r="AB3" s="81" t="s">
        <v>17</v>
      </c>
      <c r="AC3" s="81" t="s">
        <v>18</v>
      </c>
      <c r="AD3" s="81"/>
      <c r="AE3" s="47" t="s">
        <v>48</v>
      </c>
      <c r="AF3" s="47" t="s">
        <v>49</v>
      </c>
      <c r="AG3" s="85"/>
      <c r="AH3" s="87"/>
    </row>
    <row r="4" spans="1:34" ht="27.75" customHeight="1">
      <c r="A4" s="41">
        <v>1</v>
      </c>
      <c r="B4" s="66"/>
      <c r="C4" s="48"/>
      <c r="D4" s="48"/>
      <c r="E4" s="49"/>
      <c r="F4" s="49"/>
      <c r="G4" s="49">
        <f>$E4-$F4</f>
        <v>0</v>
      </c>
      <c r="H4" s="49" t="str">
        <f t="shared" ref="H4:H67" si="0">IF($G4=0,"ครบ","ไม่ครบ")</f>
        <v>ครบ</v>
      </c>
      <c r="I4" s="49"/>
      <c r="J4" s="49" t="e">
        <f>VLOOKUP(I4,Sheet2!$B$10:$C$18,2,FALSE)</f>
        <v>#N/A</v>
      </c>
      <c r="K4" s="67"/>
      <c r="L4" s="49"/>
      <c r="M4" s="49" t="e">
        <f>VLOOKUP(L4,Sheet2!$B$10:$C$18,2,FALSE)</f>
        <v>#N/A</v>
      </c>
      <c r="N4" s="67"/>
      <c r="O4" s="49"/>
      <c r="P4" s="49" t="e">
        <f>VLOOKUP(O4,Sheet2!$B$10:$C$18,2,FALSE)</f>
        <v>#N/A</v>
      </c>
      <c r="Q4" s="67"/>
      <c r="R4" s="49"/>
      <c r="S4" s="49" t="e">
        <f>VLOOKUP(R4,Sheet2!$B$10:$C$18,2,FALSE)</f>
        <v>#N/A</v>
      </c>
      <c r="T4" s="67"/>
      <c r="U4" s="67">
        <f>$K4+$N4+$Q4+$T4</f>
        <v>0</v>
      </c>
      <c r="V4" s="67"/>
      <c r="W4" s="67"/>
      <c r="X4" s="67"/>
      <c r="Y4" s="66"/>
      <c r="Z4" s="66"/>
      <c r="AA4" s="66"/>
      <c r="AB4" s="66"/>
      <c r="AC4" s="66"/>
      <c r="AD4" s="42" t="str">
        <f t="shared" ref="AD4:AD68" si="1">IF($AA4&gt;$Z4,"เกินกำหนด","ทันกำหนด")</f>
        <v>ทันกำหนด</v>
      </c>
      <c r="AE4" s="43"/>
      <c r="AF4" s="43"/>
      <c r="AG4" s="43"/>
      <c r="AH4" s="44"/>
    </row>
    <row r="5" spans="1:34" ht="27.75" customHeight="1">
      <c r="A5" s="41">
        <v>2</v>
      </c>
      <c r="B5" s="66"/>
      <c r="C5" s="48"/>
      <c r="D5" s="48"/>
      <c r="E5" s="49"/>
      <c r="F5" s="49"/>
      <c r="G5" s="49">
        <f t="shared" ref="G5:G68" si="2">$E5-$F5</f>
        <v>0</v>
      </c>
      <c r="H5" s="49" t="str">
        <f t="shared" si="0"/>
        <v>ครบ</v>
      </c>
      <c r="I5" s="49"/>
      <c r="J5" s="49" t="e">
        <f>VLOOKUP(I5,Sheet2!$B$10:$C$18,2,FALSE)</f>
        <v>#N/A</v>
      </c>
      <c r="K5" s="67"/>
      <c r="L5" s="49"/>
      <c r="M5" s="49" t="e">
        <f>VLOOKUP(L5,Sheet2!$B$10:$C$18,2,FALSE)</f>
        <v>#N/A</v>
      </c>
      <c r="N5" s="67"/>
      <c r="O5" s="49"/>
      <c r="P5" s="49" t="e">
        <f>VLOOKUP(O5,Sheet2!$B$10:$C$18,2,FALSE)</f>
        <v>#N/A</v>
      </c>
      <c r="Q5" s="67"/>
      <c r="R5" s="49"/>
      <c r="S5" s="49" t="e">
        <f>VLOOKUP(R5,Sheet2!$B$10:$C$18,2,FALSE)</f>
        <v>#N/A</v>
      </c>
      <c r="T5" s="67"/>
      <c r="U5" s="67">
        <f t="shared" ref="U5:U68" si="3">$K5+$N5+$Q5+$T5</f>
        <v>0</v>
      </c>
      <c r="V5" s="67"/>
      <c r="W5" s="67"/>
      <c r="X5" s="67"/>
      <c r="Y5" s="66"/>
      <c r="Z5" s="66"/>
      <c r="AA5" s="66"/>
      <c r="AB5" s="66"/>
      <c r="AC5" s="66"/>
      <c r="AD5" s="42" t="str">
        <f t="shared" si="1"/>
        <v>ทันกำหนด</v>
      </c>
      <c r="AE5" s="43"/>
      <c r="AF5" s="43"/>
      <c r="AG5" s="43"/>
      <c r="AH5" s="44"/>
    </row>
    <row r="6" spans="1:34" ht="27.75" customHeight="1">
      <c r="A6" s="41">
        <v>3</v>
      </c>
      <c r="B6" s="66"/>
      <c r="C6" s="48"/>
      <c r="D6" s="48"/>
      <c r="E6" s="49"/>
      <c r="F6" s="49"/>
      <c r="G6" s="49">
        <f t="shared" si="2"/>
        <v>0</v>
      </c>
      <c r="H6" s="49" t="str">
        <f t="shared" si="0"/>
        <v>ครบ</v>
      </c>
      <c r="I6" s="49"/>
      <c r="J6" s="49" t="e">
        <f>VLOOKUP(I6,Sheet2!$B$10:$C$18,2,FALSE)</f>
        <v>#N/A</v>
      </c>
      <c r="K6" s="67"/>
      <c r="L6" s="49"/>
      <c r="M6" s="49" t="e">
        <f>VLOOKUP(L6,Sheet2!$B$10:$C$18,2,FALSE)</f>
        <v>#N/A</v>
      </c>
      <c r="N6" s="67"/>
      <c r="O6" s="49"/>
      <c r="P6" s="49" t="e">
        <f>VLOOKUP(O6,Sheet2!$B$10:$C$18,2,FALSE)</f>
        <v>#N/A</v>
      </c>
      <c r="Q6" s="67"/>
      <c r="R6" s="49"/>
      <c r="S6" s="49" t="e">
        <f>VLOOKUP(R6,Sheet2!$B$10:$C$18,2,FALSE)</f>
        <v>#N/A</v>
      </c>
      <c r="T6" s="67"/>
      <c r="U6" s="67">
        <f t="shared" si="3"/>
        <v>0</v>
      </c>
      <c r="V6" s="67"/>
      <c r="W6" s="67"/>
      <c r="X6" s="67"/>
      <c r="Y6" s="66"/>
      <c r="Z6" s="66"/>
      <c r="AA6" s="66"/>
      <c r="AB6" s="66"/>
      <c r="AC6" s="66"/>
      <c r="AD6" s="42" t="str">
        <f t="shared" si="1"/>
        <v>ทันกำหนด</v>
      </c>
      <c r="AE6" s="43"/>
      <c r="AF6" s="43"/>
      <c r="AG6" s="43"/>
      <c r="AH6" s="44"/>
    </row>
    <row r="7" spans="1:34" ht="27.75" customHeight="1">
      <c r="A7" s="41">
        <v>4</v>
      </c>
      <c r="B7" s="66"/>
      <c r="C7" s="48"/>
      <c r="D7" s="48"/>
      <c r="E7" s="49"/>
      <c r="F7" s="49"/>
      <c r="G7" s="49">
        <f t="shared" si="2"/>
        <v>0</v>
      </c>
      <c r="H7" s="49" t="str">
        <f t="shared" si="0"/>
        <v>ครบ</v>
      </c>
      <c r="I7" s="49"/>
      <c r="J7" s="49" t="e">
        <f>VLOOKUP(I7,Sheet2!$B$10:$C$18,2,FALSE)</f>
        <v>#N/A</v>
      </c>
      <c r="K7" s="67"/>
      <c r="L7" s="49"/>
      <c r="M7" s="49" t="e">
        <f>VLOOKUP(L7,Sheet2!$B$10:$C$18,2,FALSE)</f>
        <v>#N/A</v>
      </c>
      <c r="N7" s="67"/>
      <c r="O7" s="49"/>
      <c r="P7" s="49" t="e">
        <f>VLOOKUP(O7,Sheet2!$B$10:$C$18,2,FALSE)</f>
        <v>#N/A</v>
      </c>
      <c r="Q7" s="67"/>
      <c r="R7" s="49"/>
      <c r="S7" s="49" t="e">
        <f>VLOOKUP(R7,Sheet2!$B$10:$C$18,2,FALSE)</f>
        <v>#N/A</v>
      </c>
      <c r="T7" s="67"/>
      <c r="U7" s="67">
        <f t="shared" si="3"/>
        <v>0</v>
      </c>
      <c r="V7" s="67"/>
      <c r="W7" s="67"/>
      <c r="X7" s="67"/>
      <c r="Y7" s="66"/>
      <c r="Z7" s="66"/>
      <c r="AA7" s="66"/>
      <c r="AB7" s="66"/>
      <c r="AC7" s="66"/>
      <c r="AD7" s="42" t="str">
        <f>IF($AA7&gt;$Z7,"เกินกำหนด","ทันกำหนด")</f>
        <v>ทันกำหนด</v>
      </c>
      <c r="AE7" s="43"/>
      <c r="AF7" s="43"/>
      <c r="AG7" s="43"/>
      <c r="AH7" s="44"/>
    </row>
    <row r="8" spans="1:34" ht="27.75" customHeight="1">
      <c r="A8" s="41">
        <v>5</v>
      </c>
      <c r="B8" s="66"/>
      <c r="C8" s="48"/>
      <c r="D8" s="48"/>
      <c r="E8" s="49"/>
      <c r="F8" s="49"/>
      <c r="G8" s="49">
        <f t="shared" si="2"/>
        <v>0</v>
      </c>
      <c r="H8" s="49" t="str">
        <f t="shared" si="0"/>
        <v>ครบ</v>
      </c>
      <c r="I8" s="49"/>
      <c r="J8" s="49" t="e">
        <f>VLOOKUP(I8,Sheet2!$B$10:$C$18,2,FALSE)</f>
        <v>#N/A</v>
      </c>
      <c r="K8" s="67"/>
      <c r="L8" s="49"/>
      <c r="M8" s="49" t="e">
        <f>VLOOKUP(L8,Sheet2!$B$10:$C$18,2,FALSE)</f>
        <v>#N/A</v>
      </c>
      <c r="N8" s="67"/>
      <c r="O8" s="49"/>
      <c r="P8" s="49" t="e">
        <f>VLOOKUP(O8,Sheet2!$B$10:$C$18,2,FALSE)</f>
        <v>#N/A</v>
      </c>
      <c r="Q8" s="67"/>
      <c r="R8" s="49"/>
      <c r="S8" s="49" t="e">
        <f>VLOOKUP(R8,Sheet2!$B$10:$C$18,2,FALSE)</f>
        <v>#N/A</v>
      </c>
      <c r="T8" s="67"/>
      <c r="U8" s="67">
        <f t="shared" si="3"/>
        <v>0</v>
      </c>
      <c r="V8" s="67"/>
      <c r="W8" s="67"/>
      <c r="X8" s="67"/>
      <c r="Y8" s="66"/>
      <c r="Z8" s="66"/>
      <c r="AA8" s="66"/>
      <c r="AB8" s="66"/>
      <c r="AC8" s="66"/>
      <c r="AD8" s="42" t="str">
        <f t="shared" si="1"/>
        <v>ทันกำหนด</v>
      </c>
      <c r="AE8" s="43"/>
      <c r="AF8" s="43"/>
      <c r="AG8" s="43"/>
      <c r="AH8" s="44"/>
    </row>
    <row r="9" spans="1:34" ht="27.75" customHeight="1">
      <c r="A9" s="41">
        <v>6</v>
      </c>
      <c r="B9" s="66"/>
      <c r="C9" s="48"/>
      <c r="D9" s="48"/>
      <c r="E9" s="49"/>
      <c r="F9" s="49"/>
      <c r="G9" s="49">
        <f t="shared" si="2"/>
        <v>0</v>
      </c>
      <c r="H9" s="49" t="str">
        <f t="shared" si="0"/>
        <v>ครบ</v>
      </c>
      <c r="I9" s="49"/>
      <c r="J9" s="49" t="e">
        <f>VLOOKUP(I9,Sheet2!$B$10:$C$18,2,FALSE)</f>
        <v>#N/A</v>
      </c>
      <c r="K9" s="67"/>
      <c r="L9" s="49"/>
      <c r="M9" s="49" t="e">
        <f>VLOOKUP(L9,Sheet2!$B$10:$C$18,2,FALSE)</f>
        <v>#N/A</v>
      </c>
      <c r="N9" s="67"/>
      <c r="O9" s="49"/>
      <c r="P9" s="49" t="e">
        <f>VLOOKUP(O9,Sheet2!$B$10:$C$18,2,FALSE)</f>
        <v>#N/A</v>
      </c>
      <c r="Q9" s="67"/>
      <c r="R9" s="49"/>
      <c r="S9" s="49" t="e">
        <f>VLOOKUP(R9,Sheet2!$B$10:$C$18,2,FALSE)</f>
        <v>#N/A</v>
      </c>
      <c r="T9" s="67"/>
      <c r="U9" s="67">
        <f t="shared" si="3"/>
        <v>0</v>
      </c>
      <c r="V9" s="67"/>
      <c r="W9" s="67"/>
      <c r="X9" s="67"/>
      <c r="Y9" s="66"/>
      <c r="Z9" s="66"/>
      <c r="AA9" s="66"/>
      <c r="AB9" s="66"/>
      <c r="AC9" s="66"/>
      <c r="AD9" s="42" t="str">
        <f t="shared" si="1"/>
        <v>ทันกำหนด</v>
      </c>
      <c r="AE9" s="43"/>
      <c r="AF9" s="43"/>
      <c r="AG9" s="43"/>
      <c r="AH9" s="44"/>
    </row>
    <row r="10" spans="1:34" ht="27.75" customHeight="1">
      <c r="A10" s="41">
        <v>7</v>
      </c>
      <c r="B10" s="66"/>
      <c r="C10" s="48"/>
      <c r="D10" s="48"/>
      <c r="E10" s="49"/>
      <c r="F10" s="49"/>
      <c r="G10" s="49">
        <f t="shared" si="2"/>
        <v>0</v>
      </c>
      <c r="H10" s="49" t="str">
        <f t="shared" si="0"/>
        <v>ครบ</v>
      </c>
      <c r="I10" s="49"/>
      <c r="J10" s="49" t="e">
        <f>VLOOKUP(I10,Sheet2!$B$10:$C$18,2,FALSE)</f>
        <v>#N/A</v>
      </c>
      <c r="K10" s="67"/>
      <c r="L10" s="49"/>
      <c r="M10" s="49" t="e">
        <f>VLOOKUP(L10,Sheet2!$B$10:$C$18,2,FALSE)</f>
        <v>#N/A</v>
      </c>
      <c r="N10" s="67"/>
      <c r="O10" s="49"/>
      <c r="P10" s="49" t="e">
        <f>VLOOKUP(O10,Sheet2!$B$10:$C$18,2,FALSE)</f>
        <v>#N/A</v>
      </c>
      <c r="Q10" s="67"/>
      <c r="R10" s="49"/>
      <c r="S10" s="49" t="e">
        <f>VLOOKUP(R10,Sheet2!$B$10:$C$18,2,FALSE)</f>
        <v>#N/A</v>
      </c>
      <c r="T10" s="67"/>
      <c r="U10" s="67">
        <f t="shared" si="3"/>
        <v>0</v>
      </c>
      <c r="V10" s="67"/>
      <c r="W10" s="67"/>
      <c r="X10" s="67"/>
      <c r="Y10" s="66"/>
      <c r="Z10" s="66"/>
      <c r="AA10" s="66"/>
      <c r="AB10" s="66"/>
      <c r="AC10" s="66"/>
      <c r="AD10" s="42" t="str">
        <f t="shared" si="1"/>
        <v>ทันกำหนด</v>
      </c>
      <c r="AE10" s="43"/>
      <c r="AF10" s="43"/>
      <c r="AG10" s="43"/>
      <c r="AH10" s="44"/>
    </row>
    <row r="11" spans="1:34" ht="27.75" customHeight="1">
      <c r="A11" s="41">
        <v>8</v>
      </c>
      <c r="B11" s="66"/>
      <c r="C11" s="48"/>
      <c r="D11" s="48"/>
      <c r="E11" s="49"/>
      <c r="F11" s="49"/>
      <c r="G11" s="49">
        <f t="shared" si="2"/>
        <v>0</v>
      </c>
      <c r="H11" s="49" t="str">
        <f t="shared" si="0"/>
        <v>ครบ</v>
      </c>
      <c r="I11" s="49"/>
      <c r="J11" s="49" t="e">
        <f>VLOOKUP(I11,Sheet2!$B$10:$C$18,2,FALSE)</f>
        <v>#N/A</v>
      </c>
      <c r="K11" s="67"/>
      <c r="L11" s="49"/>
      <c r="M11" s="49" t="e">
        <f>VLOOKUP(L11,Sheet2!$B$10:$C$18,2,FALSE)</f>
        <v>#N/A</v>
      </c>
      <c r="N11" s="67"/>
      <c r="O11" s="49"/>
      <c r="P11" s="49" t="e">
        <f>VLOOKUP(O11,Sheet2!$B$10:$C$18,2,FALSE)</f>
        <v>#N/A</v>
      </c>
      <c r="Q11" s="67"/>
      <c r="R11" s="49"/>
      <c r="S11" s="49" t="e">
        <f>VLOOKUP(R11,Sheet2!$B$10:$C$18,2,FALSE)</f>
        <v>#N/A</v>
      </c>
      <c r="T11" s="67"/>
      <c r="U11" s="67">
        <f t="shared" si="3"/>
        <v>0</v>
      </c>
      <c r="V11" s="67"/>
      <c r="W11" s="67"/>
      <c r="X11" s="67"/>
      <c r="Y11" s="66"/>
      <c r="Z11" s="66"/>
      <c r="AA11" s="66"/>
      <c r="AB11" s="66"/>
      <c r="AC11" s="66"/>
      <c r="AD11" s="42" t="str">
        <f t="shared" si="1"/>
        <v>ทันกำหนด</v>
      </c>
      <c r="AE11" s="43"/>
      <c r="AF11" s="43"/>
      <c r="AG11" s="43"/>
      <c r="AH11" s="44"/>
    </row>
    <row r="12" spans="1:34" ht="27.75" customHeight="1">
      <c r="A12" s="41">
        <v>9</v>
      </c>
      <c r="B12" s="66"/>
      <c r="C12" s="48"/>
      <c r="D12" s="48"/>
      <c r="E12" s="49"/>
      <c r="F12" s="49"/>
      <c r="G12" s="49">
        <f t="shared" si="2"/>
        <v>0</v>
      </c>
      <c r="H12" s="49" t="str">
        <f t="shared" si="0"/>
        <v>ครบ</v>
      </c>
      <c r="I12" s="49"/>
      <c r="J12" s="49" t="e">
        <f>VLOOKUP(I12,Sheet2!$B$10:$C$18,2,FALSE)</f>
        <v>#N/A</v>
      </c>
      <c r="K12" s="67"/>
      <c r="L12" s="49"/>
      <c r="M12" s="49" t="e">
        <f>VLOOKUP(L12,Sheet2!$B$10:$C$18,2,FALSE)</f>
        <v>#N/A</v>
      </c>
      <c r="N12" s="67"/>
      <c r="O12" s="49"/>
      <c r="P12" s="49" t="e">
        <f>VLOOKUP(O12,Sheet2!$B$10:$C$18,2,FALSE)</f>
        <v>#N/A</v>
      </c>
      <c r="Q12" s="67"/>
      <c r="R12" s="49"/>
      <c r="S12" s="49" t="e">
        <f>VLOOKUP(R12,Sheet2!$B$10:$C$18,2,FALSE)</f>
        <v>#N/A</v>
      </c>
      <c r="T12" s="67"/>
      <c r="U12" s="67">
        <f t="shared" si="3"/>
        <v>0</v>
      </c>
      <c r="V12" s="67"/>
      <c r="W12" s="67"/>
      <c r="X12" s="67"/>
      <c r="Y12" s="66"/>
      <c r="Z12" s="66"/>
      <c r="AA12" s="66"/>
      <c r="AB12" s="66"/>
      <c r="AC12" s="66"/>
      <c r="AD12" s="42" t="str">
        <f t="shared" si="1"/>
        <v>ทันกำหนด</v>
      </c>
      <c r="AE12" s="43"/>
      <c r="AF12" s="43"/>
      <c r="AG12" s="43"/>
      <c r="AH12" s="44"/>
    </row>
    <row r="13" spans="1:34" ht="27.75" customHeight="1">
      <c r="A13" s="41">
        <v>10</v>
      </c>
      <c r="B13" s="66"/>
      <c r="C13" s="48"/>
      <c r="D13" s="48"/>
      <c r="E13" s="49"/>
      <c r="F13" s="49"/>
      <c r="G13" s="49">
        <f t="shared" si="2"/>
        <v>0</v>
      </c>
      <c r="H13" s="49" t="str">
        <f t="shared" si="0"/>
        <v>ครบ</v>
      </c>
      <c r="I13" s="49"/>
      <c r="J13" s="49" t="e">
        <f>VLOOKUP(I13,Sheet2!$B$10:$C$18,2,FALSE)</f>
        <v>#N/A</v>
      </c>
      <c r="K13" s="67"/>
      <c r="L13" s="49"/>
      <c r="M13" s="49" t="e">
        <f>VLOOKUP(L13,Sheet2!$B$10:$C$18,2,FALSE)</f>
        <v>#N/A</v>
      </c>
      <c r="N13" s="67"/>
      <c r="O13" s="49"/>
      <c r="P13" s="49" t="e">
        <f>VLOOKUP(O13,Sheet2!$B$10:$C$18,2,FALSE)</f>
        <v>#N/A</v>
      </c>
      <c r="Q13" s="67"/>
      <c r="R13" s="49"/>
      <c r="S13" s="49" t="e">
        <f>VLOOKUP(R13,Sheet2!$B$10:$C$18,2,FALSE)</f>
        <v>#N/A</v>
      </c>
      <c r="T13" s="67"/>
      <c r="U13" s="67">
        <f t="shared" si="3"/>
        <v>0</v>
      </c>
      <c r="V13" s="67"/>
      <c r="W13" s="67"/>
      <c r="X13" s="67"/>
      <c r="Y13" s="66"/>
      <c r="Z13" s="66"/>
      <c r="AA13" s="66"/>
      <c r="AB13" s="66"/>
      <c r="AC13" s="66"/>
      <c r="AD13" s="42" t="str">
        <f t="shared" si="1"/>
        <v>ทันกำหนด</v>
      </c>
      <c r="AE13" s="43"/>
      <c r="AF13" s="43"/>
      <c r="AG13" s="43"/>
      <c r="AH13" s="44"/>
    </row>
    <row r="14" spans="1:34" ht="27.75" customHeight="1">
      <c r="A14" s="41">
        <v>11</v>
      </c>
      <c r="B14" s="66"/>
      <c r="C14" s="48"/>
      <c r="D14" s="48"/>
      <c r="E14" s="49"/>
      <c r="F14" s="49"/>
      <c r="G14" s="49">
        <f t="shared" si="2"/>
        <v>0</v>
      </c>
      <c r="H14" s="49" t="str">
        <f t="shared" si="0"/>
        <v>ครบ</v>
      </c>
      <c r="I14" s="49"/>
      <c r="J14" s="49" t="e">
        <f>VLOOKUP(I14,Sheet2!$B$10:$C$18,2,FALSE)</f>
        <v>#N/A</v>
      </c>
      <c r="K14" s="67"/>
      <c r="L14" s="49"/>
      <c r="M14" s="49" t="e">
        <f>VLOOKUP(L14,Sheet2!$B$10:$C$18,2,FALSE)</f>
        <v>#N/A</v>
      </c>
      <c r="N14" s="67"/>
      <c r="O14" s="49"/>
      <c r="P14" s="49" t="e">
        <f>VLOOKUP(O14,Sheet2!$B$10:$C$18,2,FALSE)</f>
        <v>#N/A</v>
      </c>
      <c r="Q14" s="67"/>
      <c r="R14" s="49"/>
      <c r="S14" s="49" t="e">
        <f>VLOOKUP(R14,Sheet2!$B$10:$C$18,2,FALSE)</f>
        <v>#N/A</v>
      </c>
      <c r="T14" s="67"/>
      <c r="U14" s="67">
        <f t="shared" si="3"/>
        <v>0</v>
      </c>
      <c r="V14" s="67"/>
      <c r="W14" s="67"/>
      <c r="X14" s="67"/>
      <c r="Y14" s="66"/>
      <c r="Z14" s="66"/>
      <c r="AA14" s="66"/>
      <c r="AB14" s="66"/>
      <c r="AC14" s="66"/>
      <c r="AD14" s="42" t="str">
        <f t="shared" si="1"/>
        <v>ทันกำหนด</v>
      </c>
      <c r="AE14" s="43"/>
      <c r="AF14" s="43"/>
      <c r="AG14" s="43"/>
      <c r="AH14" s="44"/>
    </row>
    <row r="15" spans="1:34" ht="27.75" customHeight="1">
      <c r="A15" s="41">
        <v>12</v>
      </c>
      <c r="B15" s="66"/>
      <c r="C15" s="48"/>
      <c r="D15" s="48"/>
      <c r="E15" s="49"/>
      <c r="F15" s="49"/>
      <c r="G15" s="49">
        <f t="shared" si="2"/>
        <v>0</v>
      </c>
      <c r="H15" s="49" t="str">
        <f t="shared" si="0"/>
        <v>ครบ</v>
      </c>
      <c r="I15" s="49"/>
      <c r="J15" s="49" t="e">
        <f>VLOOKUP(I15,Sheet2!$B$10:$C$18,2,FALSE)</f>
        <v>#N/A</v>
      </c>
      <c r="K15" s="67"/>
      <c r="L15" s="49"/>
      <c r="M15" s="49" t="e">
        <f>VLOOKUP(L15,Sheet2!$B$10:$C$18,2,FALSE)</f>
        <v>#N/A</v>
      </c>
      <c r="N15" s="67"/>
      <c r="O15" s="49"/>
      <c r="P15" s="49" t="e">
        <f>VLOOKUP(O15,Sheet2!$B$10:$C$18,2,FALSE)</f>
        <v>#N/A</v>
      </c>
      <c r="Q15" s="67"/>
      <c r="R15" s="49"/>
      <c r="S15" s="49" t="e">
        <f>VLOOKUP(R15,Sheet2!$B$10:$C$18,2,FALSE)</f>
        <v>#N/A</v>
      </c>
      <c r="T15" s="67"/>
      <c r="U15" s="67">
        <f t="shared" si="3"/>
        <v>0</v>
      </c>
      <c r="V15" s="67"/>
      <c r="W15" s="67"/>
      <c r="X15" s="67"/>
      <c r="Y15" s="66"/>
      <c r="Z15" s="66"/>
      <c r="AA15" s="66"/>
      <c r="AB15" s="66"/>
      <c r="AC15" s="66"/>
      <c r="AD15" s="42" t="str">
        <f t="shared" si="1"/>
        <v>ทันกำหนด</v>
      </c>
      <c r="AE15" s="43"/>
      <c r="AF15" s="43"/>
      <c r="AG15" s="43"/>
      <c r="AH15" s="44"/>
    </row>
    <row r="16" spans="1:34" ht="27.75" customHeight="1">
      <c r="A16" s="41">
        <v>13</v>
      </c>
      <c r="B16" s="66"/>
      <c r="C16" s="48"/>
      <c r="D16" s="48"/>
      <c r="E16" s="49"/>
      <c r="F16" s="49"/>
      <c r="G16" s="49">
        <f t="shared" si="2"/>
        <v>0</v>
      </c>
      <c r="H16" s="49" t="str">
        <f t="shared" si="0"/>
        <v>ครบ</v>
      </c>
      <c r="I16" s="49"/>
      <c r="J16" s="49" t="e">
        <f>VLOOKUP(I16,Sheet2!$B$10:$C$18,2,FALSE)</f>
        <v>#N/A</v>
      </c>
      <c r="K16" s="67"/>
      <c r="L16" s="49"/>
      <c r="M16" s="49" t="e">
        <f>VLOOKUP(L16,Sheet2!$B$10:$C$18,2,FALSE)</f>
        <v>#N/A</v>
      </c>
      <c r="N16" s="67"/>
      <c r="O16" s="49"/>
      <c r="P16" s="49" t="e">
        <f>VLOOKUP(O16,Sheet2!$B$10:$C$18,2,FALSE)</f>
        <v>#N/A</v>
      </c>
      <c r="Q16" s="67"/>
      <c r="R16" s="49"/>
      <c r="S16" s="49" t="e">
        <f>VLOOKUP(R16,Sheet2!$B$10:$C$18,2,FALSE)</f>
        <v>#N/A</v>
      </c>
      <c r="T16" s="67"/>
      <c r="U16" s="67">
        <f t="shared" si="3"/>
        <v>0</v>
      </c>
      <c r="V16" s="67"/>
      <c r="W16" s="67"/>
      <c r="X16" s="67"/>
      <c r="Y16" s="66"/>
      <c r="Z16" s="66"/>
      <c r="AA16" s="66"/>
      <c r="AB16" s="66"/>
      <c r="AC16" s="66"/>
      <c r="AD16" s="42" t="str">
        <f t="shared" si="1"/>
        <v>ทันกำหนด</v>
      </c>
      <c r="AE16" s="43"/>
      <c r="AF16" s="43"/>
      <c r="AG16" s="43"/>
      <c r="AH16" s="44"/>
    </row>
    <row r="17" spans="1:34" ht="27.75" customHeight="1">
      <c r="A17" s="41">
        <v>14</v>
      </c>
      <c r="B17" s="66"/>
      <c r="C17" s="48"/>
      <c r="D17" s="48"/>
      <c r="E17" s="49"/>
      <c r="F17" s="49"/>
      <c r="G17" s="49">
        <f t="shared" si="2"/>
        <v>0</v>
      </c>
      <c r="H17" s="49" t="str">
        <f t="shared" si="0"/>
        <v>ครบ</v>
      </c>
      <c r="I17" s="49"/>
      <c r="J17" s="49" t="e">
        <f>VLOOKUP(I17,Sheet2!$B$10:$C$18,2,FALSE)</f>
        <v>#N/A</v>
      </c>
      <c r="K17" s="67"/>
      <c r="L17" s="49"/>
      <c r="M17" s="49" t="e">
        <f>VLOOKUP(L17,Sheet2!$B$10:$C$18,2,FALSE)</f>
        <v>#N/A</v>
      </c>
      <c r="N17" s="67"/>
      <c r="O17" s="49"/>
      <c r="P17" s="49" t="e">
        <f>VLOOKUP(O17,Sheet2!$B$10:$C$18,2,FALSE)</f>
        <v>#N/A</v>
      </c>
      <c r="Q17" s="67"/>
      <c r="R17" s="49"/>
      <c r="S17" s="49" t="e">
        <f>VLOOKUP(R17,Sheet2!$B$10:$C$18,2,FALSE)</f>
        <v>#N/A</v>
      </c>
      <c r="T17" s="67"/>
      <c r="U17" s="67">
        <f t="shared" si="3"/>
        <v>0</v>
      </c>
      <c r="V17" s="67"/>
      <c r="W17" s="67"/>
      <c r="X17" s="67"/>
      <c r="Y17" s="66"/>
      <c r="Z17" s="66"/>
      <c r="AA17" s="66"/>
      <c r="AB17" s="66"/>
      <c r="AC17" s="66"/>
      <c r="AD17" s="42" t="str">
        <f t="shared" si="1"/>
        <v>ทันกำหนด</v>
      </c>
      <c r="AE17" s="43"/>
      <c r="AF17" s="43"/>
      <c r="AG17" s="43"/>
      <c r="AH17" s="44"/>
    </row>
    <row r="18" spans="1:34" ht="27.75" customHeight="1">
      <c r="A18" s="41">
        <v>15</v>
      </c>
      <c r="B18" s="66"/>
      <c r="C18" s="48"/>
      <c r="D18" s="48"/>
      <c r="E18" s="49"/>
      <c r="F18" s="49"/>
      <c r="G18" s="49">
        <f t="shared" si="2"/>
        <v>0</v>
      </c>
      <c r="H18" s="49" t="str">
        <f t="shared" si="0"/>
        <v>ครบ</v>
      </c>
      <c r="I18" s="49"/>
      <c r="J18" s="49" t="e">
        <f>VLOOKUP(I18,Sheet2!$B$10:$C$18,2,FALSE)</f>
        <v>#N/A</v>
      </c>
      <c r="K18" s="67"/>
      <c r="L18" s="49"/>
      <c r="M18" s="49" t="e">
        <f>VLOOKUP(L18,Sheet2!$B$10:$C$18,2,FALSE)</f>
        <v>#N/A</v>
      </c>
      <c r="N18" s="67"/>
      <c r="O18" s="49"/>
      <c r="P18" s="49" t="e">
        <f>VLOOKUP(O18,Sheet2!$B$10:$C$18,2,FALSE)</f>
        <v>#N/A</v>
      </c>
      <c r="Q18" s="67"/>
      <c r="R18" s="49"/>
      <c r="S18" s="49" t="e">
        <f>VLOOKUP(R18,Sheet2!$B$10:$C$18,2,FALSE)</f>
        <v>#N/A</v>
      </c>
      <c r="T18" s="67"/>
      <c r="U18" s="67">
        <f t="shared" si="3"/>
        <v>0</v>
      </c>
      <c r="V18" s="67"/>
      <c r="W18" s="67"/>
      <c r="X18" s="67"/>
      <c r="Y18" s="66"/>
      <c r="Z18" s="66"/>
      <c r="AA18" s="66"/>
      <c r="AB18" s="66"/>
      <c r="AC18" s="66"/>
      <c r="AD18" s="42" t="str">
        <f t="shared" si="1"/>
        <v>ทันกำหนด</v>
      </c>
      <c r="AE18" s="43"/>
      <c r="AF18" s="43"/>
      <c r="AG18" s="43"/>
      <c r="AH18" s="44"/>
    </row>
    <row r="19" spans="1:34" ht="27.75" customHeight="1">
      <c r="A19" s="41">
        <v>16</v>
      </c>
      <c r="B19" s="66"/>
      <c r="C19" s="48"/>
      <c r="D19" s="48"/>
      <c r="E19" s="49"/>
      <c r="F19" s="49"/>
      <c r="G19" s="49">
        <f t="shared" si="2"/>
        <v>0</v>
      </c>
      <c r="H19" s="49" t="str">
        <f t="shared" si="0"/>
        <v>ครบ</v>
      </c>
      <c r="I19" s="49"/>
      <c r="J19" s="49" t="e">
        <f>VLOOKUP(I19,Sheet2!$B$10:$C$18,2,FALSE)</f>
        <v>#N/A</v>
      </c>
      <c r="K19" s="67"/>
      <c r="L19" s="49"/>
      <c r="M19" s="49" t="e">
        <f>VLOOKUP(L19,Sheet2!$B$10:$C$18,2,FALSE)</f>
        <v>#N/A</v>
      </c>
      <c r="N19" s="67"/>
      <c r="O19" s="49"/>
      <c r="P19" s="49" t="e">
        <f>VLOOKUP(O19,Sheet2!$B$10:$C$18,2,FALSE)</f>
        <v>#N/A</v>
      </c>
      <c r="Q19" s="67"/>
      <c r="R19" s="49"/>
      <c r="S19" s="49" t="e">
        <f>VLOOKUP(R19,Sheet2!$B$10:$C$18,2,FALSE)</f>
        <v>#N/A</v>
      </c>
      <c r="T19" s="67"/>
      <c r="U19" s="67">
        <f t="shared" si="3"/>
        <v>0</v>
      </c>
      <c r="V19" s="67"/>
      <c r="W19" s="67"/>
      <c r="X19" s="67"/>
      <c r="Y19" s="66"/>
      <c r="Z19" s="66"/>
      <c r="AA19" s="66"/>
      <c r="AB19" s="66"/>
      <c r="AC19" s="66"/>
      <c r="AD19" s="42" t="str">
        <f t="shared" si="1"/>
        <v>ทันกำหนด</v>
      </c>
      <c r="AE19" s="43"/>
      <c r="AF19" s="43"/>
      <c r="AG19" s="43"/>
      <c r="AH19" s="44"/>
    </row>
    <row r="20" spans="1:34" ht="27.75" customHeight="1">
      <c r="A20" s="41">
        <v>17</v>
      </c>
      <c r="B20" s="66"/>
      <c r="C20" s="48"/>
      <c r="D20" s="48"/>
      <c r="E20" s="49"/>
      <c r="F20" s="49"/>
      <c r="G20" s="49">
        <f t="shared" si="2"/>
        <v>0</v>
      </c>
      <c r="H20" s="49" t="str">
        <f t="shared" si="0"/>
        <v>ครบ</v>
      </c>
      <c r="I20" s="49"/>
      <c r="J20" s="49" t="e">
        <f>VLOOKUP(I20,Sheet2!$B$10:$C$18,2,FALSE)</f>
        <v>#N/A</v>
      </c>
      <c r="K20" s="67"/>
      <c r="L20" s="49"/>
      <c r="M20" s="49" t="e">
        <f>VLOOKUP(L20,Sheet2!$B$10:$C$18,2,FALSE)</f>
        <v>#N/A</v>
      </c>
      <c r="N20" s="67"/>
      <c r="O20" s="49"/>
      <c r="P20" s="49" t="e">
        <f>VLOOKUP(O20,Sheet2!$B$10:$C$18,2,FALSE)</f>
        <v>#N/A</v>
      </c>
      <c r="Q20" s="67"/>
      <c r="R20" s="49"/>
      <c r="S20" s="49" t="e">
        <f>VLOOKUP(R20,Sheet2!$B$10:$C$18,2,FALSE)</f>
        <v>#N/A</v>
      </c>
      <c r="T20" s="67"/>
      <c r="U20" s="67">
        <f t="shared" si="3"/>
        <v>0</v>
      </c>
      <c r="V20" s="67"/>
      <c r="W20" s="67"/>
      <c r="X20" s="67"/>
      <c r="Y20" s="66"/>
      <c r="Z20" s="66"/>
      <c r="AA20" s="66"/>
      <c r="AB20" s="66"/>
      <c r="AC20" s="66"/>
      <c r="AD20" s="42" t="str">
        <f t="shared" si="1"/>
        <v>ทันกำหนด</v>
      </c>
      <c r="AE20" s="43"/>
      <c r="AF20" s="43"/>
      <c r="AG20" s="43"/>
      <c r="AH20" s="44"/>
    </row>
    <row r="21" spans="1:34" ht="27.75" customHeight="1">
      <c r="A21" s="41">
        <v>18</v>
      </c>
      <c r="B21" s="66"/>
      <c r="C21" s="48"/>
      <c r="D21" s="48"/>
      <c r="E21" s="49"/>
      <c r="F21" s="49"/>
      <c r="G21" s="49">
        <f t="shared" si="2"/>
        <v>0</v>
      </c>
      <c r="H21" s="49" t="str">
        <f t="shared" si="0"/>
        <v>ครบ</v>
      </c>
      <c r="I21" s="49"/>
      <c r="J21" s="49" t="e">
        <f>VLOOKUP(I21,Sheet2!$B$10:$C$18,2,FALSE)</f>
        <v>#N/A</v>
      </c>
      <c r="K21" s="67"/>
      <c r="L21" s="49"/>
      <c r="M21" s="49" t="e">
        <f>VLOOKUP(L21,Sheet2!$B$10:$C$18,2,FALSE)</f>
        <v>#N/A</v>
      </c>
      <c r="N21" s="67"/>
      <c r="O21" s="49"/>
      <c r="P21" s="49" t="e">
        <f>VLOOKUP(O21,Sheet2!$B$10:$C$18,2,FALSE)</f>
        <v>#N/A</v>
      </c>
      <c r="Q21" s="67"/>
      <c r="R21" s="49"/>
      <c r="S21" s="49" t="e">
        <f>VLOOKUP(R21,Sheet2!$B$10:$C$18,2,FALSE)</f>
        <v>#N/A</v>
      </c>
      <c r="T21" s="67"/>
      <c r="U21" s="67">
        <f t="shared" si="3"/>
        <v>0</v>
      </c>
      <c r="V21" s="67"/>
      <c r="W21" s="67"/>
      <c r="X21" s="67"/>
      <c r="Y21" s="66"/>
      <c r="Z21" s="66"/>
      <c r="AA21" s="66"/>
      <c r="AB21" s="66"/>
      <c r="AC21" s="66"/>
      <c r="AD21" s="42" t="str">
        <f t="shared" si="1"/>
        <v>ทันกำหนด</v>
      </c>
      <c r="AE21" s="43"/>
      <c r="AF21" s="43"/>
      <c r="AG21" s="43"/>
      <c r="AH21" s="44"/>
    </row>
    <row r="22" spans="1:34" ht="27.75" customHeight="1">
      <c r="A22" s="41">
        <v>19</v>
      </c>
      <c r="B22" s="66"/>
      <c r="C22" s="48"/>
      <c r="D22" s="48"/>
      <c r="E22" s="49"/>
      <c r="F22" s="49"/>
      <c r="G22" s="49">
        <f t="shared" si="2"/>
        <v>0</v>
      </c>
      <c r="H22" s="49" t="str">
        <f t="shared" si="0"/>
        <v>ครบ</v>
      </c>
      <c r="I22" s="49"/>
      <c r="J22" s="49" t="e">
        <f>VLOOKUP(I22,Sheet2!$B$10:$C$18,2,FALSE)</f>
        <v>#N/A</v>
      </c>
      <c r="K22" s="67"/>
      <c r="L22" s="49"/>
      <c r="M22" s="49" t="e">
        <f>VLOOKUP(L22,Sheet2!$B$10:$C$18,2,FALSE)</f>
        <v>#N/A</v>
      </c>
      <c r="N22" s="67"/>
      <c r="O22" s="49"/>
      <c r="P22" s="49" t="e">
        <f>VLOOKUP(O22,Sheet2!$B$10:$C$18,2,FALSE)</f>
        <v>#N/A</v>
      </c>
      <c r="Q22" s="67"/>
      <c r="R22" s="49"/>
      <c r="S22" s="49" t="e">
        <f>VLOOKUP(R22,Sheet2!$B$10:$C$18,2,FALSE)</f>
        <v>#N/A</v>
      </c>
      <c r="T22" s="67"/>
      <c r="U22" s="67">
        <f t="shared" si="3"/>
        <v>0</v>
      </c>
      <c r="V22" s="67"/>
      <c r="W22" s="67"/>
      <c r="X22" s="67"/>
      <c r="Y22" s="66"/>
      <c r="Z22" s="66"/>
      <c r="AA22" s="66"/>
      <c r="AB22" s="66"/>
      <c r="AC22" s="66"/>
      <c r="AD22" s="42" t="str">
        <f t="shared" si="1"/>
        <v>ทันกำหนด</v>
      </c>
      <c r="AE22" s="43"/>
      <c r="AF22" s="43"/>
      <c r="AG22" s="43"/>
      <c r="AH22" s="44"/>
    </row>
    <row r="23" spans="1:34" ht="27.75" customHeight="1">
      <c r="A23" s="41">
        <v>20</v>
      </c>
      <c r="B23" s="66"/>
      <c r="C23" s="48"/>
      <c r="D23" s="48"/>
      <c r="E23" s="49"/>
      <c r="F23" s="49"/>
      <c r="G23" s="49">
        <f t="shared" si="2"/>
        <v>0</v>
      </c>
      <c r="H23" s="49" t="str">
        <f t="shared" si="0"/>
        <v>ครบ</v>
      </c>
      <c r="I23" s="49"/>
      <c r="J23" s="49" t="e">
        <f>VLOOKUP(I23,Sheet2!$B$10:$C$18,2,FALSE)</f>
        <v>#N/A</v>
      </c>
      <c r="K23" s="67"/>
      <c r="L23" s="49"/>
      <c r="M23" s="49" t="e">
        <f>VLOOKUP(L23,Sheet2!$B$10:$C$18,2,FALSE)</f>
        <v>#N/A</v>
      </c>
      <c r="N23" s="67"/>
      <c r="O23" s="49"/>
      <c r="P23" s="49" t="e">
        <f>VLOOKUP(O23,Sheet2!$B$10:$C$18,2,FALSE)</f>
        <v>#N/A</v>
      </c>
      <c r="Q23" s="67"/>
      <c r="R23" s="49"/>
      <c r="S23" s="49" t="e">
        <f>VLOOKUP(R23,Sheet2!$B$10:$C$18,2,FALSE)</f>
        <v>#N/A</v>
      </c>
      <c r="T23" s="67"/>
      <c r="U23" s="67">
        <f t="shared" si="3"/>
        <v>0</v>
      </c>
      <c r="V23" s="67"/>
      <c r="W23" s="67"/>
      <c r="X23" s="67"/>
      <c r="Y23" s="66"/>
      <c r="Z23" s="66"/>
      <c r="AA23" s="66"/>
      <c r="AB23" s="66"/>
      <c r="AC23" s="66"/>
      <c r="AD23" s="42" t="str">
        <f t="shared" si="1"/>
        <v>ทันกำหนด</v>
      </c>
      <c r="AE23" s="43"/>
      <c r="AF23" s="43"/>
      <c r="AG23" s="43"/>
      <c r="AH23" s="44"/>
    </row>
    <row r="24" spans="1:34" ht="27.75" customHeight="1">
      <c r="A24" s="41">
        <v>21</v>
      </c>
      <c r="B24" s="66"/>
      <c r="C24" s="48"/>
      <c r="D24" s="48"/>
      <c r="E24" s="49"/>
      <c r="F24" s="49"/>
      <c r="G24" s="49">
        <f t="shared" si="2"/>
        <v>0</v>
      </c>
      <c r="H24" s="49" t="str">
        <f t="shared" si="0"/>
        <v>ครบ</v>
      </c>
      <c r="I24" s="49"/>
      <c r="J24" s="49" t="e">
        <f>VLOOKUP(I24,Sheet2!$B$10:$C$18,2,FALSE)</f>
        <v>#N/A</v>
      </c>
      <c r="K24" s="67"/>
      <c r="L24" s="49"/>
      <c r="M24" s="49" t="e">
        <f>VLOOKUP(L24,Sheet2!$B$10:$C$18,2,FALSE)</f>
        <v>#N/A</v>
      </c>
      <c r="N24" s="67"/>
      <c r="O24" s="49"/>
      <c r="P24" s="49" t="e">
        <f>VLOOKUP(O24,Sheet2!$B$10:$C$18,2,FALSE)</f>
        <v>#N/A</v>
      </c>
      <c r="Q24" s="67"/>
      <c r="R24" s="49"/>
      <c r="S24" s="49" t="e">
        <f>VLOOKUP(R24,Sheet2!$B$10:$C$18,2,FALSE)</f>
        <v>#N/A</v>
      </c>
      <c r="T24" s="67"/>
      <c r="U24" s="67">
        <f t="shared" si="3"/>
        <v>0</v>
      </c>
      <c r="V24" s="67"/>
      <c r="W24" s="67"/>
      <c r="X24" s="67"/>
      <c r="Y24" s="66"/>
      <c r="Z24" s="66"/>
      <c r="AA24" s="66"/>
      <c r="AB24" s="66"/>
      <c r="AC24" s="66"/>
      <c r="AD24" s="42" t="str">
        <f t="shared" si="1"/>
        <v>ทันกำหนด</v>
      </c>
      <c r="AE24" s="43"/>
      <c r="AF24" s="43"/>
      <c r="AG24" s="43"/>
      <c r="AH24" s="44"/>
    </row>
    <row r="25" spans="1:34" ht="27.75" customHeight="1">
      <c r="A25" s="41">
        <v>22</v>
      </c>
      <c r="B25" s="66"/>
      <c r="C25" s="48"/>
      <c r="D25" s="48"/>
      <c r="E25" s="49"/>
      <c r="F25" s="49"/>
      <c r="G25" s="49">
        <f t="shared" si="2"/>
        <v>0</v>
      </c>
      <c r="H25" s="49" t="str">
        <f t="shared" si="0"/>
        <v>ครบ</v>
      </c>
      <c r="I25" s="49"/>
      <c r="J25" s="49" t="e">
        <f>VLOOKUP(I25,Sheet2!$B$10:$C$18,2,FALSE)</f>
        <v>#N/A</v>
      </c>
      <c r="K25" s="67"/>
      <c r="L25" s="49"/>
      <c r="M25" s="49" t="e">
        <f>VLOOKUP(L25,Sheet2!$B$10:$C$18,2,FALSE)</f>
        <v>#N/A</v>
      </c>
      <c r="N25" s="67"/>
      <c r="O25" s="49"/>
      <c r="P25" s="49" t="e">
        <f>VLOOKUP(O25,Sheet2!$B$10:$C$18,2,FALSE)</f>
        <v>#N/A</v>
      </c>
      <c r="Q25" s="67"/>
      <c r="R25" s="49"/>
      <c r="S25" s="49" t="e">
        <f>VLOOKUP(R25,Sheet2!$B$10:$C$18,2,FALSE)</f>
        <v>#N/A</v>
      </c>
      <c r="T25" s="67"/>
      <c r="U25" s="67">
        <f t="shared" si="3"/>
        <v>0</v>
      </c>
      <c r="V25" s="67"/>
      <c r="W25" s="67"/>
      <c r="X25" s="67"/>
      <c r="Y25" s="66"/>
      <c r="Z25" s="66"/>
      <c r="AA25" s="66"/>
      <c r="AB25" s="66"/>
      <c r="AC25" s="66"/>
      <c r="AD25" s="42" t="str">
        <f t="shared" si="1"/>
        <v>ทันกำหนด</v>
      </c>
      <c r="AE25" s="43"/>
      <c r="AF25" s="43"/>
      <c r="AG25" s="43"/>
      <c r="AH25" s="44"/>
    </row>
    <row r="26" spans="1:34" ht="27.75" customHeight="1">
      <c r="A26" s="41">
        <v>23</v>
      </c>
      <c r="B26" s="66"/>
      <c r="C26" s="48"/>
      <c r="D26" s="48"/>
      <c r="E26" s="49"/>
      <c r="F26" s="49"/>
      <c r="G26" s="49">
        <f t="shared" si="2"/>
        <v>0</v>
      </c>
      <c r="H26" s="49" t="str">
        <f t="shared" si="0"/>
        <v>ครบ</v>
      </c>
      <c r="I26" s="49"/>
      <c r="J26" s="49" t="e">
        <f>VLOOKUP(I26,Sheet2!$B$10:$C$18,2,FALSE)</f>
        <v>#N/A</v>
      </c>
      <c r="K26" s="67"/>
      <c r="L26" s="49"/>
      <c r="M26" s="49" t="e">
        <f>VLOOKUP(L26,Sheet2!$B$10:$C$18,2,FALSE)</f>
        <v>#N/A</v>
      </c>
      <c r="N26" s="67"/>
      <c r="O26" s="49"/>
      <c r="P26" s="49" t="e">
        <f>VLOOKUP(O26,Sheet2!$B$10:$C$18,2,FALSE)</f>
        <v>#N/A</v>
      </c>
      <c r="Q26" s="67"/>
      <c r="R26" s="49"/>
      <c r="S26" s="49" t="e">
        <f>VLOOKUP(R26,Sheet2!$B$10:$C$18,2,FALSE)</f>
        <v>#N/A</v>
      </c>
      <c r="T26" s="67"/>
      <c r="U26" s="67">
        <f t="shared" si="3"/>
        <v>0</v>
      </c>
      <c r="V26" s="67"/>
      <c r="W26" s="67"/>
      <c r="X26" s="67"/>
      <c r="Y26" s="66"/>
      <c r="Z26" s="66"/>
      <c r="AA26" s="66"/>
      <c r="AB26" s="66"/>
      <c r="AC26" s="66"/>
      <c r="AD26" s="42" t="str">
        <f t="shared" si="1"/>
        <v>ทันกำหนด</v>
      </c>
      <c r="AE26" s="43"/>
      <c r="AF26" s="43"/>
      <c r="AG26" s="43"/>
      <c r="AH26" s="44"/>
    </row>
    <row r="27" spans="1:34" ht="27.75" customHeight="1">
      <c r="A27" s="41">
        <v>24</v>
      </c>
      <c r="B27" s="66"/>
      <c r="C27" s="48"/>
      <c r="D27" s="48"/>
      <c r="E27" s="49"/>
      <c r="F27" s="49"/>
      <c r="G27" s="49">
        <f t="shared" si="2"/>
        <v>0</v>
      </c>
      <c r="H27" s="49" t="str">
        <f t="shared" si="0"/>
        <v>ครบ</v>
      </c>
      <c r="I27" s="49"/>
      <c r="J27" s="49" t="e">
        <f>VLOOKUP(I27,Sheet2!$B$10:$C$18,2,FALSE)</f>
        <v>#N/A</v>
      </c>
      <c r="K27" s="67"/>
      <c r="L27" s="49"/>
      <c r="M27" s="49" t="e">
        <f>VLOOKUP(L27,Sheet2!$B$10:$C$18,2,FALSE)</f>
        <v>#N/A</v>
      </c>
      <c r="N27" s="67"/>
      <c r="O27" s="49"/>
      <c r="P27" s="49" t="e">
        <f>VLOOKUP(O27,Sheet2!$B$10:$C$18,2,FALSE)</f>
        <v>#N/A</v>
      </c>
      <c r="Q27" s="67"/>
      <c r="R27" s="49"/>
      <c r="S27" s="49" t="e">
        <f>VLOOKUP(R27,Sheet2!$B$10:$C$18,2,FALSE)</f>
        <v>#N/A</v>
      </c>
      <c r="T27" s="67"/>
      <c r="U27" s="67">
        <f t="shared" si="3"/>
        <v>0</v>
      </c>
      <c r="V27" s="67"/>
      <c r="W27" s="67"/>
      <c r="X27" s="67"/>
      <c r="Y27" s="66"/>
      <c r="Z27" s="66"/>
      <c r="AA27" s="66"/>
      <c r="AB27" s="66"/>
      <c r="AC27" s="66"/>
      <c r="AD27" s="42" t="str">
        <f t="shared" si="1"/>
        <v>ทันกำหนด</v>
      </c>
      <c r="AE27" s="43"/>
      <c r="AF27" s="43"/>
      <c r="AG27" s="43"/>
      <c r="AH27" s="44"/>
    </row>
    <row r="28" spans="1:34" ht="27.75" customHeight="1">
      <c r="A28" s="41">
        <v>25</v>
      </c>
      <c r="B28" s="66"/>
      <c r="C28" s="48"/>
      <c r="D28" s="48"/>
      <c r="E28" s="49"/>
      <c r="F28" s="49"/>
      <c r="G28" s="49">
        <f t="shared" si="2"/>
        <v>0</v>
      </c>
      <c r="H28" s="49" t="str">
        <f t="shared" si="0"/>
        <v>ครบ</v>
      </c>
      <c r="I28" s="49"/>
      <c r="J28" s="49" t="e">
        <f>VLOOKUP(I28,Sheet2!$B$10:$C$18,2,FALSE)</f>
        <v>#N/A</v>
      </c>
      <c r="K28" s="67"/>
      <c r="L28" s="49"/>
      <c r="M28" s="49" t="e">
        <f>VLOOKUP(L28,Sheet2!$B$10:$C$18,2,FALSE)</f>
        <v>#N/A</v>
      </c>
      <c r="N28" s="67"/>
      <c r="O28" s="49"/>
      <c r="P28" s="49" t="e">
        <f>VLOOKUP(O28,Sheet2!$B$10:$C$18,2,FALSE)</f>
        <v>#N/A</v>
      </c>
      <c r="Q28" s="67"/>
      <c r="R28" s="49"/>
      <c r="S28" s="49" t="e">
        <f>VLOOKUP(R28,Sheet2!$B$10:$C$18,2,FALSE)</f>
        <v>#N/A</v>
      </c>
      <c r="T28" s="67"/>
      <c r="U28" s="67">
        <f t="shared" si="3"/>
        <v>0</v>
      </c>
      <c r="V28" s="67"/>
      <c r="W28" s="67"/>
      <c r="X28" s="67"/>
      <c r="Y28" s="66"/>
      <c r="Z28" s="66"/>
      <c r="AA28" s="66"/>
      <c r="AB28" s="66"/>
      <c r="AC28" s="66"/>
      <c r="AD28" s="42" t="str">
        <f t="shared" si="1"/>
        <v>ทันกำหนด</v>
      </c>
      <c r="AE28" s="43"/>
      <c r="AF28" s="43"/>
      <c r="AG28" s="43"/>
      <c r="AH28" s="44"/>
    </row>
    <row r="29" spans="1:34" ht="27.75" customHeight="1">
      <c r="A29" s="41">
        <v>26</v>
      </c>
      <c r="B29" s="66"/>
      <c r="C29" s="48"/>
      <c r="D29" s="48"/>
      <c r="E29" s="49"/>
      <c r="F29" s="49"/>
      <c r="G29" s="49">
        <f t="shared" si="2"/>
        <v>0</v>
      </c>
      <c r="H29" s="49" t="str">
        <f t="shared" si="0"/>
        <v>ครบ</v>
      </c>
      <c r="I29" s="49"/>
      <c r="J29" s="49" t="e">
        <f>VLOOKUP(I29,Sheet2!$B$10:$C$18,2,FALSE)</f>
        <v>#N/A</v>
      </c>
      <c r="K29" s="67"/>
      <c r="L29" s="49"/>
      <c r="M29" s="49" t="e">
        <f>VLOOKUP(L29,Sheet2!$B$10:$C$18,2,FALSE)</f>
        <v>#N/A</v>
      </c>
      <c r="N29" s="67"/>
      <c r="O29" s="49"/>
      <c r="P29" s="49" t="e">
        <f>VLOOKUP(O29,Sheet2!$B$10:$C$18,2,FALSE)</f>
        <v>#N/A</v>
      </c>
      <c r="Q29" s="67"/>
      <c r="R29" s="49"/>
      <c r="S29" s="49" t="e">
        <f>VLOOKUP(R29,Sheet2!$B$10:$C$18,2,FALSE)</f>
        <v>#N/A</v>
      </c>
      <c r="T29" s="67"/>
      <c r="U29" s="67">
        <f t="shared" si="3"/>
        <v>0</v>
      </c>
      <c r="V29" s="67"/>
      <c r="W29" s="67"/>
      <c r="X29" s="67"/>
      <c r="Y29" s="66"/>
      <c r="Z29" s="66"/>
      <c r="AA29" s="66"/>
      <c r="AB29" s="66"/>
      <c r="AC29" s="66"/>
      <c r="AD29" s="42" t="str">
        <f t="shared" si="1"/>
        <v>ทันกำหนด</v>
      </c>
      <c r="AE29" s="43"/>
      <c r="AF29" s="43"/>
      <c r="AG29" s="43"/>
      <c r="AH29" s="44"/>
    </row>
    <row r="30" spans="1:34" ht="27.75" customHeight="1">
      <c r="A30" s="41">
        <v>27</v>
      </c>
      <c r="B30" s="66"/>
      <c r="C30" s="48"/>
      <c r="D30" s="48"/>
      <c r="E30" s="49"/>
      <c r="F30" s="49"/>
      <c r="G30" s="49">
        <f t="shared" si="2"/>
        <v>0</v>
      </c>
      <c r="H30" s="49" t="str">
        <f t="shared" si="0"/>
        <v>ครบ</v>
      </c>
      <c r="I30" s="49"/>
      <c r="J30" s="49" t="e">
        <f>VLOOKUP(I30,Sheet2!$B$10:$C$18,2,FALSE)</f>
        <v>#N/A</v>
      </c>
      <c r="K30" s="67"/>
      <c r="L30" s="49"/>
      <c r="M30" s="49" t="e">
        <f>VLOOKUP(L30,Sheet2!$B$10:$C$18,2,FALSE)</f>
        <v>#N/A</v>
      </c>
      <c r="N30" s="67"/>
      <c r="O30" s="49"/>
      <c r="P30" s="49" t="e">
        <f>VLOOKUP(O30,Sheet2!$B$10:$C$18,2,FALSE)</f>
        <v>#N/A</v>
      </c>
      <c r="Q30" s="67"/>
      <c r="R30" s="49"/>
      <c r="S30" s="49" t="e">
        <f>VLOOKUP(R30,Sheet2!$B$10:$C$18,2,FALSE)</f>
        <v>#N/A</v>
      </c>
      <c r="T30" s="67"/>
      <c r="U30" s="67">
        <f t="shared" si="3"/>
        <v>0</v>
      </c>
      <c r="V30" s="67"/>
      <c r="W30" s="67"/>
      <c r="X30" s="67"/>
      <c r="Y30" s="66"/>
      <c r="Z30" s="66"/>
      <c r="AA30" s="66"/>
      <c r="AB30" s="66"/>
      <c r="AC30" s="66"/>
      <c r="AD30" s="42" t="str">
        <f t="shared" si="1"/>
        <v>ทันกำหนด</v>
      </c>
      <c r="AE30" s="43"/>
      <c r="AF30" s="43"/>
      <c r="AG30" s="43"/>
      <c r="AH30" s="44"/>
    </row>
    <row r="31" spans="1:34" ht="27.75" customHeight="1">
      <c r="A31" s="41">
        <v>28</v>
      </c>
      <c r="B31" s="66"/>
      <c r="C31" s="48"/>
      <c r="D31" s="48"/>
      <c r="E31" s="49"/>
      <c r="F31" s="49"/>
      <c r="G31" s="49">
        <f t="shared" si="2"/>
        <v>0</v>
      </c>
      <c r="H31" s="49" t="str">
        <f t="shared" si="0"/>
        <v>ครบ</v>
      </c>
      <c r="I31" s="49"/>
      <c r="J31" s="49" t="e">
        <f>VLOOKUP(I31,Sheet2!$B$10:$C$18,2,FALSE)</f>
        <v>#N/A</v>
      </c>
      <c r="K31" s="67"/>
      <c r="L31" s="49"/>
      <c r="M31" s="49" t="e">
        <f>VLOOKUP(L31,Sheet2!$B$10:$C$18,2,FALSE)</f>
        <v>#N/A</v>
      </c>
      <c r="N31" s="67"/>
      <c r="O31" s="49"/>
      <c r="P31" s="49" t="e">
        <f>VLOOKUP(O31,Sheet2!$B$10:$C$18,2,FALSE)</f>
        <v>#N/A</v>
      </c>
      <c r="Q31" s="67"/>
      <c r="R31" s="49"/>
      <c r="S31" s="49" t="e">
        <f>VLOOKUP(R31,Sheet2!$B$10:$C$18,2,FALSE)</f>
        <v>#N/A</v>
      </c>
      <c r="T31" s="67"/>
      <c r="U31" s="67">
        <f t="shared" si="3"/>
        <v>0</v>
      </c>
      <c r="V31" s="67"/>
      <c r="W31" s="67"/>
      <c r="X31" s="67"/>
      <c r="Y31" s="66"/>
      <c r="Z31" s="66"/>
      <c r="AA31" s="66"/>
      <c r="AB31" s="66"/>
      <c r="AC31" s="66"/>
      <c r="AD31" s="42" t="str">
        <f t="shared" si="1"/>
        <v>ทันกำหนด</v>
      </c>
      <c r="AE31" s="43"/>
      <c r="AF31" s="43"/>
      <c r="AG31" s="43"/>
      <c r="AH31" s="68"/>
    </row>
    <row r="32" spans="1:34" ht="27.75" customHeight="1">
      <c r="A32" s="41">
        <v>29</v>
      </c>
      <c r="B32" s="66"/>
      <c r="C32" s="48"/>
      <c r="D32" s="48"/>
      <c r="E32" s="49"/>
      <c r="F32" s="49"/>
      <c r="G32" s="49">
        <f t="shared" si="2"/>
        <v>0</v>
      </c>
      <c r="H32" s="49" t="str">
        <f t="shared" si="0"/>
        <v>ครบ</v>
      </c>
      <c r="I32" s="49"/>
      <c r="J32" s="49" t="e">
        <f>VLOOKUP(I32,Sheet2!$B$10:$C$18,2,FALSE)</f>
        <v>#N/A</v>
      </c>
      <c r="K32" s="67"/>
      <c r="L32" s="49"/>
      <c r="M32" s="49" t="e">
        <f>VLOOKUP(L32,Sheet2!$B$10:$C$18,2,FALSE)</f>
        <v>#N/A</v>
      </c>
      <c r="N32" s="67"/>
      <c r="O32" s="49"/>
      <c r="P32" s="49" t="e">
        <f>VLOOKUP(O32,Sheet2!$B$10:$C$18,2,FALSE)</f>
        <v>#N/A</v>
      </c>
      <c r="Q32" s="67"/>
      <c r="R32" s="49"/>
      <c r="S32" s="49" t="e">
        <f>VLOOKUP(R32,Sheet2!$B$10:$C$18,2,FALSE)</f>
        <v>#N/A</v>
      </c>
      <c r="T32" s="67"/>
      <c r="U32" s="67">
        <f t="shared" si="3"/>
        <v>0</v>
      </c>
      <c r="V32" s="67"/>
      <c r="W32" s="67"/>
      <c r="X32" s="67"/>
      <c r="Y32" s="66"/>
      <c r="Z32" s="66"/>
      <c r="AA32" s="66"/>
      <c r="AB32" s="66"/>
      <c r="AC32" s="66"/>
      <c r="AD32" s="42" t="str">
        <f t="shared" si="1"/>
        <v>ทันกำหนด</v>
      </c>
      <c r="AE32" s="43"/>
      <c r="AF32" s="43"/>
      <c r="AG32" s="43"/>
      <c r="AH32" s="44"/>
    </row>
    <row r="33" spans="1:34" ht="27.75" customHeight="1">
      <c r="A33" s="41">
        <v>30</v>
      </c>
      <c r="B33" s="66"/>
      <c r="C33" s="48"/>
      <c r="D33" s="48"/>
      <c r="E33" s="49"/>
      <c r="F33" s="49"/>
      <c r="G33" s="49">
        <f t="shared" si="2"/>
        <v>0</v>
      </c>
      <c r="H33" s="49" t="str">
        <f t="shared" si="0"/>
        <v>ครบ</v>
      </c>
      <c r="I33" s="49"/>
      <c r="J33" s="49" t="e">
        <f>VLOOKUP(I33,Sheet2!$B$10:$C$18,2,FALSE)</f>
        <v>#N/A</v>
      </c>
      <c r="K33" s="67"/>
      <c r="L33" s="49"/>
      <c r="M33" s="49" t="e">
        <f>VLOOKUP(L33,Sheet2!$B$10:$C$18,2,FALSE)</f>
        <v>#N/A</v>
      </c>
      <c r="N33" s="67"/>
      <c r="O33" s="49"/>
      <c r="P33" s="49" t="e">
        <f>VLOOKUP(O33,Sheet2!$B$10:$C$18,2,FALSE)</f>
        <v>#N/A</v>
      </c>
      <c r="Q33" s="67"/>
      <c r="R33" s="49"/>
      <c r="S33" s="49" t="e">
        <f>VLOOKUP(R33,Sheet2!$B$10:$C$18,2,FALSE)</f>
        <v>#N/A</v>
      </c>
      <c r="T33" s="67"/>
      <c r="U33" s="67">
        <f t="shared" si="3"/>
        <v>0</v>
      </c>
      <c r="V33" s="67"/>
      <c r="W33" s="67"/>
      <c r="X33" s="67"/>
      <c r="Y33" s="66"/>
      <c r="Z33" s="66"/>
      <c r="AA33" s="66"/>
      <c r="AB33" s="66"/>
      <c r="AC33" s="66"/>
      <c r="AD33" s="42" t="str">
        <f t="shared" si="1"/>
        <v>ทันกำหนด</v>
      </c>
      <c r="AE33" s="43"/>
      <c r="AF33" s="43"/>
      <c r="AG33" s="43"/>
      <c r="AH33" s="44"/>
    </row>
    <row r="34" spans="1:34" ht="27.75" customHeight="1">
      <c r="A34" s="41">
        <v>31</v>
      </c>
      <c r="B34" s="66"/>
      <c r="C34" s="48"/>
      <c r="D34" s="48"/>
      <c r="E34" s="49"/>
      <c r="F34" s="49"/>
      <c r="G34" s="49">
        <f t="shared" si="2"/>
        <v>0</v>
      </c>
      <c r="H34" s="49" t="str">
        <f t="shared" si="0"/>
        <v>ครบ</v>
      </c>
      <c r="I34" s="49"/>
      <c r="J34" s="49" t="e">
        <f>VLOOKUP(I34,Sheet2!$B$10:$C$18,2,FALSE)</f>
        <v>#N/A</v>
      </c>
      <c r="K34" s="67"/>
      <c r="L34" s="49"/>
      <c r="M34" s="49" t="e">
        <f>VLOOKUP(L34,Sheet2!$B$10:$C$18,2,FALSE)</f>
        <v>#N/A</v>
      </c>
      <c r="N34" s="67"/>
      <c r="O34" s="49"/>
      <c r="P34" s="49" t="e">
        <f>VLOOKUP(O34,Sheet2!$B$10:$C$18,2,FALSE)</f>
        <v>#N/A</v>
      </c>
      <c r="Q34" s="67"/>
      <c r="R34" s="49"/>
      <c r="S34" s="49" t="e">
        <f>VLOOKUP(R34,Sheet2!$B$10:$C$18,2,FALSE)</f>
        <v>#N/A</v>
      </c>
      <c r="T34" s="67"/>
      <c r="U34" s="67">
        <f t="shared" si="3"/>
        <v>0</v>
      </c>
      <c r="V34" s="78"/>
      <c r="W34" s="78"/>
      <c r="X34" s="78"/>
      <c r="Y34" s="66"/>
      <c r="Z34" s="66"/>
      <c r="AA34" s="66"/>
      <c r="AB34" s="66"/>
      <c r="AC34" s="66"/>
      <c r="AD34" s="42" t="str">
        <f t="shared" si="1"/>
        <v>ทันกำหนด</v>
      </c>
      <c r="AE34" s="43"/>
      <c r="AF34" s="43"/>
      <c r="AG34" s="43"/>
      <c r="AH34" s="44"/>
    </row>
    <row r="35" spans="1:34" ht="27.75" customHeight="1">
      <c r="A35" s="41">
        <v>32</v>
      </c>
      <c r="B35" s="66"/>
      <c r="C35" s="48"/>
      <c r="D35" s="48"/>
      <c r="E35" s="49"/>
      <c r="F35" s="49"/>
      <c r="G35" s="49">
        <f t="shared" si="2"/>
        <v>0</v>
      </c>
      <c r="H35" s="49" t="str">
        <f t="shared" si="0"/>
        <v>ครบ</v>
      </c>
      <c r="I35" s="49"/>
      <c r="J35" s="49" t="e">
        <f>VLOOKUP(I35,Sheet2!$B$10:$C$18,2,FALSE)</f>
        <v>#N/A</v>
      </c>
      <c r="K35" s="67"/>
      <c r="L35" s="49"/>
      <c r="M35" s="49" t="e">
        <f>VLOOKUP(L35,Sheet2!$B$10:$C$18,2,FALSE)</f>
        <v>#N/A</v>
      </c>
      <c r="N35" s="67"/>
      <c r="O35" s="49"/>
      <c r="P35" s="49" t="e">
        <f>VLOOKUP(O35,Sheet2!$B$10:$C$18,2,FALSE)</f>
        <v>#N/A</v>
      </c>
      <c r="Q35" s="67"/>
      <c r="R35" s="49"/>
      <c r="S35" s="49" t="e">
        <f>VLOOKUP(R35,Sheet2!$B$10:$C$18,2,FALSE)</f>
        <v>#N/A</v>
      </c>
      <c r="T35" s="67"/>
      <c r="U35" s="67">
        <f t="shared" si="3"/>
        <v>0</v>
      </c>
      <c r="V35" s="67"/>
      <c r="W35" s="67"/>
      <c r="X35" s="67"/>
      <c r="Y35" s="66"/>
      <c r="Z35" s="66"/>
      <c r="AA35" s="66"/>
      <c r="AB35" s="66"/>
      <c r="AC35" s="66"/>
      <c r="AD35" s="42" t="str">
        <f t="shared" si="1"/>
        <v>ทันกำหนด</v>
      </c>
      <c r="AE35" s="43"/>
      <c r="AF35" s="43"/>
      <c r="AG35" s="43"/>
      <c r="AH35" s="44"/>
    </row>
    <row r="36" spans="1:34" ht="27.75" customHeight="1">
      <c r="A36" s="41">
        <v>33</v>
      </c>
      <c r="B36" s="66"/>
      <c r="C36" s="48"/>
      <c r="D36" s="48"/>
      <c r="E36" s="49"/>
      <c r="F36" s="49"/>
      <c r="G36" s="49">
        <f t="shared" si="2"/>
        <v>0</v>
      </c>
      <c r="H36" s="49" t="str">
        <f t="shared" si="0"/>
        <v>ครบ</v>
      </c>
      <c r="I36" s="49"/>
      <c r="J36" s="49" t="e">
        <f>VLOOKUP(I36,Sheet2!$B$10:$C$18,2,FALSE)</f>
        <v>#N/A</v>
      </c>
      <c r="K36" s="67"/>
      <c r="L36" s="49"/>
      <c r="M36" s="49" t="e">
        <f>VLOOKUP(L36,Sheet2!$B$10:$C$18,2,FALSE)</f>
        <v>#N/A</v>
      </c>
      <c r="N36" s="67"/>
      <c r="O36" s="49"/>
      <c r="P36" s="49" t="e">
        <f>VLOOKUP(O36,Sheet2!$B$10:$C$18,2,FALSE)</f>
        <v>#N/A</v>
      </c>
      <c r="Q36" s="67"/>
      <c r="R36" s="49"/>
      <c r="S36" s="49" t="e">
        <f>VLOOKUP(R36,Sheet2!$B$10:$C$18,2,FALSE)</f>
        <v>#N/A</v>
      </c>
      <c r="T36" s="67"/>
      <c r="U36" s="67">
        <f t="shared" si="3"/>
        <v>0</v>
      </c>
      <c r="V36" s="67"/>
      <c r="W36" s="67"/>
      <c r="X36" s="67"/>
      <c r="Y36" s="66"/>
      <c r="Z36" s="66"/>
      <c r="AA36" s="66"/>
      <c r="AB36" s="66"/>
      <c r="AC36" s="66"/>
      <c r="AD36" s="42" t="str">
        <f t="shared" si="1"/>
        <v>ทันกำหนด</v>
      </c>
      <c r="AE36" s="43"/>
      <c r="AF36" s="43"/>
      <c r="AG36" s="43"/>
      <c r="AH36" s="44"/>
    </row>
    <row r="37" spans="1:34" ht="27.75" customHeight="1">
      <c r="A37" s="41">
        <v>34</v>
      </c>
      <c r="B37" s="66"/>
      <c r="C37" s="48"/>
      <c r="D37" s="48"/>
      <c r="E37" s="49"/>
      <c r="F37" s="49"/>
      <c r="G37" s="49">
        <f t="shared" si="2"/>
        <v>0</v>
      </c>
      <c r="H37" s="49" t="str">
        <f t="shared" si="0"/>
        <v>ครบ</v>
      </c>
      <c r="I37" s="49"/>
      <c r="J37" s="49" t="e">
        <f>VLOOKUP(I37,Sheet2!$B$10:$C$18,2,FALSE)</f>
        <v>#N/A</v>
      </c>
      <c r="K37" s="67"/>
      <c r="L37" s="49"/>
      <c r="M37" s="49" t="e">
        <f>VLOOKUP(L37,Sheet2!$B$10:$C$18,2,FALSE)</f>
        <v>#N/A</v>
      </c>
      <c r="N37" s="67"/>
      <c r="O37" s="49"/>
      <c r="P37" s="49" t="e">
        <f>VLOOKUP(O37,Sheet2!$B$10:$C$18,2,FALSE)</f>
        <v>#N/A</v>
      </c>
      <c r="Q37" s="67"/>
      <c r="R37" s="49"/>
      <c r="S37" s="49" t="e">
        <f>VLOOKUP(R37,Sheet2!$B$10:$C$18,2,FALSE)</f>
        <v>#N/A</v>
      </c>
      <c r="T37" s="67"/>
      <c r="U37" s="67">
        <f t="shared" si="3"/>
        <v>0</v>
      </c>
      <c r="V37" s="67"/>
      <c r="W37" s="67"/>
      <c r="X37" s="67"/>
      <c r="Y37" s="66"/>
      <c r="Z37" s="66"/>
      <c r="AA37" s="66"/>
      <c r="AB37" s="66"/>
      <c r="AC37" s="66"/>
      <c r="AD37" s="42" t="str">
        <f t="shared" si="1"/>
        <v>ทันกำหนด</v>
      </c>
      <c r="AE37" s="43"/>
      <c r="AF37" s="43"/>
      <c r="AG37" s="43"/>
      <c r="AH37" s="44"/>
    </row>
    <row r="38" spans="1:34" ht="27.75" customHeight="1">
      <c r="A38" s="41">
        <v>35</v>
      </c>
      <c r="B38" s="66"/>
      <c r="C38" s="48"/>
      <c r="D38" s="48"/>
      <c r="E38" s="49"/>
      <c r="F38" s="49"/>
      <c r="G38" s="49">
        <f t="shared" si="2"/>
        <v>0</v>
      </c>
      <c r="H38" s="49" t="str">
        <f t="shared" si="0"/>
        <v>ครบ</v>
      </c>
      <c r="I38" s="49"/>
      <c r="J38" s="49" t="e">
        <f>VLOOKUP(I38,Sheet2!$B$10:$C$18,2,FALSE)</f>
        <v>#N/A</v>
      </c>
      <c r="K38" s="67"/>
      <c r="L38" s="49"/>
      <c r="M38" s="49" t="e">
        <f>VLOOKUP(L38,Sheet2!$B$10:$C$18,2,FALSE)</f>
        <v>#N/A</v>
      </c>
      <c r="N38" s="67"/>
      <c r="O38" s="49"/>
      <c r="P38" s="49" t="e">
        <f>VLOOKUP(O38,Sheet2!$B$10:$C$18,2,FALSE)</f>
        <v>#N/A</v>
      </c>
      <c r="Q38" s="67"/>
      <c r="R38" s="49"/>
      <c r="S38" s="49" t="e">
        <f>VLOOKUP(R38,Sheet2!$B$10:$C$18,2,FALSE)</f>
        <v>#N/A</v>
      </c>
      <c r="T38" s="67"/>
      <c r="U38" s="67">
        <f t="shared" si="3"/>
        <v>0</v>
      </c>
      <c r="V38" s="67"/>
      <c r="W38" s="67"/>
      <c r="X38" s="67"/>
      <c r="Y38" s="66"/>
      <c r="Z38" s="66"/>
      <c r="AA38" s="66"/>
      <c r="AB38" s="66"/>
      <c r="AC38" s="66"/>
      <c r="AD38" s="42" t="str">
        <f t="shared" si="1"/>
        <v>ทันกำหนด</v>
      </c>
      <c r="AE38" s="43"/>
      <c r="AF38" s="43"/>
      <c r="AG38" s="43"/>
      <c r="AH38" s="44"/>
    </row>
    <row r="39" spans="1:34" ht="27.75" customHeight="1">
      <c r="A39" s="41">
        <v>36</v>
      </c>
      <c r="B39" s="66"/>
      <c r="C39" s="48"/>
      <c r="D39" s="48"/>
      <c r="E39" s="49"/>
      <c r="F39" s="49"/>
      <c r="G39" s="49">
        <f t="shared" si="2"/>
        <v>0</v>
      </c>
      <c r="H39" s="49" t="str">
        <f t="shared" si="0"/>
        <v>ครบ</v>
      </c>
      <c r="I39" s="49"/>
      <c r="J39" s="49" t="e">
        <f>VLOOKUP(I39,Sheet2!$B$10:$C$18,2,FALSE)</f>
        <v>#N/A</v>
      </c>
      <c r="K39" s="67"/>
      <c r="L39" s="49"/>
      <c r="M39" s="49" t="e">
        <f>VLOOKUP(L39,Sheet2!$B$10:$C$18,2,FALSE)</f>
        <v>#N/A</v>
      </c>
      <c r="N39" s="67"/>
      <c r="O39" s="49"/>
      <c r="P39" s="49" t="e">
        <f>VLOOKUP(O39,Sheet2!$B$10:$C$18,2,FALSE)</f>
        <v>#N/A</v>
      </c>
      <c r="Q39" s="67"/>
      <c r="R39" s="49"/>
      <c r="S39" s="49" t="e">
        <f>VLOOKUP(R39,Sheet2!$B$10:$C$18,2,FALSE)</f>
        <v>#N/A</v>
      </c>
      <c r="T39" s="67"/>
      <c r="U39" s="67">
        <f t="shared" si="3"/>
        <v>0</v>
      </c>
      <c r="V39" s="67"/>
      <c r="W39" s="67"/>
      <c r="X39" s="67"/>
      <c r="Y39" s="66"/>
      <c r="Z39" s="66"/>
      <c r="AA39" s="66"/>
      <c r="AB39" s="66"/>
      <c r="AC39" s="66"/>
      <c r="AD39" s="42" t="str">
        <f t="shared" si="1"/>
        <v>ทันกำหนด</v>
      </c>
      <c r="AE39" s="43"/>
      <c r="AF39" s="43"/>
      <c r="AG39" s="43"/>
      <c r="AH39" s="68"/>
    </row>
    <row r="40" spans="1:34" ht="27.75" customHeight="1">
      <c r="A40" s="41">
        <v>37</v>
      </c>
      <c r="B40" s="66"/>
      <c r="C40" s="48"/>
      <c r="D40" s="48"/>
      <c r="E40" s="49"/>
      <c r="F40" s="49"/>
      <c r="G40" s="49">
        <f t="shared" si="2"/>
        <v>0</v>
      </c>
      <c r="H40" s="49" t="str">
        <f t="shared" si="0"/>
        <v>ครบ</v>
      </c>
      <c r="I40" s="49"/>
      <c r="J40" s="49" t="e">
        <f>VLOOKUP(I40,Sheet2!$B$10:$C$18,2,FALSE)</f>
        <v>#N/A</v>
      </c>
      <c r="K40" s="67"/>
      <c r="L40" s="49"/>
      <c r="M40" s="49" t="e">
        <f>VLOOKUP(L40,Sheet2!$B$10:$C$18,2,FALSE)</f>
        <v>#N/A</v>
      </c>
      <c r="N40" s="67"/>
      <c r="O40" s="49"/>
      <c r="P40" s="49" t="e">
        <f>VLOOKUP(O40,Sheet2!$B$10:$C$18,2,FALSE)</f>
        <v>#N/A</v>
      </c>
      <c r="Q40" s="67"/>
      <c r="R40" s="49"/>
      <c r="S40" s="49" t="e">
        <f>VLOOKUP(R40,Sheet2!$B$10:$C$18,2,FALSE)</f>
        <v>#N/A</v>
      </c>
      <c r="T40" s="67"/>
      <c r="U40" s="67">
        <f t="shared" si="3"/>
        <v>0</v>
      </c>
      <c r="V40" s="67"/>
      <c r="W40" s="67"/>
      <c r="X40" s="67"/>
      <c r="Y40" s="66"/>
      <c r="Z40" s="66"/>
      <c r="AA40" s="66"/>
      <c r="AB40" s="66"/>
      <c r="AC40" s="66"/>
      <c r="AD40" s="42" t="str">
        <f t="shared" si="1"/>
        <v>ทันกำหนด</v>
      </c>
      <c r="AE40" s="43"/>
      <c r="AF40" s="43"/>
      <c r="AG40" s="43"/>
      <c r="AH40" s="44"/>
    </row>
    <row r="41" spans="1:34" ht="27.75" customHeight="1">
      <c r="A41" s="41">
        <v>38</v>
      </c>
      <c r="B41" s="66"/>
      <c r="C41" s="48"/>
      <c r="D41" s="48"/>
      <c r="E41" s="49"/>
      <c r="F41" s="49"/>
      <c r="G41" s="49">
        <f t="shared" si="2"/>
        <v>0</v>
      </c>
      <c r="H41" s="49" t="str">
        <f t="shared" si="0"/>
        <v>ครบ</v>
      </c>
      <c r="I41" s="49"/>
      <c r="J41" s="49" t="e">
        <f>VLOOKUP(I41,Sheet2!$B$10:$C$18,2,FALSE)</f>
        <v>#N/A</v>
      </c>
      <c r="K41" s="67"/>
      <c r="L41" s="49"/>
      <c r="M41" s="49" t="e">
        <f>VLOOKUP(L41,Sheet2!$B$10:$C$18,2,FALSE)</f>
        <v>#N/A</v>
      </c>
      <c r="N41" s="67"/>
      <c r="O41" s="49"/>
      <c r="P41" s="49" t="e">
        <f>VLOOKUP(O41,Sheet2!$B$10:$C$18,2,FALSE)</f>
        <v>#N/A</v>
      </c>
      <c r="Q41" s="67"/>
      <c r="R41" s="49"/>
      <c r="S41" s="49" t="e">
        <f>VLOOKUP(R41,Sheet2!$B$10:$C$18,2,FALSE)</f>
        <v>#N/A</v>
      </c>
      <c r="T41" s="67"/>
      <c r="U41" s="67">
        <f t="shared" si="3"/>
        <v>0</v>
      </c>
      <c r="V41" s="67"/>
      <c r="W41" s="67"/>
      <c r="X41" s="67"/>
      <c r="Y41" s="66"/>
      <c r="Z41" s="66"/>
      <c r="AA41" s="66"/>
      <c r="AB41" s="66"/>
      <c r="AC41" s="66"/>
      <c r="AD41" s="42" t="str">
        <f t="shared" si="1"/>
        <v>ทันกำหนด</v>
      </c>
      <c r="AE41" s="43"/>
      <c r="AF41" s="43"/>
      <c r="AG41" s="43"/>
      <c r="AH41" s="68"/>
    </row>
    <row r="42" spans="1:34" ht="27.75" customHeight="1">
      <c r="A42" s="41">
        <v>39</v>
      </c>
      <c r="B42" s="66"/>
      <c r="C42" s="48"/>
      <c r="D42" s="48"/>
      <c r="E42" s="49"/>
      <c r="F42" s="49"/>
      <c r="G42" s="49">
        <f t="shared" si="2"/>
        <v>0</v>
      </c>
      <c r="H42" s="49" t="str">
        <f t="shared" si="0"/>
        <v>ครบ</v>
      </c>
      <c r="I42" s="49"/>
      <c r="J42" s="49" t="e">
        <f>VLOOKUP(I42,Sheet2!$B$10:$C$18,2,FALSE)</f>
        <v>#N/A</v>
      </c>
      <c r="K42" s="67"/>
      <c r="L42" s="49"/>
      <c r="M42" s="49" t="e">
        <f>VLOOKUP(L42,Sheet2!$B$10:$C$18,2,FALSE)</f>
        <v>#N/A</v>
      </c>
      <c r="N42" s="67"/>
      <c r="O42" s="49"/>
      <c r="P42" s="49" t="e">
        <f>VLOOKUP(O42,Sheet2!$B$10:$C$18,2,FALSE)</f>
        <v>#N/A</v>
      </c>
      <c r="Q42" s="67"/>
      <c r="R42" s="49"/>
      <c r="S42" s="49" t="e">
        <f>VLOOKUP(R42,Sheet2!$B$10:$C$18,2,FALSE)</f>
        <v>#N/A</v>
      </c>
      <c r="T42" s="67"/>
      <c r="U42" s="67">
        <f t="shared" si="3"/>
        <v>0</v>
      </c>
      <c r="V42" s="67"/>
      <c r="W42" s="67"/>
      <c r="X42" s="67"/>
      <c r="Y42" s="66"/>
      <c r="Z42" s="66"/>
      <c r="AA42" s="66"/>
      <c r="AB42" s="66"/>
      <c r="AC42" s="66"/>
      <c r="AD42" s="42" t="str">
        <f t="shared" si="1"/>
        <v>ทันกำหนด</v>
      </c>
      <c r="AE42" s="43"/>
      <c r="AF42" s="43"/>
      <c r="AG42" s="43"/>
      <c r="AH42" s="44"/>
    </row>
    <row r="43" spans="1:34" ht="27.75" customHeight="1">
      <c r="A43" s="41">
        <v>40</v>
      </c>
      <c r="B43" s="66"/>
      <c r="C43" s="48"/>
      <c r="D43" s="48"/>
      <c r="E43" s="49"/>
      <c r="F43" s="49"/>
      <c r="G43" s="49">
        <f t="shared" si="2"/>
        <v>0</v>
      </c>
      <c r="H43" s="49" t="str">
        <f t="shared" si="0"/>
        <v>ครบ</v>
      </c>
      <c r="I43" s="49"/>
      <c r="J43" s="49" t="e">
        <f>VLOOKUP(I43,Sheet2!$B$10:$C$18,2,FALSE)</f>
        <v>#N/A</v>
      </c>
      <c r="K43" s="67"/>
      <c r="L43" s="49"/>
      <c r="M43" s="49" t="e">
        <f>VLOOKUP(L43,Sheet2!$B$10:$C$18,2,FALSE)</f>
        <v>#N/A</v>
      </c>
      <c r="N43" s="67"/>
      <c r="O43" s="49"/>
      <c r="P43" s="49" t="e">
        <f>VLOOKUP(O43,Sheet2!$B$10:$C$18,2,FALSE)</f>
        <v>#N/A</v>
      </c>
      <c r="Q43" s="67"/>
      <c r="R43" s="49"/>
      <c r="S43" s="49" t="e">
        <f>VLOOKUP(R43,Sheet2!$B$10:$C$18,2,FALSE)</f>
        <v>#N/A</v>
      </c>
      <c r="T43" s="67"/>
      <c r="U43" s="67">
        <f t="shared" si="3"/>
        <v>0</v>
      </c>
      <c r="V43" s="67"/>
      <c r="W43" s="67"/>
      <c r="X43" s="67"/>
      <c r="Y43" s="66"/>
      <c r="Z43" s="66"/>
      <c r="AA43" s="66"/>
      <c r="AB43" s="66"/>
      <c r="AC43" s="66"/>
      <c r="AD43" s="42" t="str">
        <f t="shared" si="1"/>
        <v>ทันกำหนด</v>
      </c>
      <c r="AE43" s="43"/>
      <c r="AF43" s="43"/>
      <c r="AG43" s="43"/>
      <c r="AH43" s="44"/>
    </row>
    <row r="44" spans="1:34" ht="27.75" customHeight="1">
      <c r="A44" s="41">
        <v>41</v>
      </c>
      <c r="B44" s="66"/>
      <c r="C44" s="48"/>
      <c r="D44" s="48"/>
      <c r="E44" s="49"/>
      <c r="F44" s="49"/>
      <c r="G44" s="49">
        <f t="shared" si="2"/>
        <v>0</v>
      </c>
      <c r="H44" s="49" t="str">
        <f t="shared" si="0"/>
        <v>ครบ</v>
      </c>
      <c r="I44" s="49"/>
      <c r="J44" s="49" t="e">
        <f>VLOOKUP(I44,Sheet2!$B$10:$C$18,2,FALSE)</f>
        <v>#N/A</v>
      </c>
      <c r="K44" s="67"/>
      <c r="L44" s="49"/>
      <c r="M44" s="49" t="e">
        <f>VLOOKUP(L44,Sheet2!$B$10:$C$18,2,FALSE)</f>
        <v>#N/A</v>
      </c>
      <c r="N44" s="67"/>
      <c r="O44" s="49"/>
      <c r="P44" s="49" t="e">
        <f>VLOOKUP(O44,Sheet2!$B$10:$C$18,2,FALSE)</f>
        <v>#N/A</v>
      </c>
      <c r="Q44" s="67"/>
      <c r="R44" s="49"/>
      <c r="S44" s="49" t="e">
        <f>VLOOKUP(R44,Sheet2!$B$10:$C$18,2,FALSE)</f>
        <v>#N/A</v>
      </c>
      <c r="T44" s="67"/>
      <c r="U44" s="67">
        <f t="shared" si="3"/>
        <v>0</v>
      </c>
      <c r="V44" s="67"/>
      <c r="W44" s="67"/>
      <c r="X44" s="67"/>
      <c r="Y44" s="66"/>
      <c r="Z44" s="66"/>
      <c r="AA44" s="66"/>
      <c r="AB44" s="66"/>
      <c r="AC44" s="66"/>
      <c r="AD44" s="42" t="str">
        <f t="shared" si="1"/>
        <v>ทันกำหนด</v>
      </c>
      <c r="AE44" s="43"/>
      <c r="AF44" s="43"/>
      <c r="AG44" s="43"/>
      <c r="AH44" s="44"/>
    </row>
    <row r="45" spans="1:34" ht="27.75" customHeight="1">
      <c r="A45" s="41">
        <v>42</v>
      </c>
      <c r="B45" s="66"/>
      <c r="C45" s="48"/>
      <c r="D45" s="48"/>
      <c r="E45" s="49"/>
      <c r="F45" s="49"/>
      <c r="G45" s="49">
        <f t="shared" si="2"/>
        <v>0</v>
      </c>
      <c r="H45" s="49" t="str">
        <f t="shared" si="0"/>
        <v>ครบ</v>
      </c>
      <c r="I45" s="49"/>
      <c r="J45" s="49" t="e">
        <f>VLOOKUP(I45,Sheet2!$B$10:$C$18,2,FALSE)</f>
        <v>#N/A</v>
      </c>
      <c r="K45" s="67"/>
      <c r="L45" s="49"/>
      <c r="M45" s="49" t="e">
        <f>VLOOKUP(L45,Sheet2!$B$10:$C$18,2,FALSE)</f>
        <v>#N/A</v>
      </c>
      <c r="N45" s="67"/>
      <c r="O45" s="49"/>
      <c r="P45" s="49" t="e">
        <f>VLOOKUP(O45,Sheet2!$B$10:$C$18,2,FALSE)</f>
        <v>#N/A</v>
      </c>
      <c r="Q45" s="67"/>
      <c r="R45" s="49"/>
      <c r="S45" s="49" t="e">
        <f>VLOOKUP(R45,Sheet2!$B$10:$C$18,2,FALSE)</f>
        <v>#N/A</v>
      </c>
      <c r="T45" s="67"/>
      <c r="U45" s="67">
        <f t="shared" si="3"/>
        <v>0</v>
      </c>
      <c r="V45" s="67"/>
      <c r="W45" s="67"/>
      <c r="X45" s="67"/>
      <c r="Y45" s="66"/>
      <c r="Z45" s="66"/>
      <c r="AA45" s="66"/>
      <c r="AB45" s="66"/>
      <c r="AC45" s="66"/>
      <c r="AD45" s="42" t="str">
        <f t="shared" si="1"/>
        <v>ทันกำหนด</v>
      </c>
      <c r="AE45" s="43"/>
      <c r="AF45" s="43"/>
      <c r="AG45" s="43"/>
      <c r="AH45" s="44"/>
    </row>
    <row r="46" spans="1:34" ht="27.75" customHeight="1">
      <c r="A46" s="41">
        <v>43</v>
      </c>
      <c r="B46" s="66"/>
      <c r="C46" s="48"/>
      <c r="D46" s="48"/>
      <c r="E46" s="49"/>
      <c r="F46" s="49"/>
      <c r="G46" s="49">
        <f t="shared" si="2"/>
        <v>0</v>
      </c>
      <c r="H46" s="49" t="str">
        <f t="shared" si="0"/>
        <v>ครบ</v>
      </c>
      <c r="I46" s="49"/>
      <c r="J46" s="49" t="e">
        <f>VLOOKUP(I46,Sheet2!$B$10:$C$18,2,FALSE)</f>
        <v>#N/A</v>
      </c>
      <c r="K46" s="67"/>
      <c r="L46" s="49"/>
      <c r="M46" s="49" t="e">
        <f>VLOOKUP(L46,Sheet2!$B$10:$C$18,2,FALSE)</f>
        <v>#N/A</v>
      </c>
      <c r="N46" s="67"/>
      <c r="O46" s="49"/>
      <c r="P46" s="49" t="e">
        <f>VLOOKUP(O46,Sheet2!$B$10:$C$18,2,FALSE)</f>
        <v>#N/A</v>
      </c>
      <c r="Q46" s="67"/>
      <c r="R46" s="49"/>
      <c r="S46" s="49" t="e">
        <f>VLOOKUP(R46,Sheet2!$B$10:$C$18,2,FALSE)</f>
        <v>#N/A</v>
      </c>
      <c r="T46" s="67"/>
      <c r="U46" s="67">
        <f t="shared" si="3"/>
        <v>0</v>
      </c>
      <c r="V46" s="67"/>
      <c r="W46" s="67"/>
      <c r="X46" s="67"/>
      <c r="Y46" s="66"/>
      <c r="Z46" s="66"/>
      <c r="AA46" s="66"/>
      <c r="AB46" s="66"/>
      <c r="AC46" s="66"/>
      <c r="AD46" s="42" t="str">
        <f t="shared" si="1"/>
        <v>ทันกำหนด</v>
      </c>
      <c r="AE46" s="43"/>
      <c r="AF46" s="43"/>
      <c r="AG46" s="43"/>
      <c r="AH46" s="44"/>
    </row>
    <row r="47" spans="1:34" ht="27.75" customHeight="1">
      <c r="A47" s="41">
        <v>44</v>
      </c>
      <c r="B47" s="66"/>
      <c r="C47" s="48"/>
      <c r="D47" s="48"/>
      <c r="E47" s="49"/>
      <c r="F47" s="49"/>
      <c r="G47" s="49">
        <f t="shared" si="2"/>
        <v>0</v>
      </c>
      <c r="H47" s="49" t="str">
        <f t="shared" si="0"/>
        <v>ครบ</v>
      </c>
      <c r="I47" s="49"/>
      <c r="J47" s="49" t="e">
        <f>VLOOKUP(I47,Sheet2!$B$10:$C$18,2,FALSE)</f>
        <v>#N/A</v>
      </c>
      <c r="K47" s="67"/>
      <c r="L47" s="49"/>
      <c r="M47" s="49" t="e">
        <f>VLOOKUP(L47,Sheet2!$B$10:$C$18,2,FALSE)</f>
        <v>#N/A</v>
      </c>
      <c r="N47" s="67"/>
      <c r="O47" s="49"/>
      <c r="P47" s="49" t="e">
        <f>VLOOKUP(O47,Sheet2!$B$10:$C$18,2,FALSE)</f>
        <v>#N/A</v>
      </c>
      <c r="Q47" s="67"/>
      <c r="R47" s="49"/>
      <c r="S47" s="49" t="e">
        <f>VLOOKUP(R47,Sheet2!$B$10:$C$18,2,FALSE)</f>
        <v>#N/A</v>
      </c>
      <c r="T47" s="67"/>
      <c r="U47" s="67">
        <f t="shared" si="3"/>
        <v>0</v>
      </c>
      <c r="V47" s="67"/>
      <c r="W47" s="67"/>
      <c r="X47" s="67"/>
      <c r="Y47" s="66"/>
      <c r="Z47" s="66"/>
      <c r="AA47" s="66"/>
      <c r="AB47" s="66"/>
      <c r="AC47" s="66"/>
      <c r="AD47" s="42" t="str">
        <f t="shared" si="1"/>
        <v>ทันกำหนด</v>
      </c>
      <c r="AE47" s="43"/>
      <c r="AF47" s="43"/>
      <c r="AG47" s="43"/>
      <c r="AH47" s="44"/>
    </row>
    <row r="48" spans="1:34" ht="27.75" customHeight="1">
      <c r="A48" s="41">
        <v>45</v>
      </c>
      <c r="B48" s="66"/>
      <c r="C48" s="48"/>
      <c r="D48" s="48"/>
      <c r="E48" s="49"/>
      <c r="F48" s="49"/>
      <c r="G48" s="49">
        <f t="shared" si="2"/>
        <v>0</v>
      </c>
      <c r="H48" s="49" t="str">
        <f t="shared" si="0"/>
        <v>ครบ</v>
      </c>
      <c r="I48" s="49"/>
      <c r="J48" s="49" t="e">
        <f>VLOOKUP(I48,Sheet2!$B$10:$C$18,2,FALSE)</f>
        <v>#N/A</v>
      </c>
      <c r="K48" s="67"/>
      <c r="L48" s="49"/>
      <c r="M48" s="49" t="e">
        <f>VLOOKUP(L48,Sheet2!$B$10:$C$18,2,FALSE)</f>
        <v>#N/A</v>
      </c>
      <c r="N48" s="67"/>
      <c r="O48" s="49"/>
      <c r="P48" s="49" t="e">
        <f>VLOOKUP(O48,Sheet2!$B$10:$C$18,2,FALSE)</f>
        <v>#N/A</v>
      </c>
      <c r="Q48" s="67"/>
      <c r="R48" s="49"/>
      <c r="S48" s="49" t="e">
        <f>VLOOKUP(R48,Sheet2!$B$10:$C$18,2,FALSE)</f>
        <v>#N/A</v>
      </c>
      <c r="T48" s="67"/>
      <c r="U48" s="67">
        <f t="shared" si="3"/>
        <v>0</v>
      </c>
      <c r="V48" s="67"/>
      <c r="W48" s="67"/>
      <c r="X48" s="67"/>
      <c r="Y48" s="66"/>
      <c r="Z48" s="66"/>
      <c r="AA48" s="66"/>
      <c r="AB48" s="66"/>
      <c r="AC48" s="66"/>
      <c r="AD48" s="42" t="str">
        <f t="shared" si="1"/>
        <v>ทันกำหนด</v>
      </c>
      <c r="AE48" s="43"/>
      <c r="AF48" s="43"/>
      <c r="AG48" s="43"/>
      <c r="AH48" s="44"/>
    </row>
    <row r="49" spans="1:34" ht="27.75" customHeight="1">
      <c r="A49" s="41">
        <v>46</v>
      </c>
      <c r="B49" s="66"/>
      <c r="C49" s="48"/>
      <c r="D49" s="48"/>
      <c r="E49" s="49"/>
      <c r="F49" s="49"/>
      <c r="G49" s="49">
        <f t="shared" si="2"/>
        <v>0</v>
      </c>
      <c r="H49" s="49" t="str">
        <f t="shared" si="0"/>
        <v>ครบ</v>
      </c>
      <c r="I49" s="49"/>
      <c r="J49" s="49" t="e">
        <f>VLOOKUP(I49,Sheet2!$B$10:$C$18,2,FALSE)</f>
        <v>#N/A</v>
      </c>
      <c r="K49" s="67"/>
      <c r="L49" s="49"/>
      <c r="M49" s="49" t="e">
        <f>VLOOKUP(L49,Sheet2!$B$10:$C$18,2,FALSE)</f>
        <v>#N/A</v>
      </c>
      <c r="N49" s="67"/>
      <c r="O49" s="49"/>
      <c r="P49" s="49" t="e">
        <f>VLOOKUP(O49,Sheet2!$B$10:$C$18,2,FALSE)</f>
        <v>#N/A</v>
      </c>
      <c r="Q49" s="67"/>
      <c r="R49" s="49"/>
      <c r="S49" s="49" t="e">
        <f>VLOOKUP(R49,Sheet2!$B$10:$C$18,2,FALSE)</f>
        <v>#N/A</v>
      </c>
      <c r="T49" s="67"/>
      <c r="U49" s="67">
        <f t="shared" si="3"/>
        <v>0</v>
      </c>
      <c r="V49" s="67"/>
      <c r="W49" s="67"/>
      <c r="X49" s="67"/>
      <c r="Y49" s="66"/>
      <c r="Z49" s="66"/>
      <c r="AA49" s="66"/>
      <c r="AB49" s="66"/>
      <c r="AC49" s="66"/>
      <c r="AD49" s="42" t="str">
        <f t="shared" si="1"/>
        <v>ทันกำหนด</v>
      </c>
      <c r="AE49" s="43"/>
      <c r="AF49" s="43"/>
      <c r="AG49" s="43"/>
      <c r="AH49" s="44"/>
    </row>
    <row r="50" spans="1:34" ht="27.75" customHeight="1">
      <c r="A50" s="41">
        <v>47</v>
      </c>
      <c r="B50" s="66"/>
      <c r="C50" s="48"/>
      <c r="D50" s="48"/>
      <c r="E50" s="49"/>
      <c r="F50" s="49"/>
      <c r="G50" s="49">
        <f t="shared" si="2"/>
        <v>0</v>
      </c>
      <c r="H50" s="49" t="str">
        <f t="shared" si="0"/>
        <v>ครบ</v>
      </c>
      <c r="I50" s="49"/>
      <c r="J50" s="49" t="e">
        <f>VLOOKUP(I50,Sheet2!$B$10:$C$18,2,FALSE)</f>
        <v>#N/A</v>
      </c>
      <c r="K50" s="67"/>
      <c r="L50" s="49"/>
      <c r="M50" s="49" t="e">
        <f>VLOOKUP(L50,Sheet2!$B$10:$C$18,2,FALSE)</f>
        <v>#N/A</v>
      </c>
      <c r="N50" s="67"/>
      <c r="O50" s="49"/>
      <c r="P50" s="49" t="e">
        <f>VLOOKUP(O50,Sheet2!$B$10:$C$18,2,FALSE)</f>
        <v>#N/A</v>
      </c>
      <c r="Q50" s="67"/>
      <c r="R50" s="49"/>
      <c r="S50" s="49" t="e">
        <f>VLOOKUP(R50,Sheet2!$B$10:$C$18,2,FALSE)</f>
        <v>#N/A</v>
      </c>
      <c r="T50" s="67"/>
      <c r="U50" s="67">
        <f t="shared" si="3"/>
        <v>0</v>
      </c>
      <c r="V50" s="67"/>
      <c r="W50" s="67"/>
      <c r="X50" s="67"/>
      <c r="Y50" s="66"/>
      <c r="Z50" s="66"/>
      <c r="AA50" s="66"/>
      <c r="AB50" s="66"/>
      <c r="AC50" s="66"/>
      <c r="AD50" s="42" t="str">
        <f t="shared" si="1"/>
        <v>ทันกำหนด</v>
      </c>
      <c r="AE50" s="43"/>
      <c r="AF50" s="43"/>
      <c r="AG50" s="43"/>
      <c r="AH50" s="44"/>
    </row>
    <row r="51" spans="1:34" ht="27.75" customHeight="1">
      <c r="A51" s="41">
        <v>48</v>
      </c>
      <c r="B51" s="66"/>
      <c r="C51" s="48"/>
      <c r="D51" s="48"/>
      <c r="E51" s="49"/>
      <c r="F51" s="49"/>
      <c r="G51" s="49">
        <f t="shared" si="2"/>
        <v>0</v>
      </c>
      <c r="H51" s="49" t="str">
        <f t="shared" si="0"/>
        <v>ครบ</v>
      </c>
      <c r="I51" s="49"/>
      <c r="J51" s="49" t="e">
        <f>VLOOKUP(I51,Sheet2!$B$10:$C$18,2,FALSE)</f>
        <v>#N/A</v>
      </c>
      <c r="K51" s="67"/>
      <c r="L51" s="49"/>
      <c r="M51" s="49" t="e">
        <f>VLOOKUP(L51,Sheet2!$B$10:$C$18,2,FALSE)</f>
        <v>#N/A</v>
      </c>
      <c r="N51" s="67"/>
      <c r="O51" s="49"/>
      <c r="P51" s="49" t="e">
        <f>VLOOKUP(O51,Sheet2!$B$10:$C$18,2,FALSE)</f>
        <v>#N/A</v>
      </c>
      <c r="Q51" s="67"/>
      <c r="R51" s="49"/>
      <c r="S51" s="49" t="e">
        <f>VLOOKUP(R51,Sheet2!$B$10:$C$18,2,FALSE)</f>
        <v>#N/A</v>
      </c>
      <c r="T51" s="67"/>
      <c r="U51" s="67">
        <f t="shared" si="3"/>
        <v>0</v>
      </c>
      <c r="V51" s="67"/>
      <c r="W51" s="67"/>
      <c r="X51" s="67"/>
      <c r="Y51" s="66"/>
      <c r="Z51" s="66"/>
      <c r="AA51" s="66"/>
      <c r="AB51" s="66"/>
      <c r="AC51" s="66"/>
      <c r="AD51" s="42" t="str">
        <f t="shared" si="1"/>
        <v>ทันกำหนด</v>
      </c>
      <c r="AE51" s="43"/>
      <c r="AF51" s="43"/>
      <c r="AG51" s="43"/>
      <c r="AH51" s="44"/>
    </row>
    <row r="52" spans="1:34" ht="27.75" customHeight="1">
      <c r="A52" s="41">
        <v>49</v>
      </c>
      <c r="B52" s="66"/>
      <c r="C52" s="48"/>
      <c r="D52" s="48"/>
      <c r="E52" s="49"/>
      <c r="F52" s="49"/>
      <c r="G52" s="49">
        <f t="shared" si="2"/>
        <v>0</v>
      </c>
      <c r="H52" s="49" t="str">
        <f t="shared" si="0"/>
        <v>ครบ</v>
      </c>
      <c r="I52" s="49"/>
      <c r="J52" s="49" t="e">
        <f>VLOOKUP(I52,Sheet2!$B$10:$C$18,2,FALSE)</f>
        <v>#N/A</v>
      </c>
      <c r="K52" s="67"/>
      <c r="L52" s="49"/>
      <c r="M52" s="49" t="e">
        <f>VLOOKUP(L52,Sheet2!$B$10:$C$18,2,FALSE)</f>
        <v>#N/A</v>
      </c>
      <c r="N52" s="67"/>
      <c r="O52" s="49"/>
      <c r="P52" s="49" t="e">
        <f>VLOOKUP(O52,Sheet2!$B$10:$C$18,2,FALSE)</f>
        <v>#N/A</v>
      </c>
      <c r="Q52" s="67"/>
      <c r="R52" s="49"/>
      <c r="S52" s="49" t="e">
        <f>VLOOKUP(R52,Sheet2!$B$10:$C$18,2,FALSE)</f>
        <v>#N/A</v>
      </c>
      <c r="T52" s="67"/>
      <c r="U52" s="67">
        <f t="shared" si="3"/>
        <v>0</v>
      </c>
      <c r="V52" s="67"/>
      <c r="W52" s="67"/>
      <c r="X52" s="67"/>
      <c r="Y52" s="66"/>
      <c r="Z52" s="66"/>
      <c r="AA52" s="66"/>
      <c r="AB52" s="66"/>
      <c r="AC52" s="66"/>
      <c r="AD52" s="42" t="str">
        <f t="shared" si="1"/>
        <v>ทันกำหนด</v>
      </c>
      <c r="AE52" s="43"/>
      <c r="AF52" s="43"/>
      <c r="AG52" s="43"/>
      <c r="AH52" s="44"/>
    </row>
    <row r="53" spans="1:34" ht="27.75" customHeight="1">
      <c r="A53" s="41">
        <v>50</v>
      </c>
      <c r="B53" s="66"/>
      <c r="C53" s="48"/>
      <c r="D53" s="48"/>
      <c r="E53" s="49"/>
      <c r="F53" s="49"/>
      <c r="G53" s="49">
        <f t="shared" si="2"/>
        <v>0</v>
      </c>
      <c r="H53" s="49" t="str">
        <f t="shared" si="0"/>
        <v>ครบ</v>
      </c>
      <c r="I53" s="49"/>
      <c r="J53" s="49" t="e">
        <f>VLOOKUP(I53,Sheet2!$B$10:$C$18,2,FALSE)</f>
        <v>#N/A</v>
      </c>
      <c r="K53" s="67"/>
      <c r="L53" s="49"/>
      <c r="M53" s="49" t="e">
        <f>VLOOKUP(L53,Sheet2!$B$10:$C$18,2,FALSE)</f>
        <v>#N/A</v>
      </c>
      <c r="N53" s="67"/>
      <c r="O53" s="49"/>
      <c r="P53" s="49" t="e">
        <f>VLOOKUP(O53,Sheet2!$B$10:$C$18,2,FALSE)</f>
        <v>#N/A</v>
      </c>
      <c r="Q53" s="67"/>
      <c r="R53" s="49"/>
      <c r="S53" s="49" t="e">
        <f>VLOOKUP(R53,Sheet2!$B$10:$C$18,2,FALSE)</f>
        <v>#N/A</v>
      </c>
      <c r="T53" s="67"/>
      <c r="U53" s="67">
        <f t="shared" si="3"/>
        <v>0</v>
      </c>
      <c r="V53" s="67"/>
      <c r="W53" s="67"/>
      <c r="X53" s="67"/>
      <c r="Y53" s="66"/>
      <c r="Z53" s="66"/>
      <c r="AA53" s="66"/>
      <c r="AB53" s="66"/>
      <c r="AC53" s="66"/>
      <c r="AD53" s="42" t="str">
        <f t="shared" si="1"/>
        <v>ทันกำหนด</v>
      </c>
      <c r="AE53" s="43"/>
      <c r="AF53" s="43"/>
      <c r="AG53" s="43"/>
      <c r="AH53" s="44"/>
    </row>
    <row r="54" spans="1:34" ht="27.75" customHeight="1">
      <c r="A54" s="41">
        <v>51</v>
      </c>
      <c r="B54" s="66"/>
      <c r="C54" s="48"/>
      <c r="D54" s="48"/>
      <c r="E54" s="49"/>
      <c r="F54" s="49"/>
      <c r="G54" s="49">
        <f t="shared" si="2"/>
        <v>0</v>
      </c>
      <c r="H54" s="49" t="str">
        <f t="shared" si="0"/>
        <v>ครบ</v>
      </c>
      <c r="I54" s="49"/>
      <c r="J54" s="49" t="e">
        <f>VLOOKUP(I54,Sheet2!$B$10:$C$18,2,FALSE)</f>
        <v>#N/A</v>
      </c>
      <c r="K54" s="67"/>
      <c r="L54" s="49"/>
      <c r="M54" s="49" t="e">
        <f>VLOOKUP(L54,Sheet2!$B$10:$C$18,2,FALSE)</f>
        <v>#N/A</v>
      </c>
      <c r="N54" s="67"/>
      <c r="O54" s="49"/>
      <c r="P54" s="49" t="e">
        <f>VLOOKUP(O54,Sheet2!$B$10:$C$18,2,FALSE)</f>
        <v>#N/A</v>
      </c>
      <c r="Q54" s="67"/>
      <c r="R54" s="49"/>
      <c r="S54" s="49" t="e">
        <f>VLOOKUP(R54,Sheet2!$B$10:$C$18,2,FALSE)</f>
        <v>#N/A</v>
      </c>
      <c r="T54" s="67"/>
      <c r="U54" s="67">
        <f t="shared" si="3"/>
        <v>0</v>
      </c>
      <c r="V54" s="67"/>
      <c r="W54" s="67"/>
      <c r="X54" s="67"/>
      <c r="Y54" s="66"/>
      <c r="Z54" s="66"/>
      <c r="AA54" s="66"/>
      <c r="AB54" s="66"/>
      <c r="AC54" s="66"/>
      <c r="AD54" s="42" t="str">
        <f t="shared" si="1"/>
        <v>ทันกำหนด</v>
      </c>
      <c r="AE54" s="43"/>
      <c r="AF54" s="43"/>
      <c r="AG54" s="43"/>
      <c r="AH54" s="44"/>
    </row>
    <row r="55" spans="1:34" ht="27.75" customHeight="1">
      <c r="A55" s="41">
        <v>52</v>
      </c>
      <c r="B55" s="66"/>
      <c r="C55" s="48"/>
      <c r="D55" s="48"/>
      <c r="E55" s="49"/>
      <c r="F55" s="49"/>
      <c r="G55" s="49">
        <f t="shared" si="2"/>
        <v>0</v>
      </c>
      <c r="H55" s="49" t="str">
        <f t="shared" si="0"/>
        <v>ครบ</v>
      </c>
      <c r="I55" s="49"/>
      <c r="J55" s="49" t="e">
        <f>VLOOKUP(I55,Sheet2!$B$10:$C$18,2,FALSE)</f>
        <v>#N/A</v>
      </c>
      <c r="K55" s="67"/>
      <c r="L55" s="49"/>
      <c r="M55" s="49" t="e">
        <f>VLOOKUP(L55,Sheet2!$B$10:$C$18,2,FALSE)</f>
        <v>#N/A</v>
      </c>
      <c r="N55" s="67"/>
      <c r="O55" s="49"/>
      <c r="P55" s="49" t="e">
        <f>VLOOKUP(O55,Sheet2!$B$10:$C$18,2,FALSE)</f>
        <v>#N/A</v>
      </c>
      <c r="Q55" s="67"/>
      <c r="R55" s="49"/>
      <c r="S55" s="49" t="e">
        <f>VLOOKUP(R55,Sheet2!$B$10:$C$18,2,FALSE)</f>
        <v>#N/A</v>
      </c>
      <c r="T55" s="67"/>
      <c r="U55" s="67">
        <f t="shared" si="3"/>
        <v>0</v>
      </c>
      <c r="V55" s="67"/>
      <c r="W55" s="67"/>
      <c r="X55" s="67"/>
      <c r="Y55" s="66"/>
      <c r="Z55" s="66"/>
      <c r="AA55" s="66"/>
      <c r="AB55" s="66"/>
      <c r="AC55" s="66"/>
      <c r="AD55" s="42" t="str">
        <f t="shared" si="1"/>
        <v>ทันกำหนด</v>
      </c>
      <c r="AE55" s="43"/>
      <c r="AF55" s="43"/>
      <c r="AG55" s="43"/>
      <c r="AH55" s="44"/>
    </row>
    <row r="56" spans="1:34" ht="27.75" customHeight="1">
      <c r="A56" s="41">
        <v>53</v>
      </c>
      <c r="B56" s="66"/>
      <c r="C56" s="48"/>
      <c r="D56" s="48"/>
      <c r="E56" s="49"/>
      <c r="F56" s="49"/>
      <c r="G56" s="49">
        <f t="shared" si="2"/>
        <v>0</v>
      </c>
      <c r="H56" s="49" t="str">
        <f t="shared" si="0"/>
        <v>ครบ</v>
      </c>
      <c r="I56" s="49"/>
      <c r="J56" s="49" t="e">
        <f>VLOOKUP(I56,Sheet2!$B$10:$C$18,2,FALSE)</f>
        <v>#N/A</v>
      </c>
      <c r="K56" s="67"/>
      <c r="L56" s="49"/>
      <c r="M56" s="49" t="e">
        <f>VLOOKUP(L56,Sheet2!$B$10:$C$18,2,FALSE)</f>
        <v>#N/A</v>
      </c>
      <c r="N56" s="67"/>
      <c r="O56" s="49"/>
      <c r="P56" s="49" t="e">
        <f>VLOOKUP(O56,Sheet2!$B$10:$C$18,2,FALSE)</f>
        <v>#N/A</v>
      </c>
      <c r="Q56" s="67"/>
      <c r="R56" s="49"/>
      <c r="S56" s="49" t="e">
        <f>VLOOKUP(R56,Sheet2!$B$10:$C$18,2,FALSE)</f>
        <v>#N/A</v>
      </c>
      <c r="T56" s="67"/>
      <c r="U56" s="67">
        <f t="shared" si="3"/>
        <v>0</v>
      </c>
      <c r="V56" s="67"/>
      <c r="W56" s="67"/>
      <c r="X56" s="67"/>
      <c r="Y56" s="66"/>
      <c r="Z56" s="66"/>
      <c r="AA56" s="66"/>
      <c r="AB56" s="66"/>
      <c r="AC56" s="66"/>
      <c r="AD56" s="42" t="str">
        <f t="shared" si="1"/>
        <v>ทันกำหนด</v>
      </c>
      <c r="AE56" s="43"/>
      <c r="AF56" s="43"/>
      <c r="AG56" s="43"/>
      <c r="AH56" s="44"/>
    </row>
    <row r="57" spans="1:34" ht="27.75" customHeight="1">
      <c r="A57" s="41">
        <v>54</v>
      </c>
      <c r="B57" s="66"/>
      <c r="C57" s="48"/>
      <c r="D57" s="48"/>
      <c r="E57" s="49"/>
      <c r="F57" s="49"/>
      <c r="G57" s="49">
        <f t="shared" si="2"/>
        <v>0</v>
      </c>
      <c r="H57" s="49" t="str">
        <f t="shared" si="0"/>
        <v>ครบ</v>
      </c>
      <c r="I57" s="49"/>
      <c r="J57" s="49" t="e">
        <f>VLOOKUP(I57,Sheet2!$B$10:$C$18,2,FALSE)</f>
        <v>#N/A</v>
      </c>
      <c r="K57" s="67"/>
      <c r="L57" s="49"/>
      <c r="M57" s="49" t="e">
        <f>VLOOKUP(L57,Sheet2!$B$10:$C$18,2,FALSE)</f>
        <v>#N/A</v>
      </c>
      <c r="N57" s="67"/>
      <c r="O57" s="49"/>
      <c r="P57" s="49" t="e">
        <f>VLOOKUP(O57,Sheet2!$B$10:$C$18,2,FALSE)</f>
        <v>#N/A</v>
      </c>
      <c r="Q57" s="67"/>
      <c r="R57" s="49"/>
      <c r="S57" s="49" t="e">
        <f>VLOOKUP(R57,Sheet2!$B$10:$C$18,2,FALSE)</f>
        <v>#N/A</v>
      </c>
      <c r="T57" s="67"/>
      <c r="U57" s="67">
        <f t="shared" si="3"/>
        <v>0</v>
      </c>
      <c r="V57" s="67"/>
      <c r="W57" s="67"/>
      <c r="X57" s="67"/>
      <c r="Y57" s="66"/>
      <c r="Z57" s="66"/>
      <c r="AA57" s="66"/>
      <c r="AB57" s="66"/>
      <c r="AC57" s="66"/>
      <c r="AD57" s="42" t="str">
        <f t="shared" si="1"/>
        <v>ทันกำหนด</v>
      </c>
      <c r="AE57" s="43"/>
      <c r="AF57" s="43"/>
      <c r="AG57" s="43"/>
      <c r="AH57" s="44"/>
    </row>
    <row r="58" spans="1:34" ht="27.75" customHeight="1">
      <c r="A58" s="41">
        <v>55</v>
      </c>
      <c r="B58" s="66"/>
      <c r="C58" s="48"/>
      <c r="D58" s="48"/>
      <c r="E58" s="49"/>
      <c r="F58" s="49"/>
      <c r="G58" s="49">
        <f t="shared" si="2"/>
        <v>0</v>
      </c>
      <c r="H58" s="49" t="str">
        <f t="shared" si="0"/>
        <v>ครบ</v>
      </c>
      <c r="I58" s="49"/>
      <c r="J58" s="49" t="e">
        <f>VLOOKUP(I58,Sheet2!$B$10:$C$18,2,FALSE)</f>
        <v>#N/A</v>
      </c>
      <c r="K58" s="67"/>
      <c r="L58" s="49"/>
      <c r="M58" s="49" t="e">
        <f>VLOOKUP(L58,Sheet2!$B$10:$C$18,2,FALSE)</f>
        <v>#N/A</v>
      </c>
      <c r="N58" s="67"/>
      <c r="O58" s="49"/>
      <c r="P58" s="49" t="e">
        <f>VLOOKUP(O58,Sheet2!$B$10:$C$18,2,FALSE)</f>
        <v>#N/A</v>
      </c>
      <c r="Q58" s="67"/>
      <c r="R58" s="49"/>
      <c r="S58" s="49" t="e">
        <f>VLOOKUP(R58,Sheet2!$B$10:$C$18,2,FALSE)</f>
        <v>#N/A</v>
      </c>
      <c r="T58" s="67"/>
      <c r="U58" s="67">
        <f t="shared" si="3"/>
        <v>0</v>
      </c>
      <c r="V58" s="67"/>
      <c r="W58" s="67"/>
      <c r="X58" s="67"/>
      <c r="Y58" s="66"/>
      <c r="Z58" s="66"/>
      <c r="AA58" s="66"/>
      <c r="AB58" s="66"/>
      <c r="AC58" s="66"/>
      <c r="AD58" s="42" t="str">
        <f t="shared" si="1"/>
        <v>ทันกำหนด</v>
      </c>
      <c r="AE58" s="43"/>
      <c r="AF58" s="43"/>
      <c r="AG58" s="43"/>
      <c r="AH58" s="44"/>
    </row>
    <row r="59" spans="1:34" ht="27.75" customHeight="1">
      <c r="A59" s="41">
        <v>56</v>
      </c>
      <c r="B59" s="66"/>
      <c r="C59" s="48"/>
      <c r="D59" s="48"/>
      <c r="E59" s="49"/>
      <c r="F59" s="49"/>
      <c r="G59" s="49">
        <f t="shared" si="2"/>
        <v>0</v>
      </c>
      <c r="H59" s="49" t="str">
        <f t="shared" si="0"/>
        <v>ครบ</v>
      </c>
      <c r="I59" s="49"/>
      <c r="J59" s="49" t="e">
        <f>VLOOKUP(I59,Sheet2!$B$10:$C$18,2,FALSE)</f>
        <v>#N/A</v>
      </c>
      <c r="K59" s="67"/>
      <c r="L59" s="49"/>
      <c r="M59" s="49" t="e">
        <f>VLOOKUP(L59,Sheet2!$B$10:$C$18,2,FALSE)</f>
        <v>#N/A</v>
      </c>
      <c r="N59" s="67"/>
      <c r="O59" s="49"/>
      <c r="P59" s="49" t="e">
        <f>VLOOKUP(O59,Sheet2!$B$10:$C$18,2,FALSE)</f>
        <v>#N/A</v>
      </c>
      <c r="Q59" s="67"/>
      <c r="R59" s="49"/>
      <c r="S59" s="49" t="e">
        <f>VLOOKUP(R59,Sheet2!$B$10:$C$18,2,FALSE)</f>
        <v>#N/A</v>
      </c>
      <c r="T59" s="67"/>
      <c r="U59" s="67">
        <f t="shared" si="3"/>
        <v>0</v>
      </c>
      <c r="V59" s="67"/>
      <c r="W59" s="67"/>
      <c r="X59" s="67"/>
      <c r="Y59" s="66"/>
      <c r="Z59" s="66"/>
      <c r="AA59" s="66"/>
      <c r="AB59" s="66"/>
      <c r="AC59" s="66"/>
      <c r="AD59" s="42" t="str">
        <f t="shared" si="1"/>
        <v>ทันกำหนด</v>
      </c>
      <c r="AE59" s="43"/>
      <c r="AF59" s="43"/>
      <c r="AG59" s="43"/>
      <c r="AH59" s="44"/>
    </row>
    <row r="60" spans="1:34" ht="27.75" customHeight="1">
      <c r="A60" s="41">
        <v>57</v>
      </c>
      <c r="B60" s="66"/>
      <c r="C60" s="48"/>
      <c r="D60" s="48"/>
      <c r="E60" s="49"/>
      <c r="F60" s="49"/>
      <c r="G60" s="49">
        <f t="shared" si="2"/>
        <v>0</v>
      </c>
      <c r="H60" s="49" t="str">
        <f t="shared" si="0"/>
        <v>ครบ</v>
      </c>
      <c r="I60" s="49"/>
      <c r="J60" s="49" t="e">
        <f>VLOOKUP(I60,Sheet2!$B$10:$C$18,2,FALSE)</f>
        <v>#N/A</v>
      </c>
      <c r="K60" s="67"/>
      <c r="L60" s="49"/>
      <c r="M60" s="49" t="e">
        <f>VLOOKUP(L60,Sheet2!$B$10:$C$18,2,FALSE)</f>
        <v>#N/A</v>
      </c>
      <c r="N60" s="67"/>
      <c r="O60" s="49"/>
      <c r="P60" s="49" t="e">
        <f>VLOOKUP(O60,Sheet2!$B$10:$C$18,2,FALSE)</f>
        <v>#N/A</v>
      </c>
      <c r="Q60" s="67"/>
      <c r="R60" s="49"/>
      <c r="S60" s="49" t="e">
        <f>VLOOKUP(R60,Sheet2!$B$10:$C$18,2,FALSE)</f>
        <v>#N/A</v>
      </c>
      <c r="T60" s="67"/>
      <c r="U60" s="67">
        <f t="shared" si="3"/>
        <v>0</v>
      </c>
      <c r="V60" s="67"/>
      <c r="W60" s="67"/>
      <c r="X60" s="67"/>
      <c r="Y60" s="66"/>
      <c r="Z60" s="66"/>
      <c r="AA60" s="66"/>
      <c r="AB60" s="66"/>
      <c r="AC60" s="66"/>
      <c r="AD60" s="42" t="str">
        <f t="shared" si="1"/>
        <v>ทันกำหนด</v>
      </c>
      <c r="AE60" s="43"/>
      <c r="AF60" s="43"/>
      <c r="AG60" s="43"/>
      <c r="AH60" s="44"/>
    </row>
    <row r="61" spans="1:34" ht="27.75" customHeight="1">
      <c r="A61" s="41">
        <v>58</v>
      </c>
      <c r="B61" s="66"/>
      <c r="C61" s="48"/>
      <c r="D61" s="48"/>
      <c r="E61" s="49"/>
      <c r="F61" s="49"/>
      <c r="G61" s="49">
        <f t="shared" si="2"/>
        <v>0</v>
      </c>
      <c r="H61" s="49" t="str">
        <f t="shared" si="0"/>
        <v>ครบ</v>
      </c>
      <c r="I61" s="49"/>
      <c r="J61" s="49" t="e">
        <f>VLOOKUP(I61,Sheet2!$B$10:$C$18,2,FALSE)</f>
        <v>#N/A</v>
      </c>
      <c r="K61" s="67"/>
      <c r="L61" s="49"/>
      <c r="M61" s="49" t="e">
        <f>VLOOKUP(L61,Sheet2!$B$10:$C$18,2,FALSE)</f>
        <v>#N/A</v>
      </c>
      <c r="N61" s="67"/>
      <c r="O61" s="49"/>
      <c r="P61" s="49" t="e">
        <f>VLOOKUP(O61,Sheet2!$B$10:$C$18,2,FALSE)</f>
        <v>#N/A</v>
      </c>
      <c r="Q61" s="67"/>
      <c r="R61" s="49"/>
      <c r="S61" s="49" t="e">
        <f>VLOOKUP(R61,Sheet2!$B$10:$C$18,2,FALSE)</f>
        <v>#N/A</v>
      </c>
      <c r="T61" s="67"/>
      <c r="U61" s="67">
        <f t="shared" si="3"/>
        <v>0</v>
      </c>
      <c r="V61" s="67"/>
      <c r="W61" s="67"/>
      <c r="X61" s="67"/>
      <c r="Y61" s="66"/>
      <c r="Z61" s="66"/>
      <c r="AA61" s="66"/>
      <c r="AB61" s="66"/>
      <c r="AC61" s="66"/>
      <c r="AD61" s="42" t="str">
        <f t="shared" si="1"/>
        <v>ทันกำหนด</v>
      </c>
      <c r="AE61" s="43"/>
      <c r="AF61" s="43"/>
      <c r="AG61" s="43"/>
      <c r="AH61" s="44"/>
    </row>
    <row r="62" spans="1:34" ht="27.75" customHeight="1">
      <c r="A62" s="41">
        <v>59</v>
      </c>
      <c r="B62" s="66"/>
      <c r="C62" s="48"/>
      <c r="D62" s="48"/>
      <c r="E62" s="49"/>
      <c r="F62" s="49"/>
      <c r="G62" s="49">
        <f t="shared" si="2"/>
        <v>0</v>
      </c>
      <c r="H62" s="49" t="str">
        <f t="shared" si="0"/>
        <v>ครบ</v>
      </c>
      <c r="I62" s="49"/>
      <c r="J62" s="49" t="e">
        <f>VLOOKUP(I62,Sheet2!$B$10:$C$18,2,FALSE)</f>
        <v>#N/A</v>
      </c>
      <c r="K62" s="67"/>
      <c r="L62" s="49"/>
      <c r="M62" s="49" t="e">
        <f>VLOOKUP(L62,Sheet2!$B$10:$C$18,2,FALSE)</f>
        <v>#N/A</v>
      </c>
      <c r="N62" s="67"/>
      <c r="O62" s="49"/>
      <c r="P62" s="49" t="e">
        <f>VLOOKUP(O62,Sheet2!$B$10:$C$18,2,FALSE)</f>
        <v>#N/A</v>
      </c>
      <c r="Q62" s="67"/>
      <c r="R62" s="49"/>
      <c r="S62" s="49" t="e">
        <f>VLOOKUP(R62,Sheet2!$B$10:$C$18,2,FALSE)</f>
        <v>#N/A</v>
      </c>
      <c r="T62" s="67"/>
      <c r="U62" s="67">
        <f t="shared" si="3"/>
        <v>0</v>
      </c>
      <c r="V62" s="67"/>
      <c r="W62" s="67"/>
      <c r="X62" s="67"/>
      <c r="Y62" s="66"/>
      <c r="Z62" s="66"/>
      <c r="AA62" s="66"/>
      <c r="AB62" s="66"/>
      <c r="AC62" s="66"/>
      <c r="AD62" s="42" t="str">
        <f t="shared" si="1"/>
        <v>ทันกำหนด</v>
      </c>
      <c r="AE62" s="43"/>
      <c r="AF62" s="43"/>
      <c r="AG62" s="43"/>
      <c r="AH62" s="44"/>
    </row>
    <row r="63" spans="1:34" ht="27.75" customHeight="1">
      <c r="A63" s="41">
        <v>60</v>
      </c>
      <c r="B63" s="66"/>
      <c r="C63" s="48"/>
      <c r="D63" s="48"/>
      <c r="E63" s="49"/>
      <c r="F63" s="49"/>
      <c r="G63" s="49">
        <f>$E63-$F63</f>
        <v>0</v>
      </c>
      <c r="H63" s="49" t="str">
        <f t="shared" si="0"/>
        <v>ครบ</v>
      </c>
      <c r="I63" s="49"/>
      <c r="J63" s="49" t="e">
        <f>VLOOKUP(I63,Sheet2!$B$10:$C$18,2,FALSE)</f>
        <v>#N/A</v>
      </c>
      <c r="K63" s="67"/>
      <c r="L63" s="49"/>
      <c r="M63" s="49" t="e">
        <f>VLOOKUP(L63,Sheet2!$B$10:$C$18,2,FALSE)</f>
        <v>#N/A</v>
      </c>
      <c r="N63" s="67"/>
      <c r="O63" s="49"/>
      <c r="P63" s="49" t="e">
        <f>VLOOKUP(O63,Sheet2!$B$10:$C$18,2,FALSE)</f>
        <v>#N/A</v>
      </c>
      <c r="Q63" s="67"/>
      <c r="R63" s="49"/>
      <c r="S63" s="49" t="e">
        <f>VLOOKUP(R63,Sheet2!$B$10:$C$18,2,FALSE)</f>
        <v>#N/A</v>
      </c>
      <c r="T63" s="67"/>
      <c r="U63" s="67">
        <f t="shared" si="3"/>
        <v>0</v>
      </c>
      <c r="V63" s="67"/>
      <c r="W63" s="67"/>
      <c r="X63" s="67"/>
      <c r="Y63" s="66"/>
      <c r="Z63" s="66"/>
      <c r="AA63" s="66"/>
      <c r="AB63" s="66"/>
      <c r="AC63" s="66"/>
      <c r="AD63" s="42" t="str">
        <f t="shared" si="1"/>
        <v>ทันกำหนด</v>
      </c>
      <c r="AE63" s="43"/>
      <c r="AF63" s="43"/>
      <c r="AG63" s="43"/>
      <c r="AH63" s="44"/>
    </row>
    <row r="64" spans="1:34" ht="27.75" customHeight="1">
      <c r="A64" s="41">
        <v>61</v>
      </c>
      <c r="B64" s="66"/>
      <c r="C64" s="48"/>
      <c r="D64" s="48"/>
      <c r="E64" s="49"/>
      <c r="F64" s="49"/>
      <c r="G64" s="49">
        <f t="shared" si="2"/>
        <v>0</v>
      </c>
      <c r="H64" s="49" t="str">
        <f t="shared" si="0"/>
        <v>ครบ</v>
      </c>
      <c r="I64" s="49"/>
      <c r="J64" s="49" t="e">
        <f>VLOOKUP(I64,Sheet2!$B$10:$C$18,2,FALSE)</f>
        <v>#N/A</v>
      </c>
      <c r="K64" s="67"/>
      <c r="L64" s="49"/>
      <c r="M64" s="49" t="e">
        <f>VLOOKUP(L64,Sheet2!$B$10:$C$18,2,FALSE)</f>
        <v>#N/A</v>
      </c>
      <c r="N64" s="67"/>
      <c r="O64" s="49"/>
      <c r="P64" s="49" t="e">
        <f>VLOOKUP(O64,Sheet2!$B$10:$C$18,2,FALSE)</f>
        <v>#N/A</v>
      </c>
      <c r="Q64" s="67"/>
      <c r="R64" s="49"/>
      <c r="S64" s="49" t="e">
        <f>VLOOKUP(R64,Sheet2!$B$10:$C$18,2,FALSE)</f>
        <v>#N/A</v>
      </c>
      <c r="T64" s="67"/>
      <c r="U64" s="67">
        <f t="shared" si="3"/>
        <v>0</v>
      </c>
      <c r="V64" s="67"/>
      <c r="W64" s="67"/>
      <c r="X64" s="67"/>
      <c r="Y64" s="66"/>
      <c r="Z64" s="66"/>
      <c r="AA64" s="66"/>
      <c r="AB64" s="66"/>
      <c r="AC64" s="66"/>
      <c r="AD64" s="42" t="str">
        <f t="shared" si="1"/>
        <v>ทันกำหนด</v>
      </c>
      <c r="AE64" s="43"/>
      <c r="AF64" s="43"/>
      <c r="AG64" s="43"/>
      <c r="AH64" s="44"/>
    </row>
    <row r="65" spans="1:34" ht="27.75" customHeight="1">
      <c r="A65" s="41">
        <v>62</v>
      </c>
      <c r="B65" s="66"/>
      <c r="C65" s="48"/>
      <c r="D65" s="48"/>
      <c r="E65" s="49"/>
      <c r="F65" s="49"/>
      <c r="G65" s="49">
        <f t="shared" si="2"/>
        <v>0</v>
      </c>
      <c r="H65" s="49" t="str">
        <f t="shared" si="0"/>
        <v>ครบ</v>
      </c>
      <c r="I65" s="49"/>
      <c r="J65" s="49" t="e">
        <f>VLOOKUP(I65,Sheet2!$B$10:$C$18,2,FALSE)</f>
        <v>#N/A</v>
      </c>
      <c r="K65" s="67"/>
      <c r="L65" s="49"/>
      <c r="M65" s="49" t="e">
        <f>VLOOKUP(L65,Sheet2!$B$10:$C$18,2,FALSE)</f>
        <v>#N/A</v>
      </c>
      <c r="N65" s="67"/>
      <c r="O65" s="49"/>
      <c r="P65" s="49" t="e">
        <f>VLOOKUP(O65,Sheet2!$B$10:$C$18,2,FALSE)</f>
        <v>#N/A</v>
      </c>
      <c r="Q65" s="67"/>
      <c r="R65" s="49"/>
      <c r="S65" s="49" t="e">
        <f>VLOOKUP(R65,Sheet2!$B$10:$C$18,2,FALSE)</f>
        <v>#N/A</v>
      </c>
      <c r="T65" s="67"/>
      <c r="U65" s="67">
        <f t="shared" si="3"/>
        <v>0</v>
      </c>
      <c r="V65" s="67"/>
      <c r="W65" s="67"/>
      <c r="X65" s="67"/>
      <c r="Y65" s="66"/>
      <c r="Z65" s="66"/>
      <c r="AA65" s="66"/>
      <c r="AB65" s="66"/>
      <c r="AC65" s="66"/>
      <c r="AD65" s="42" t="str">
        <f t="shared" si="1"/>
        <v>ทันกำหนด</v>
      </c>
      <c r="AE65" s="43"/>
      <c r="AF65" s="43"/>
      <c r="AG65" s="43"/>
      <c r="AH65" s="44"/>
    </row>
    <row r="66" spans="1:34" ht="27.75" customHeight="1">
      <c r="A66" s="41">
        <v>63</v>
      </c>
      <c r="B66" s="66"/>
      <c r="C66" s="48"/>
      <c r="D66" s="48"/>
      <c r="E66" s="49"/>
      <c r="F66" s="49"/>
      <c r="G66" s="49">
        <f t="shared" si="2"/>
        <v>0</v>
      </c>
      <c r="H66" s="49" t="str">
        <f t="shared" si="0"/>
        <v>ครบ</v>
      </c>
      <c r="I66" s="49"/>
      <c r="J66" s="49" t="e">
        <f>VLOOKUP(I66,Sheet2!$B$10:$C$18,2,FALSE)</f>
        <v>#N/A</v>
      </c>
      <c r="K66" s="67"/>
      <c r="L66" s="49"/>
      <c r="M66" s="49" t="e">
        <f>VLOOKUP(L66,Sheet2!$B$10:$C$18,2,FALSE)</f>
        <v>#N/A</v>
      </c>
      <c r="N66" s="67"/>
      <c r="O66" s="49"/>
      <c r="P66" s="49" t="e">
        <f>VLOOKUP(O66,Sheet2!$B$10:$C$18,2,FALSE)</f>
        <v>#N/A</v>
      </c>
      <c r="Q66" s="67"/>
      <c r="R66" s="49"/>
      <c r="S66" s="49" t="e">
        <f>VLOOKUP(R66,Sheet2!$B$10:$C$18,2,FALSE)</f>
        <v>#N/A</v>
      </c>
      <c r="T66" s="67"/>
      <c r="U66" s="67">
        <f t="shared" si="3"/>
        <v>0</v>
      </c>
      <c r="V66" s="67"/>
      <c r="W66" s="67"/>
      <c r="X66" s="67"/>
      <c r="Y66" s="66"/>
      <c r="Z66" s="66"/>
      <c r="AA66" s="66"/>
      <c r="AB66" s="66"/>
      <c r="AC66" s="66"/>
      <c r="AD66" s="42" t="str">
        <f t="shared" si="1"/>
        <v>ทันกำหนด</v>
      </c>
      <c r="AE66" s="43"/>
      <c r="AF66" s="43"/>
      <c r="AG66" s="43"/>
      <c r="AH66" s="44"/>
    </row>
    <row r="67" spans="1:34" ht="27.75" customHeight="1">
      <c r="A67" s="41">
        <v>64</v>
      </c>
      <c r="B67" s="66"/>
      <c r="C67" s="48"/>
      <c r="D67" s="48"/>
      <c r="E67" s="49"/>
      <c r="F67" s="49"/>
      <c r="G67" s="49">
        <f t="shared" si="2"/>
        <v>0</v>
      </c>
      <c r="H67" s="49" t="str">
        <f t="shared" si="0"/>
        <v>ครบ</v>
      </c>
      <c r="I67" s="49"/>
      <c r="J67" s="49" t="e">
        <f>VLOOKUP(I67,Sheet2!$B$10:$C$18,2,FALSE)</f>
        <v>#N/A</v>
      </c>
      <c r="K67" s="67"/>
      <c r="L67" s="49"/>
      <c r="M67" s="49" t="e">
        <f>VLOOKUP(L67,Sheet2!$B$10:$C$18,2,FALSE)</f>
        <v>#N/A</v>
      </c>
      <c r="N67" s="67"/>
      <c r="O67" s="49"/>
      <c r="P67" s="49" t="e">
        <f>VLOOKUP(O67,Sheet2!$B$10:$C$18,2,FALSE)</f>
        <v>#N/A</v>
      </c>
      <c r="Q67" s="67"/>
      <c r="R67" s="49"/>
      <c r="S67" s="49" t="e">
        <f>VLOOKUP(R67,Sheet2!$B$10:$C$18,2,FALSE)</f>
        <v>#N/A</v>
      </c>
      <c r="T67" s="67"/>
      <c r="U67" s="67">
        <f t="shared" si="3"/>
        <v>0</v>
      </c>
      <c r="V67" s="67"/>
      <c r="W67" s="67"/>
      <c r="X67" s="67"/>
      <c r="Y67" s="66"/>
      <c r="Z67" s="66"/>
      <c r="AA67" s="66"/>
      <c r="AB67" s="66"/>
      <c r="AC67" s="66"/>
      <c r="AD67" s="42" t="str">
        <f t="shared" si="1"/>
        <v>ทันกำหนด</v>
      </c>
      <c r="AE67" s="43"/>
      <c r="AF67" s="43"/>
      <c r="AG67" s="43"/>
      <c r="AH67" s="44"/>
    </row>
    <row r="68" spans="1:34" ht="27.75" customHeight="1">
      <c r="A68" s="41">
        <v>65</v>
      </c>
      <c r="B68" s="66"/>
      <c r="C68" s="48"/>
      <c r="D68" s="48"/>
      <c r="E68" s="49"/>
      <c r="F68" s="49"/>
      <c r="G68" s="49">
        <f t="shared" si="2"/>
        <v>0</v>
      </c>
      <c r="H68" s="49" t="str">
        <f t="shared" ref="H68:H131" si="4">IF($G68=0,"ครบ","ไม่ครบ")</f>
        <v>ครบ</v>
      </c>
      <c r="I68" s="49"/>
      <c r="J68" s="49" t="e">
        <f>VLOOKUP(I68,Sheet2!$B$10:$C$18,2,FALSE)</f>
        <v>#N/A</v>
      </c>
      <c r="K68" s="67"/>
      <c r="L68" s="49"/>
      <c r="M68" s="49" t="e">
        <f>VLOOKUP(L68,Sheet2!$B$10:$C$18,2,FALSE)</f>
        <v>#N/A</v>
      </c>
      <c r="N68" s="67"/>
      <c r="O68" s="49"/>
      <c r="P68" s="49" t="e">
        <f>VLOOKUP(O68,Sheet2!$B$10:$C$18,2,FALSE)</f>
        <v>#N/A</v>
      </c>
      <c r="Q68" s="67"/>
      <c r="R68" s="49"/>
      <c r="S68" s="49" t="e">
        <f>VLOOKUP(R68,Sheet2!$B$10:$C$18,2,FALSE)</f>
        <v>#N/A</v>
      </c>
      <c r="T68" s="67"/>
      <c r="U68" s="67">
        <f t="shared" si="3"/>
        <v>0</v>
      </c>
      <c r="V68" s="67"/>
      <c r="W68" s="67"/>
      <c r="X68" s="67"/>
      <c r="Y68" s="66"/>
      <c r="Z68" s="66"/>
      <c r="AA68" s="66"/>
      <c r="AB68" s="66"/>
      <c r="AC68" s="66"/>
      <c r="AD68" s="42" t="str">
        <f t="shared" si="1"/>
        <v>ทันกำหนด</v>
      </c>
      <c r="AE68" s="43"/>
      <c r="AF68" s="43"/>
      <c r="AG68" s="43"/>
      <c r="AH68" s="44"/>
    </row>
    <row r="69" spans="1:34" ht="27.75" customHeight="1">
      <c r="A69" s="41">
        <v>66</v>
      </c>
      <c r="B69" s="66"/>
      <c r="C69" s="48"/>
      <c r="D69" s="48"/>
      <c r="E69" s="49"/>
      <c r="F69" s="49"/>
      <c r="G69" s="49">
        <f t="shared" ref="G69:G132" si="5">$E69-$F69</f>
        <v>0</v>
      </c>
      <c r="H69" s="49" t="str">
        <f t="shared" si="4"/>
        <v>ครบ</v>
      </c>
      <c r="I69" s="49"/>
      <c r="J69" s="49" t="e">
        <f>VLOOKUP(I69,Sheet2!$B$10:$C$18,2,FALSE)</f>
        <v>#N/A</v>
      </c>
      <c r="K69" s="67"/>
      <c r="L69" s="49"/>
      <c r="M69" s="49" t="e">
        <f>VLOOKUP(L69,Sheet2!$B$10:$C$18,2,FALSE)</f>
        <v>#N/A</v>
      </c>
      <c r="N69" s="67"/>
      <c r="O69" s="49"/>
      <c r="P69" s="49" t="e">
        <f>VLOOKUP(O69,Sheet2!$B$10:$C$18,2,FALSE)</f>
        <v>#N/A</v>
      </c>
      <c r="Q69" s="67"/>
      <c r="R69" s="49"/>
      <c r="S69" s="49" t="e">
        <f>VLOOKUP(R69,Sheet2!$B$10:$C$18,2,FALSE)</f>
        <v>#N/A</v>
      </c>
      <c r="T69" s="67"/>
      <c r="U69" s="67">
        <f t="shared" ref="U69:U132" si="6">$K69+$N69+$Q69+$T69</f>
        <v>0</v>
      </c>
      <c r="V69" s="67"/>
      <c r="W69" s="67"/>
      <c r="X69" s="67"/>
      <c r="Y69" s="66"/>
      <c r="Z69" s="66"/>
      <c r="AA69" s="66"/>
      <c r="AB69" s="66"/>
      <c r="AC69" s="66"/>
      <c r="AD69" s="42" t="str">
        <f t="shared" ref="AD69:AD132" si="7">IF($AA69&gt;$Z69,"เกินกำหนด","ทันกำหนด")</f>
        <v>ทันกำหนด</v>
      </c>
      <c r="AE69" s="43"/>
      <c r="AF69" s="43"/>
      <c r="AG69" s="43"/>
      <c r="AH69" s="69"/>
    </row>
    <row r="70" spans="1:34" ht="27.75" customHeight="1">
      <c r="A70" s="41">
        <v>67</v>
      </c>
      <c r="B70" s="66"/>
      <c r="C70" s="48"/>
      <c r="D70" s="48"/>
      <c r="E70" s="49"/>
      <c r="F70" s="49"/>
      <c r="G70" s="49">
        <f t="shared" si="5"/>
        <v>0</v>
      </c>
      <c r="H70" s="49" t="str">
        <f t="shared" si="4"/>
        <v>ครบ</v>
      </c>
      <c r="I70" s="49"/>
      <c r="J70" s="49" t="e">
        <f>VLOOKUP(I70,Sheet2!$B$10:$C$18,2,FALSE)</f>
        <v>#N/A</v>
      </c>
      <c r="K70" s="67"/>
      <c r="L70" s="49"/>
      <c r="M70" s="49" t="e">
        <f>VLOOKUP(L70,Sheet2!$B$10:$C$18,2,FALSE)</f>
        <v>#N/A</v>
      </c>
      <c r="N70" s="67"/>
      <c r="O70" s="49"/>
      <c r="P70" s="49" t="e">
        <f>VLOOKUP(O70,Sheet2!$B$10:$C$18,2,FALSE)</f>
        <v>#N/A</v>
      </c>
      <c r="Q70" s="67"/>
      <c r="R70" s="49"/>
      <c r="S70" s="49" t="e">
        <f>VLOOKUP(R70,Sheet2!$B$10:$C$18,2,FALSE)</f>
        <v>#N/A</v>
      </c>
      <c r="T70" s="67"/>
      <c r="U70" s="67">
        <f t="shared" si="6"/>
        <v>0</v>
      </c>
      <c r="V70" s="67"/>
      <c r="W70" s="67"/>
      <c r="X70" s="67"/>
      <c r="Y70" s="66"/>
      <c r="Z70" s="66"/>
      <c r="AA70" s="66"/>
      <c r="AB70" s="66"/>
      <c r="AC70" s="66"/>
      <c r="AD70" s="42" t="str">
        <f t="shared" si="7"/>
        <v>ทันกำหนด</v>
      </c>
      <c r="AE70" s="43"/>
      <c r="AF70" s="43"/>
      <c r="AG70" s="43"/>
      <c r="AH70" s="44"/>
    </row>
    <row r="71" spans="1:34" ht="27.75" customHeight="1">
      <c r="A71" s="41">
        <v>68</v>
      </c>
      <c r="B71" s="66"/>
      <c r="C71" s="48"/>
      <c r="D71" s="48"/>
      <c r="E71" s="49"/>
      <c r="F71" s="49"/>
      <c r="G71" s="49">
        <f t="shared" si="5"/>
        <v>0</v>
      </c>
      <c r="H71" s="49" t="str">
        <f>IF($G71=0,"ครบ","ไม่ครบ")</f>
        <v>ครบ</v>
      </c>
      <c r="I71" s="49"/>
      <c r="J71" s="49" t="e">
        <f>VLOOKUP(I71,Sheet2!$B$10:$C$18,2,FALSE)</f>
        <v>#N/A</v>
      </c>
      <c r="K71" s="67"/>
      <c r="L71" s="49"/>
      <c r="M71" s="49" t="e">
        <f>VLOOKUP(L71,Sheet2!$B$10:$C$18,2,FALSE)</f>
        <v>#N/A</v>
      </c>
      <c r="N71" s="67"/>
      <c r="O71" s="49"/>
      <c r="P71" s="49" t="e">
        <f>VLOOKUP(O71,Sheet2!$B$10:$C$18,2,FALSE)</f>
        <v>#N/A</v>
      </c>
      <c r="Q71" s="67"/>
      <c r="R71" s="49"/>
      <c r="S71" s="49" t="e">
        <f>VLOOKUP(R71,Sheet2!$B$10:$C$18,2,FALSE)</f>
        <v>#N/A</v>
      </c>
      <c r="T71" s="67"/>
      <c r="U71" s="67">
        <f t="shared" si="6"/>
        <v>0</v>
      </c>
      <c r="V71" s="67"/>
      <c r="W71" s="67"/>
      <c r="X71" s="67"/>
      <c r="Y71" s="66"/>
      <c r="Z71" s="66"/>
      <c r="AA71" s="66"/>
      <c r="AB71" s="66"/>
      <c r="AC71" s="66"/>
      <c r="AD71" s="42" t="str">
        <f>IF($AA71&gt;$Z71,"เกินกำหนด","ทันกำหนด")</f>
        <v>ทันกำหนด</v>
      </c>
      <c r="AE71" s="43"/>
      <c r="AF71" s="43"/>
      <c r="AG71" s="43"/>
      <c r="AH71" s="68"/>
    </row>
    <row r="72" spans="1:34" ht="27.75" customHeight="1">
      <c r="A72" s="41">
        <v>69</v>
      </c>
      <c r="B72" s="66"/>
      <c r="C72" s="48"/>
      <c r="D72" s="48"/>
      <c r="E72" s="49"/>
      <c r="F72" s="49"/>
      <c r="G72" s="49">
        <f t="shared" si="5"/>
        <v>0</v>
      </c>
      <c r="H72" s="49" t="str">
        <f>IF($G72=0,"ครบ","ไม่ครบ")</f>
        <v>ครบ</v>
      </c>
      <c r="I72" s="49"/>
      <c r="J72" s="49" t="e">
        <f>VLOOKUP(I72,Sheet2!$B$10:$C$18,2,FALSE)</f>
        <v>#N/A</v>
      </c>
      <c r="K72" s="67"/>
      <c r="L72" s="49"/>
      <c r="M72" s="49" t="e">
        <f>VLOOKUP(L72,Sheet2!$B$10:$C$18,2,FALSE)</f>
        <v>#N/A</v>
      </c>
      <c r="N72" s="67"/>
      <c r="O72" s="49"/>
      <c r="P72" s="49" t="e">
        <f>VLOOKUP(O72,Sheet2!$B$10:$C$18,2,FALSE)</f>
        <v>#N/A</v>
      </c>
      <c r="Q72" s="67"/>
      <c r="R72" s="49"/>
      <c r="S72" s="49" t="e">
        <f>VLOOKUP(R72,Sheet2!$B$10:$C$18,2,FALSE)</f>
        <v>#N/A</v>
      </c>
      <c r="T72" s="67"/>
      <c r="U72" s="67">
        <f t="shared" si="6"/>
        <v>0</v>
      </c>
      <c r="V72" s="67"/>
      <c r="W72" s="67"/>
      <c r="X72" s="67"/>
      <c r="Y72" s="66"/>
      <c r="Z72" s="66"/>
      <c r="AA72" s="66"/>
      <c r="AB72" s="66"/>
      <c r="AC72" s="66"/>
      <c r="AD72" s="42" t="str">
        <f>IF($AA72&gt;$Z72,"เกินกำหนด","ทันกำหนด")</f>
        <v>ทันกำหนด</v>
      </c>
      <c r="AE72" s="43"/>
      <c r="AF72" s="43"/>
      <c r="AG72" s="43"/>
      <c r="AH72" s="44"/>
    </row>
    <row r="73" spans="1:34" ht="27.75" customHeight="1">
      <c r="A73" s="41">
        <v>70</v>
      </c>
      <c r="B73" s="66"/>
      <c r="C73" s="48"/>
      <c r="D73" s="48"/>
      <c r="E73" s="49"/>
      <c r="F73" s="49"/>
      <c r="G73" s="49">
        <f t="shared" si="5"/>
        <v>0</v>
      </c>
      <c r="H73" s="49" t="str">
        <f>IF($G73=0,"ครบ","ไม่ครบ")</f>
        <v>ครบ</v>
      </c>
      <c r="I73" s="49"/>
      <c r="J73" s="49" t="e">
        <f>VLOOKUP(I73,Sheet2!$B$10:$C$18,2,FALSE)</f>
        <v>#N/A</v>
      </c>
      <c r="K73" s="67"/>
      <c r="L73" s="49"/>
      <c r="M73" s="49" t="e">
        <f>VLOOKUP(L73,Sheet2!$B$10:$C$18,2,FALSE)</f>
        <v>#N/A</v>
      </c>
      <c r="N73" s="67"/>
      <c r="O73" s="49"/>
      <c r="P73" s="49" t="e">
        <f>VLOOKUP(O73,Sheet2!$B$10:$C$18,2,FALSE)</f>
        <v>#N/A</v>
      </c>
      <c r="Q73" s="67"/>
      <c r="R73" s="49"/>
      <c r="S73" s="49" t="e">
        <f>VLOOKUP(R73,Sheet2!$B$10:$C$18,2,FALSE)</f>
        <v>#N/A</v>
      </c>
      <c r="T73" s="67"/>
      <c r="U73" s="67">
        <f t="shared" si="6"/>
        <v>0</v>
      </c>
      <c r="V73" s="67"/>
      <c r="W73" s="67"/>
      <c r="X73" s="67"/>
      <c r="Y73" s="66"/>
      <c r="Z73" s="66"/>
      <c r="AA73" s="66"/>
      <c r="AB73" s="66"/>
      <c r="AC73" s="66"/>
      <c r="AD73" s="42" t="str">
        <f>IF($AA73&gt;$Z73,"เกินกำหนด","ทันกำหนด")</f>
        <v>ทันกำหนด</v>
      </c>
      <c r="AE73" s="43"/>
      <c r="AF73" s="43"/>
      <c r="AG73" s="43"/>
      <c r="AH73" s="44"/>
    </row>
    <row r="74" spans="1:34" ht="27.75" customHeight="1">
      <c r="A74" s="41">
        <v>71</v>
      </c>
      <c r="B74" s="66"/>
      <c r="C74" s="48"/>
      <c r="D74" s="48"/>
      <c r="E74" s="49"/>
      <c r="F74" s="49"/>
      <c r="G74" s="49">
        <f t="shared" si="5"/>
        <v>0</v>
      </c>
      <c r="H74" s="49" t="str">
        <f t="shared" si="4"/>
        <v>ครบ</v>
      </c>
      <c r="I74" s="49"/>
      <c r="J74" s="49" t="e">
        <f>VLOOKUP(I74,Sheet2!$B$10:$C$18,2,FALSE)</f>
        <v>#N/A</v>
      </c>
      <c r="K74" s="67"/>
      <c r="L74" s="49"/>
      <c r="M74" s="49" t="e">
        <f>VLOOKUP(L74,Sheet2!$B$10:$C$18,2,FALSE)</f>
        <v>#N/A</v>
      </c>
      <c r="N74" s="67"/>
      <c r="O74" s="49"/>
      <c r="P74" s="49" t="e">
        <f>VLOOKUP(O74,Sheet2!$B$10:$C$18,2,FALSE)</f>
        <v>#N/A</v>
      </c>
      <c r="Q74" s="67"/>
      <c r="R74" s="49"/>
      <c r="S74" s="49" t="e">
        <f>VLOOKUP(R74,Sheet2!$B$10:$C$18,2,FALSE)</f>
        <v>#N/A</v>
      </c>
      <c r="T74" s="67"/>
      <c r="U74" s="67">
        <f t="shared" si="6"/>
        <v>0</v>
      </c>
      <c r="V74" s="67"/>
      <c r="W74" s="67"/>
      <c r="X74" s="67"/>
      <c r="Y74" s="66"/>
      <c r="Z74" s="66"/>
      <c r="AA74" s="66"/>
      <c r="AB74" s="66"/>
      <c r="AC74" s="66"/>
      <c r="AD74" s="42" t="str">
        <f t="shared" si="7"/>
        <v>ทันกำหนด</v>
      </c>
      <c r="AE74" s="43"/>
      <c r="AF74" s="43"/>
      <c r="AG74" s="43"/>
      <c r="AH74" s="44"/>
    </row>
    <row r="75" spans="1:34" ht="27.75" customHeight="1">
      <c r="A75" s="41">
        <v>72</v>
      </c>
      <c r="B75" s="66"/>
      <c r="C75" s="48"/>
      <c r="D75" s="48"/>
      <c r="E75" s="49"/>
      <c r="F75" s="49"/>
      <c r="G75" s="49">
        <f t="shared" si="5"/>
        <v>0</v>
      </c>
      <c r="H75" s="49" t="str">
        <f t="shared" si="4"/>
        <v>ครบ</v>
      </c>
      <c r="I75" s="49"/>
      <c r="J75" s="49" t="e">
        <f>VLOOKUP(I75,Sheet2!$B$10:$C$18,2,FALSE)</f>
        <v>#N/A</v>
      </c>
      <c r="K75" s="67"/>
      <c r="L75" s="49"/>
      <c r="M75" s="49" t="e">
        <f>VLOOKUP(L75,Sheet2!$B$10:$C$18,2,FALSE)</f>
        <v>#N/A</v>
      </c>
      <c r="N75" s="67"/>
      <c r="O75" s="49"/>
      <c r="P75" s="49" t="e">
        <f>VLOOKUP(O75,Sheet2!$B$10:$C$18,2,FALSE)</f>
        <v>#N/A</v>
      </c>
      <c r="Q75" s="67"/>
      <c r="R75" s="49"/>
      <c r="S75" s="49" t="e">
        <f>VLOOKUP(R75,Sheet2!$B$10:$C$18,2,FALSE)</f>
        <v>#N/A</v>
      </c>
      <c r="T75" s="67"/>
      <c r="U75" s="67">
        <f t="shared" si="6"/>
        <v>0</v>
      </c>
      <c r="V75" s="67"/>
      <c r="W75" s="67"/>
      <c r="X75" s="67"/>
      <c r="Y75" s="66"/>
      <c r="Z75" s="66"/>
      <c r="AA75" s="66"/>
      <c r="AB75" s="66"/>
      <c r="AC75" s="66"/>
      <c r="AD75" s="42" t="str">
        <f t="shared" si="7"/>
        <v>ทันกำหนด</v>
      </c>
      <c r="AE75" s="43"/>
      <c r="AF75" s="43"/>
      <c r="AG75" s="43"/>
      <c r="AH75" s="44"/>
    </row>
    <row r="76" spans="1:34" ht="27.75" customHeight="1">
      <c r="A76" s="41">
        <v>73</v>
      </c>
      <c r="B76" s="66"/>
      <c r="C76" s="48"/>
      <c r="D76" s="48"/>
      <c r="E76" s="49"/>
      <c r="F76" s="49"/>
      <c r="G76" s="49">
        <f t="shared" si="5"/>
        <v>0</v>
      </c>
      <c r="H76" s="49" t="str">
        <f t="shared" si="4"/>
        <v>ครบ</v>
      </c>
      <c r="I76" s="49"/>
      <c r="J76" s="49" t="e">
        <f>VLOOKUP(I76,Sheet2!$B$10:$C$18,2,FALSE)</f>
        <v>#N/A</v>
      </c>
      <c r="K76" s="67"/>
      <c r="L76" s="49"/>
      <c r="M76" s="49" t="e">
        <f>VLOOKUP(L76,Sheet2!$B$10:$C$18,2,FALSE)</f>
        <v>#N/A</v>
      </c>
      <c r="N76" s="67"/>
      <c r="O76" s="49"/>
      <c r="P76" s="49" t="e">
        <f>VLOOKUP(O76,Sheet2!$B$10:$C$18,2,FALSE)</f>
        <v>#N/A</v>
      </c>
      <c r="Q76" s="67"/>
      <c r="R76" s="49"/>
      <c r="S76" s="49" t="e">
        <f>VLOOKUP(R76,Sheet2!$B$10:$C$18,2,FALSE)</f>
        <v>#N/A</v>
      </c>
      <c r="T76" s="67"/>
      <c r="U76" s="67">
        <f t="shared" si="6"/>
        <v>0</v>
      </c>
      <c r="V76" s="67"/>
      <c r="W76" s="67"/>
      <c r="X76" s="67"/>
      <c r="Y76" s="66"/>
      <c r="Z76" s="66"/>
      <c r="AA76" s="66"/>
      <c r="AB76" s="66"/>
      <c r="AC76" s="66"/>
      <c r="AD76" s="42" t="str">
        <f t="shared" si="7"/>
        <v>ทันกำหนด</v>
      </c>
      <c r="AE76" s="43"/>
      <c r="AF76" s="43"/>
      <c r="AG76" s="43"/>
      <c r="AH76" s="44"/>
    </row>
    <row r="77" spans="1:34" ht="27.75" customHeight="1">
      <c r="A77" s="41">
        <v>74</v>
      </c>
      <c r="B77" s="66"/>
      <c r="C77" s="48"/>
      <c r="D77" s="48"/>
      <c r="E77" s="49"/>
      <c r="F77" s="49"/>
      <c r="G77" s="49">
        <f t="shared" si="5"/>
        <v>0</v>
      </c>
      <c r="H77" s="49" t="str">
        <f t="shared" si="4"/>
        <v>ครบ</v>
      </c>
      <c r="I77" s="49"/>
      <c r="J77" s="49" t="e">
        <f>VLOOKUP(I77,Sheet2!$B$10:$C$18,2,FALSE)</f>
        <v>#N/A</v>
      </c>
      <c r="K77" s="67"/>
      <c r="L77" s="49"/>
      <c r="M77" s="49" t="e">
        <f>VLOOKUP(L77,Sheet2!$B$10:$C$18,2,FALSE)</f>
        <v>#N/A</v>
      </c>
      <c r="N77" s="67"/>
      <c r="O77" s="49"/>
      <c r="P77" s="49" t="e">
        <f>VLOOKUP(O77,Sheet2!$B$10:$C$18,2,FALSE)</f>
        <v>#N/A</v>
      </c>
      <c r="Q77" s="67"/>
      <c r="R77" s="49"/>
      <c r="S77" s="49" t="e">
        <f>VLOOKUP(R77,Sheet2!$B$10:$C$18,2,FALSE)</f>
        <v>#N/A</v>
      </c>
      <c r="T77" s="67"/>
      <c r="U77" s="67">
        <f t="shared" si="6"/>
        <v>0</v>
      </c>
      <c r="V77" s="67"/>
      <c r="W77" s="67"/>
      <c r="X77" s="67"/>
      <c r="Y77" s="66"/>
      <c r="Z77" s="66"/>
      <c r="AA77" s="66"/>
      <c r="AB77" s="66"/>
      <c r="AC77" s="66"/>
      <c r="AD77" s="42" t="str">
        <f t="shared" si="7"/>
        <v>ทันกำหนด</v>
      </c>
      <c r="AE77" s="43"/>
      <c r="AF77" s="43"/>
      <c r="AG77" s="43"/>
      <c r="AH77" s="44"/>
    </row>
    <row r="78" spans="1:34" ht="27.75" customHeight="1">
      <c r="A78" s="41">
        <v>75</v>
      </c>
      <c r="B78" s="66"/>
      <c r="C78" s="48"/>
      <c r="D78" s="48"/>
      <c r="E78" s="49"/>
      <c r="F78" s="49"/>
      <c r="G78" s="49">
        <f t="shared" si="5"/>
        <v>0</v>
      </c>
      <c r="H78" s="49" t="str">
        <f t="shared" si="4"/>
        <v>ครบ</v>
      </c>
      <c r="I78" s="49"/>
      <c r="J78" s="49" t="e">
        <f>VLOOKUP(I78,Sheet2!$B$10:$C$18,2,FALSE)</f>
        <v>#N/A</v>
      </c>
      <c r="K78" s="67"/>
      <c r="L78" s="49"/>
      <c r="M78" s="49" t="e">
        <f>VLOOKUP(L78,Sheet2!$B$10:$C$18,2,FALSE)</f>
        <v>#N/A</v>
      </c>
      <c r="N78" s="67"/>
      <c r="O78" s="49"/>
      <c r="P78" s="49" t="e">
        <f>VLOOKUP(O78,Sheet2!$B$10:$C$18,2,FALSE)</f>
        <v>#N/A</v>
      </c>
      <c r="Q78" s="67"/>
      <c r="R78" s="49"/>
      <c r="S78" s="49" t="e">
        <f>VLOOKUP(R78,Sheet2!$B$10:$C$18,2,FALSE)</f>
        <v>#N/A</v>
      </c>
      <c r="T78" s="67"/>
      <c r="U78" s="67">
        <f t="shared" si="6"/>
        <v>0</v>
      </c>
      <c r="V78" s="67"/>
      <c r="W78" s="67"/>
      <c r="X78" s="67"/>
      <c r="Y78" s="66"/>
      <c r="Z78" s="66"/>
      <c r="AA78" s="66"/>
      <c r="AB78" s="66"/>
      <c r="AC78" s="66"/>
      <c r="AD78" s="42" t="str">
        <f t="shared" si="7"/>
        <v>ทันกำหนด</v>
      </c>
      <c r="AE78" s="43"/>
      <c r="AF78" s="43"/>
      <c r="AG78" s="43"/>
      <c r="AH78" s="44"/>
    </row>
    <row r="79" spans="1:34" ht="27.75" customHeight="1">
      <c r="A79" s="41">
        <v>76</v>
      </c>
      <c r="B79" s="66"/>
      <c r="C79" s="48"/>
      <c r="D79" s="48"/>
      <c r="E79" s="49"/>
      <c r="F79" s="49"/>
      <c r="G79" s="49">
        <f t="shared" si="5"/>
        <v>0</v>
      </c>
      <c r="H79" s="49" t="str">
        <f t="shared" si="4"/>
        <v>ครบ</v>
      </c>
      <c r="I79" s="49"/>
      <c r="J79" s="49" t="e">
        <f>VLOOKUP(I79,Sheet2!$B$10:$C$18,2,FALSE)</f>
        <v>#N/A</v>
      </c>
      <c r="K79" s="67"/>
      <c r="L79" s="49"/>
      <c r="M79" s="49" t="e">
        <f>VLOOKUP(L79,Sheet2!$B$10:$C$18,2,FALSE)</f>
        <v>#N/A</v>
      </c>
      <c r="N79" s="67"/>
      <c r="O79" s="49"/>
      <c r="P79" s="49" t="e">
        <f>VLOOKUP(O79,Sheet2!$B$10:$C$18,2,FALSE)</f>
        <v>#N/A</v>
      </c>
      <c r="Q79" s="67"/>
      <c r="R79" s="49"/>
      <c r="S79" s="49" t="e">
        <f>VLOOKUP(R79,Sheet2!$B$10:$C$18,2,FALSE)</f>
        <v>#N/A</v>
      </c>
      <c r="T79" s="67"/>
      <c r="U79" s="67">
        <f t="shared" si="6"/>
        <v>0</v>
      </c>
      <c r="V79" s="67"/>
      <c r="W79" s="67"/>
      <c r="X79" s="67"/>
      <c r="Y79" s="66"/>
      <c r="Z79" s="66"/>
      <c r="AA79" s="66"/>
      <c r="AB79" s="66"/>
      <c r="AC79" s="66"/>
      <c r="AD79" s="42" t="str">
        <f t="shared" si="7"/>
        <v>ทันกำหนด</v>
      </c>
      <c r="AE79" s="43"/>
      <c r="AF79" s="43"/>
      <c r="AG79" s="43"/>
      <c r="AH79" s="44"/>
    </row>
    <row r="80" spans="1:34" ht="27.75" customHeight="1">
      <c r="A80" s="41">
        <v>77</v>
      </c>
      <c r="B80" s="66"/>
      <c r="C80" s="48"/>
      <c r="D80" s="48"/>
      <c r="E80" s="49"/>
      <c r="F80" s="49"/>
      <c r="G80" s="49">
        <f t="shared" si="5"/>
        <v>0</v>
      </c>
      <c r="H80" s="49" t="str">
        <f t="shared" si="4"/>
        <v>ครบ</v>
      </c>
      <c r="I80" s="49"/>
      <c r="J80" s="49" t="e">
        <f>VLOOKUP(I80,Sheet2!$B$10:$C$18,2,FALSE)</f>
        <v>#N/A</v>
      </c>
      <c r="K80" s="67"/>
      <c r="L80" s="49"/>
      <c r="M80" s="49" t="e">
        <f>VLOOKUP(L80,Sheet2!$B$10:$C$18,2,FALSE)</f>
        <v>#N/A</v>
      </c>
      <c r="N80" s="67"/>
      <c r="O80" s="49"/>
      <c r="P80" s="49" t="e">
        <f>VLOOKUP(O80,Sheet2!$B$10:$C$18,2,FALSE)</f>
        <v>#N/A</v>
      </c>
      <c r="Q80" s="67"/>
      <c r="R80" s="49"/>
      <c r="S80" s="49" t="e">
        <f>VLOOKUP(R80,Sheet2!$B$10:$C$18,2,FALSE)</f>
        <v>#N/A</v>
      </c>
      <c r="T80" s="67"/>
      <c r="U80" s="67">
        <f t="shared" si="6"/>
        <v>0</v>
      </c>
      <c r="V80" s="67"/>
      <c r="W80" s="67"/>
      <c r="X80" s="67"/>
      <c r="Y80" s="66"/>
      <c r="Z80" s="66"/>
      <c r="AA80" s="66"/>
      <c r="AB80" s="66"/>
      <c r="AC80" s="66"/>
      <c r="AD80" s="42" t="str">
        <f t="shared" si="7"/>
        <v>ทันกำหนด</v>
      </c>
      <c r="AE80" s="43"/>
      <c r="AF80" s="43"/>
      <c r="AG80" s="43"/>
      <c r="AH80" s="44"/>
    </row>
    <row r="81" spans="1:34" ht="27.75" customHeight="1">
      <c r="A81" s="41">
        <v>78</v>
      </c>
      <c r="B81" s="66"/>
      <c r="C81" s="48"/>
      <c r="D81" s="48"/>
      <c r="E81" s="49"/>
      <c r="F81" s="49"/>
      <c r="G81" s="49">
        <f t="shared" si="5"/>
        <v>0</v>
      </c>
      <c r="H81" s="49" t="str">
        <f t="shared" si="4"/>
        <v>ครบ</v>
      </c>
      <c r="I81" s="49"/>
      <c r="J81" s="49" t="e">
        <f>VLOOKUP(I81,Sheet2!$B$10:$C$18,2,FALSE)</f>
        <v>#N/A</v>
      </c>
      <c r="K81" s="67"/>
      <c r="L81" s="49"/>
      <c r="M81" s="49" t="e">
        <f>VLOOKUP(L81,Sheet2!$B$10:$C$18,2,FALSE)</f>
        <v>#N/A</v>
      </c>
      <c r="N81" s="67"/>
      <c r="O81" s="49"/>
      <c r="P81" s="49" t="e">
        <f>VLOOKUP(O81,Sheet2!$B$10:$C$18,2,FALSE)</f>
        <v>#N/A</v>
      </c>
      <c r="Q81" s="67"/>
      <c r="R81" s="49"/>
      <c r="S81" s="49" t="e">
        <f>VLOOKUP(R81,Sheet2!$B$10:$C$18,2,FALSE)</f>
        <v>#N/A</v>
      </c>
      <c r="T81" s="67"/>
      <c r="U81" s="67">
        <f t="shared" si="6"/>
        <v>0</v>
      </c>
      <c r="V81" s="67"/>
      <c r="W81" s="67"/>
      <c r="X81" s="67"/>
      <c r="Y81" s="66"/>
      <c r="Z81" s="66"/>
      <c r="AA81" s="66"/>
      <c r="AB81" s="66"/>
      <c r="AC81" s="66"/>
      <c r="AD81" s="42" t="str">
        <f t="shared" si="7"/>
        <v>ทันกำหนด</v>
      </c>
      <c r="AE81" s="43"/>
      <c r="AF81" s="43"/>
      <c r="AG81" s="43"/>
      <c r="AH81" s="44"/>
    </row>
    <row r="82" spans="1:34" ht="27.75" customHeight="1">
      <c r="A82" s="41">
        <v>79</v>
      </c>
      <c r="B82" s="66"/>
      <c r="C82" s="48"/>
      <c r="D82" s="48"/>
      <c r="E82" s="49"/>
      <c r="F82" s="49"/>
      <c r="G82" s="49">
        <f t="shared" si="5"/>
        <v>0</v>
      </c>
      <c r="H82" s="49" t="str">
        <f t="shared" si="4"/>
        <v>ครบ</v>
      </c>
      <c r="I82" s="49"/>
      <c r="J82" s="49" t="e">
        <f>VLOOKUP(I82,Sheet2!$B$10:$C$18,2,FALSE)</f>
        <v>#N/A</v>
      </c>
      <c r="K82" s="67"/>
      <c r="L82" s="49"/>
      <c r="M82" s="49" t="e">
        <f>VLOOKUP(L82,Sheet2!$B$10:$C$18,2,FALSE)</f>
        <v>#N/A</v>
      </c>
      <c r="N82" s="67"/>
      <c r="O82" s="49"/>
      <c r="P82" s="49" t="e">
        <f>VLOOKUP(O82,Sheet2!$B$10:$C$18,2,FALSE)</f>
        <v>#N/A</v>
      </c>
      <c r="Q82" s="67"/>
      <c r="R82" s="49"/>
      <c r="S82" s="49" t="e">
        <f>VLOOKUP(R82,Sheet2!$B$10:$C$18,2,FALSE)</f>
        <v>#N/A</v>
      </c>
      <c r="T82" s="67"/>
      <c r="U82" s="67">
        <f t="shared" si="6"/>
        <v>0</v>
      </c>
      <c r="V82" s="67"/>
      <c r="W82" s="67"/>
      <c r="X82" s="67"/>
      <c r="Y82" s="66"/>
      <c r="Z82" s="66"/>
      <c r="AA82" s="66"/>
      <c r="AB82" s="66"/>
      <c r="AC82" s="66"/>
      <c r="AD82" s="42" t="str">
        <f t="shared" si="7"/>
        <v>ทันกำหนด</v>
      </c>
      <c r="AE82" s="43"/>
      <c r="AF82" s="43"/>
      <c r="AG82" s="43"/>
      <c r="AH82" s="44"/>
    </row>
    <row r="83" spans="1:34" ht="27.75" customHeight="1">
      <c r="A83" s="41">
        <v>80</v>
      </c>
      <c r="B83" s="66"/>
      <c r="C83" s="48"/>
      <c r="D83" s="48"/>
      <c r="E83" s="49"/>
      <c r="F83" s="49"/>
      <c r="G83" s="49">
        <f t="shared" si="5"/>
        <v>0</v>
      </c>
      <c r="H83" s="49" t="str">
        <f t="shared" si="4"/>
        <v>ครบ</v>
      </c>
      <c r="I83" s="49"/>
      <c r="J83" s="49" t="e">
        <f>VLOOKUP(I83,Sheet2!$B$10:$C$18,2,FALSE)</f>
        <v>#N/A</v>
      </c>
      <c r="K83" s="67"/>
      <c r="L83" s="49"/>
      <c r="M83" s="49" t="e">
        <f>VLOOKUP(L83,Sheet2!$B$10:$C$18,2,FALSE)</f>
        <v>#N/A</v>
      </c>
      <c r="N83" s="67"/>
      <c r="O83" s="49"/>
      <c r="P83" s="49" t="e">
        <f>VLOOKUP(O83,Sheet2!$B$10:$C$18,2,FALSE)</f>
        <v>#N/A</v>
      </c>
      <c r="Q83" s="67"/>
      <c r="R83" s="49"/>
      <c r="S83" s="49" t="e">
        <f>VLOOKUP(R83,Sheet2!$B$10:$C$18,2,FALSE)</f>
        <v>#N/A</v>
      </c>
      <c r="T83" s="67"/>
      <c r="U83" s="67">
        <f t="shared" si="6"/>
        <v>0</v>
      </c>
      <c r="V83" s="67"/>
      <c r="W83" s="67"/>
      <c r="X83" s="67"/>
      <c r="Y83" s="66"/>
      <c r="Z83" s="66"/>
      <c r="AA83" s="66"/>
      <c r="AB83" s="66"/>
      <c r="AC83" s="66"/>
      <c r="AD83" s="42" t="str">
        <f t="shared" si="7"/>
        <v>ทันกำหนด</v>
      </c>
      <c r="AE83" s="43"/>
      <c r="AF83" s="43"/>
      <c r="AG83" s="43"/>
      <c r="AH83" s="44"/>
    </row>
    <row r="84" spans="1:34" ht="27.75" customHeight="1">
      <c r="A84" s="41">
        <v>81</v>
      </c>
      <c r="B84" s="66"/>
      <c r="C84" s="48"/>
      <c r="D84" s="48"/>
      <c r="E84" s="49"/>
      <c r="F84" s="49"/>
      <c r="G84" s="49">
        <f t="shared" si="5"/>
        <v>0</v>
      </c>
      <c r="H84" s="49" t="str">
        <f t="shared" si="4"/>
        <v>ครบ</v>
      </c>
      <c r="I84" s="49"/>
      <c r="J84" s="49" t="e">
        <f>VLOOKUP(I84,Sheet2!$B$10:$C$18,2,FALSE)</f>
        <v>#N/A</v>
      </c>
      <c r="K84" s="67"/>
      <c r="L84" s="49"/>
      <c r="M84" s="49" t="e">
        <f>VLOOKUP(L84,Sheet2!$B$10:$C$18,2,FALSE)</f>
        <v>#N/A</v>
      </c>
      <c r="N84" s="67"/>
      <c r="O84" s="49"/>
      <c r="P84" s="49" t="e">
        <f>VLOOKUP(O84,Sheet2!$B$10:$C$18,2,FALSE)</f>
        <v>#N/A</v>
      </c>
      <c r="Q84" s="67"/>
      <c r="R84" s="49"/>
      <c r="S84" s="49" t="e">
        <f>VLOOKUP(R84,Sheet2!$B$10:$C$18,2,FALSE)</f>
        <v>#N/A</v>
      </c>
      <c r="T84" s="67"/>
      <c r="U84" s="67">
        <f t="shared" si="6"/>
        <v>0</v>
      </c>
      <c r="V84" s="67"/>
      <c r="W84" s="67"/>
      <c r="X84" s="67"/>
      <c r="Y84" s="66"/>
      <c r="Z84" s="66"/>
      <c r="AA84" s="66"/>
      <c r="AB84" s="66"/>
      <c r="AC84" s="66"/>
      <c r="AD84" s="42" t="str">
        <f t="shared" si="7"/>
        <v>ทันกำหนด</v>
      </c>
      <c r="AE84" s="43"/>
      <c r="AF84" s="43"/>
      <c r="AG84" s="43"/>
      <c r="AH84" s="44"/>
    </row>
    <row r="85" spans="1:34" ht="27.75" customHeight="1">
      <c r="A85" s="41">
        <v>82</v>
      </c>
      <c r="B85" s="66"/>
      <c r="C85" s="48"/>
      <c r="D85" s="48"/>
      <c r="E85" s="49"/>
      <c r="F85" s="49"/>
      <c r="G85" s="49">
        <f t="shared" si="5"/>
        <v>0</v>
      </c>
      <c r="H85" s="49" t="str">
        <f t="shared" si="4"/>
        <v>ครบ</v>
      </c>
      <c r="I85" s="49"/>
      <c r="J85" s="49" t="e">
        <f>VLOOKUP(I85,Sheet2!$B$10:$C$18,2,FALSE)</f>
        <v>#N/A</v>
      </c>
      <c r="K85" s="67"/>
      <c r="L85" s="49"/>
      <c r="M85" s="49" t="e">
        <f>VLOOKUP(L85,Sheet2!$B$10:$C$18,2,FALSE)</f>
        <v>#N/A</v>
      </c>
      <c r="N85" s="67"/>
      <c r="O85" s="49"/>
      <c r="P85" s="49" t="e">
        <f>VLOOKUP(O85,Sheet2!$B$10:$C$18,2,FALSE)</f>
        <v>#N/A</v>
      </c>
      <c r="Q85" s="67"/>
      <c r="R85" s="49"/>
      <c r="S85" s="49" t="e">
        <f>VLOOKUP(R85,Sheet2!$B$10:$C$18,2,FALSE)</f>
        <v>#N/A</v>
      </c>
      <c r="T85" s="67"/>
      <c r="U85" s="67">
        <f t="shared" si="6"/>
        <v>0</v>
      </c>
      <c r="V85" s="67"/>
      <c r="W85" s="67"/>
      <c r="X85" s="67"/>
      <c r="Y85" s="66"/>
      <c r="Z85" s="66"/>
      <c r="AA85" s="66"/>
      <c r="AB85" s="66"/>
      <c r="AC85" s="66"/>
      <c r="AD85" s="42" t="str">
        <f t="shared" si="7"/>
        <v>ทันกำหนด</v>
      </c>
      <c r="AE85" s="43"/>
      <c r="AF85" s="43"/>
      <c r="AG85" s="43"/>
      <c r="AH85" s="44"/>
    </row>
    <row r="86" spans="1:34" ht="27.75" customHeight="1">
      <c r="A86" s="41">
        <v>83</v>
      </c>
      <c r="B86" s="66"/>
      <c r="C86" s="48"/>
      <c r="D86" s="48"/>
      <c r="E86" s="49"/>
      <c r="F86" s="49"/>
      <c r="G86" s="49">
        <f t="shared" si="5"/>
        <v>0</v>
      </c>
      <c r="H86" s="49" t="str">
        <f t="shared" si="4"/>
        <v>ครบ</v>
      </c>
      <c r="I86" s="49"/>
      <c r="J86" s="49" t="e">
        <f>VLOOKUP(I86,Sheet2!$B$10:$C$18,2,FALSE)</f>
        <v>#N/A</v>
      </c>
      <c r="K86" s="67"/>
      <c r="L86" s="49"/>
      <c r="M86" s="49" t="e">
        <f>VLOOKUP(L86,Sheet2!$B$10:$C$18,2,FALSE)</f>
        <v>#N/A</v>
      </c>
      <c r="N86" s="67"/>
      <c r="O86" s="49"/>
      <c r="P86" s="49" t="e">
        <f>VLOOKUP(O86,Sheet2!$B$10:$C$18,2,FALSE)</f>
        <v>#N/A</v>
      </c>
      <c r="Q86" s="67"/>
      <c r="R86" s="49"/>
      <c r="S86" s="49" t="e">
        <f>VLOOKUP(R86,Sheet2!$B$10:$C$18,2,FALSE)</f>
        <v>#N/A</v>
      </c>
      <c r="T86" s="67"/>
      <c r="U86" s="67">
        <f t="shared" si="6"/>
        <v>0</v>
      </c>
      <c r="V86" s="78"/>
      <c r="W86" s="78"/>
      <c r="X86" s="78"/>
      <c r="Y86" s="66"/>
      <c r="Z86" s="66"/>
      <c r="AA86" s="66"/>
      <c r="AB86" s="66"/>
      <c r="AC86" s="66"/>
      <c r="AD86" s="42" t="str">
        <f t="shared" si="7"/>
        <v>ทันกำหนด</v>
      </c>
      <c r="AE86" s="43"/>
      <c r="AF86" s="43"/>
      <c r="AG86" s="43"/>
      <c r="AH86" s="44"/>
    </row>
    <row r="87" spans="1:34" ht="27.75" customHeight="1">
      <c r="A87" s="41">
        <v>84</v>
      </c>
      <c r="B87" s="66"/>
      <c r="C87" s="48"/>
      <c r="D87" s="48"/>
      <c r="E87" s="49"/>
      <c r="F87" s="49"/>
      <c r="G87" s="49">
        <f t="shared" si="5"/>
        <v>0</v>
      </c>
      <c r="H87" s="49" t="str">
        <f t="shared" si="4"/>
        <v>ครบ</v>
      </c>
      <c r="I87" s="49"/>
      <c r="J87" s="49" t="e">
        <f>VLOOKUP(I87,Sheet2!$B$10:$C$18,2,FALSE)</f>
        <v>#N/A</v>
      </c>
      <c r="K87" s="67"/>
      <c r="L87" s="49"/>
      <c r="M87" s="49" t="e">
        <f>VLOOKUP(L87,Sheet2!$B$10:$C$18,2,FALSE)</f>
        <v>#N/A</v>
      </c>
      <c r="N87" s="67"/>
      <c r="O87" s="49"/>
      <c r="P87" s="49" t="e">
        <f>VLOOKUP(O87,Sheet2!$B$10:$C$18,2,FALSE)</f>
        <v>#N/A</v>
      </c>
      <c r="Q87" s="67"/>
      <c r="R87" s="49"/>
      <c r="S87" s="49" t="e">
        <f>VLOOKUP(R87,Sheet2!$B$10:$C$18,2,FALSE)</f>
        <v>#N/A</v>
      </c>
      <c r="T87" s="67"/>
      <c r="U87" s="67">
        <f t="shared" si="6"/>
        <v>0</v>
      </c>
      <c r="V87" s="67"/>
      <c r="W87" s="67"/>
      <c r="X87" s="67"/>
      <c r="Y87" s="66"/>
      <c r="Z87" s="66"/>
      <c r="AA87" s="66"/>
      <c r="AB87" s="66"/>
      <c r="AC87" s="66"/>
      <c r="AD87" s="42" t="str">
        <f t="shared" si="7"/>
        <v>ทันกำหนด</v>
      </c>
      <c r="AE87" s="43"/>
      <c r="AF87" s="43"/>
      <c r="AG87" s="43"/>
      <c r="AH87" s="44"/>
    </row>
    <row r="88" spans="1:34" ht="27.75" customHeight="1">
      <c r="A88" s="41">
        <v>85</v>
      </c>
      <c r="B88" s="66"/>
      <c r="C88" s="48"/>
      <c r="D88" s="48"/>
      <c r="E88" s="49"/>
      <c r="F88" s="49"/>
      <c r="G88" s="49">
        <f t="shared" si="5"/>
        <v>0</v>
      </c>
      <c r="H88" s="49" t="str">
        <f t="shared" si="4"/>
        <v>ครบ</v>
      </c>
      <c r="I88" s="49"/>
      <c r="J88" s="49" t="e">
        <f>VLOOKUP(I88,Sheet2!$B$10:$C$18,2,FALSE)</f>
        <v>#N/A</v>
      </c>
      <c r="K88" s="67"/>
      <c r="L88" s="49"/>
      <c r="M88" s="49" t="e">
        <f>VLOOKUP(L88,Sheet2!$B$10:$C$18,2,FALSE)</f>
        <v>#N/A</v>
      </c>
      <c r="N88" s="67"/>
      <c r="O88" s="49"/>
      <c r="P88" s="49" t="e">
        <f>VLOOKUP(O88,Sheet2!$B$10:$C$18,2,FALSE)</f>
        <v>#N/A</v>
      </c>
      <c r="Q88" s="67"/>
      <c r="R88" s="49"/>
      <c r="S88" s="49" t="e">
        <f>VLOOKUP(R88,Sheet2!$B$10:$C$18,2,FALSE)</f>
        <v>#N/A</v>
      </c>
      <c r="T88" s="67"/>
      <c r="U88" s="67">
        <f t="shared" si="6"/>
        <v>0</v>
      </c>
      <c r="V88" s="67"/>
      <c r="W88" s="67"/>
      <c r="X88" s="67"/>
      <c r="Y88" s="66"/>
      <c r="Z88" s="66"/>
      <c r="AA88" s="66"/>
      <c r="AB88" s="66"/>
      <c r="AC88" s="66"/>
      <c r="AD88" s="42" t="str">
        <f t="shared" si="7"/>
        <v>ทันกำหนด</v>
      </c>
      <c r="AE88" s="43"/>
      <c r="AF88" s="43"/>
      <c r="AG88" s="43"/>
      <c r="AH88" s="44"/>
    </row>
    <row r="89" spans="1:34" ht="27.75" customHeight="1">
      <c r="A89" s="41">
        <v>86</v>
      </c>
      <c r="B89" s="66"/>
      <c r="C89" s="48"/>
      <c r="D89" s="48"/>
      <c r="E89" s="49"/>
      <c r="F89" s="49"/>
      <c r="G89" s="49">
        <f t="shared" si="5"/>
        <v>0</v>
      </c>
      <c r="H89" s="49" t="str">
        <f t="shared" si="4"/>
        <v>ครบ</v>
      </c>
      <c r="I89" s="49"/>
      <c r="J89" s="49" t="e">
        <f>VLOOKUP(I89,Sheet2!$B$10:$C$18,2,FALSE)</f>
        <v>#N/A</v>
      </c>
      <c r="K89" s="67"/>
      <c r="L89" s="49"/>
      <c r="M89" s="49" t="e">
        <f>VLOOKUP(L89,Sheet2!$B$10:$C$18,2,FALSE)</f>
        <v>#N/A</v>
      </c>
      <c r="N89" s="67"/>
      <c r="O89" s="49"/>
      <c r="P89" s="49" t="e">
        <f>VLOOKUP(O89,Sheet2!$B$10:$C$18,2,FALSE)</f>
        <v>#N/A</v>
      </c>
      <c r="Q89" s="67"/>
      <c r="R89" s="49"/>
      <c r="S89" s="49" t="e">
        <f>VLOOKUP(R89,Sheet2!$B$10:$C$18,2,FALSE)</f>
        <v>#N/A</v>
      </c>
      <c r="T89" s="67"/>
      <c r="U89" s="67">
        <f t="shared" si="6"/>
        <v>0</v>
      </c>
      <c r="V89" s="67"/>
      <c r="W89" s="67"/>
      <c r="X89" s="67"/>
      <c r="Y89" s="66"/>
      <c r="Z89" s="66"/>
      <c r="AA89" s="66"/>
      <c r="AB89" s="66"/>
      <c r="AC89" s="66"/>
      <c r="AD89" s="42" t="str">
        <f t="shared" si="7"/>
        <v>ทันกำหนด</v>
      </c>
      <c r="AE89" s="43"/>
      <c r="AF89" s="43"/>
      <c r="AG89" s="43"/>
      <c r="AH89" s="44"/>
    </row>
    <row r="90" spans="1:34" ht="27.75" customHeight="1">
      <c r="A90" s="41">
        <v>87</v>
      </c>
      <c r="B90" s="66"/>
      <c r="C90" s="48"/>
      <c r="D90" s="48"/>
      <c r="E90" s="49"/>
      <c r="F90" s="49"/>
      <c r="G90" s="49">
        <f t="shared" si="5"/>
        <v>0</v>
      </c>
      <c r="H90" s="49" t="str">
        <f t="shared" si="4"/>
        <v>ครบ</v>
      </c>
      <c r="I90" s="49"/>
      <c r="J90" s="49" t="e">
        <f>VLOOKUP(I90,Sheet2!$B$10:$C$18,2,FALSE)</f>
        <v>#N/A</v>
      </c>
      <c r="K90" s="67"/>
      <c r="L90" s="49"/>
      <c r="M90" s="49" t="e">
        <f>VLOOKUP(L90,Sheet2!$B$10:$C$18,2,FALSE)</f>
        <v>#N/A</v>
      </c>
      <c r="N90" s="67"/>
      <c r="O90" s="49"/>
      <c r="P90" s="49" t="e">
        <f>VLOOKUP(O90,Sheet2!$B$10:$C$18,2,FALSE)</f>
        <v>#N/A</v>
      </c>
      <c r="Q90" s="67"/>
      <c r="R90" s="49"/>
      <c r="S90" s="49" t="e">
        <f>VLOOKUP(R90,Sheet2!$B$10:$C$18,2,FALSE)</f>
        <v>#N/A</v>
      </c>
      <c r="T90" s="67"/>
      <c r="U90" s="67">
        <f t="shared" si="6"/>
        <v>0</v>
      </c>
      <c r="V90" s="67"/>
      <c r="W90" s="67"/>
      <c r="X90" s="67"/>
      <c r="Y90" s="66"/>
      <c r="Z90" s="66"/>
      <c r="AA90" s="66"/>
      <c r="AB90" s="66"/>
      <c r="AC90" s="66"/>
      <c r="AD90" s="42" t="str">
        <f t="shared" si="7"/>
        <v>ทันกำหนด</v>
      </c>
      <c r="AE90" s="43"/>
      <c r="AF90" s="43"/>
      <c r="AG90" s="43"/>
      <c r="AH90" s="69"/>
    </row>
    <row r="91" spans="1:34" ht="27.75" customHeight="1">
      <c r="A91" s="41">
        <v>88</v>
      </c>
      <c r="B91" s="66"/>
      <c r="C91" s="48"/>
      <c r="D91" s="48"/>
      <c r="E91" s="49"/>
      <c r="F91" s="49"/>
      <c r="G91" s="49">
        <f t="shared" si="5"/>
        <v>0</v>
      </c>
      <c r="H91" s="49" t="str">
        <f t="shared" si="4"/>
        <v>ครบ</v>
      </c>
      <c r="I91" s="49"/>
      <c r="J91" s="49" t="e">
        <f>VLOOKUP(I91,Sheet2!$B$10:$C$18,2,FALSE)</f>
        <v>#N/A</v>
      </c>
      <c r="K91" s="67"/>
      <c r="L91" s="49"/>
      <c r="M91" s="49" t="e">
        <f>VLOOKUP(L91,Sheet2!$B$10:$C$18,2,FALSE)</f>
        <v>#N/A</v>
      </c>
      <c r="N91" s="67"/>
      <c r="O91" s="49"/>
      <c r="P91" s="49" t="e">
        <f>VLOOKUP(O91,Sheet2!$B$10:$C$18,2,FALSE)</f>
        <v>#N/A</v>
      </c>
      <c r="Q91" s="67"/>
      <c r="R91" s="49"/>
      <c r="S91" s="49" t="e">
        <f>VLOOKUP(R91,Sheet2!$B$10:$C$18,2,FALSE)</f>
        <v>#N/A</v>
      </c>
      <c r="T91" s="67"/>
      <c r="U91" s="67">
        <f t="shared" si="6"/>
        <v>0</v>
      </c>
      <c r="V91" s="67"/>
      <c r="W91" s="67"/>
      <c r="X91" s="67"/>
      <c r="Y91" s="66"/>
      <c r="Z91" s="66"/>
      <c r="AA91" s="66"/>
      <c r="AB91" s="66"/>
      <c r="AC91" s="66"/>
      <c r="AD91" s="42" t="str">
        <f t="shared" si="7"/>
        <v>ทันกำหนด</v>
      </c>
      <c r="AE91" s="43"/>
      <c r="AF91" s="43"/>
      <c r="AG91" s="43"/>
      <c r="AH91" s="44"/>
    </row>
    <row r="92" spans="1:34" ht="27.75" customHeight="1">
      <c r="A92" s="41">
        <v>89</v>
      </c>
      <c r="B92" s="66"/>
      <c r="C92" s="48"/>
      <c r="D92" s="48"/>
      <c r="E92" s="49"/>
      <c r="F92" s="49"/>
      <c r="G92" s="49">
        <f t="shared" si="5"/>
        <v>0</v>
      </c>
      <c r="H92" s="49" t="str">
        <f t="shared" si="4"/>
        <v>ครบ</v>
      </c>
      <c r="I92" s="49"/>
      <c r="J92" s="49" t="e">
        <f>VLOOKUP(I92,Sheet2!$B$10:$C$18,2,FALSE)</f>
        <v>#N/A</v>
      </c>
      <c r="K92" s="67"/>
      <c r="L92" s="49"/>
      <c r="M92" s="49" t="e">
        <f>VLOOKUP(L92,Sheet2!$B$10:$C$18,2,FALSE)</f>
        <v>#N/A</v>
      </c>
      <c r="N92" s="67"/>
      <c r="O92" s="49"/>
      <c r="P92" s="49" t="e">
        <f>VLOOKUP(O92,Sheet2!$B$10:$C$18,2,FALSE)</f>
        <v>#N/A</v>
      </c>
      <c r="Q92" s="67"/>
      <c r="R92" s="49"/>
      <c r="S92" s="49" t="e">
        <f>VLOOKUP(R92,Sheet2!$B$10:$C$18,2,FALSE)</f>
        <v>#N/A</v>
      </c>
      <c r="T92" s="67"/>
      <c r="U92" s="67">
        <f t="shared" si="6"/>
        <v>0</v>
      </c>
      <c r="V92" s="67"/>
      <c r="W92" s="67"/>
      <c r="X92" s="67"/>
      <c r="Y92" s="66"/>
      <c r="Z92" s="66"/>
      <c r="AA92" s="66"/>
      <c r="AB92" s="66"/>
      <c r="AC92" s="66"/>
      <c r="AD92" s="42" t="str">
        <f t="shared" si="7"/>
        <v>ทันกำหนด</v>
      </c>
      <c r="AE92" s="43"/>
      <c r="AF92" s="43"/>
      <c r="AG92" s="43"/>
      <c r="AH92" s="44"/>
    </row>
    <row r="93" spans="1:34" ht="27.75" customHeight="1">
      <c r="A93" s="41">
        <v>90</v>
      </c>
      <c r="B93" s="66"/>
      <c r="C93" s="48"/>
      <c r="D93" s="48"/>
      <c r="E93" s="49"/>
      <c r="F93" s="49"/>
      <c r="G93" s="49">
        <f t="shared" si="5"/>
        <v>0</v>
      </c>
      <c r="H93" s="49" t="str">
        <f t="shared" si="4"/>
        <v>ครบ</v>
      </c>
      <c r="I93" s="49"/>
      <c r="J93" s="49" t="e">
        <f>VLOOKUP(I93,Sheet2!$B$10:$C$18,2,FALSE)</f>
        <v>#N/A</v>
      </c>
      <c r="K93" s="67"/>
      <c r="L93" s="49"/>
      <c r="M93" s="49" t="e">
        <f>VLOOKUP(L93,Sheet2!$B$10:$C$18,2,FALSE)</f>
        <v>#N/A</v>
      </c>
      <c r="N93" s="67"/>
      <c r="O93" s="49"/>
      <c r="P93" s="49" t="e">
        <f>VLOOKUP(O93,Sheet2!$B$10:$C$18,2,FALSE)</f>
        <v>#N/A</v>
      </c>
      <c r="Q93" s="67"/>
      <c r="R93" s="49"/>
      <c r="S93" s="49" t="e">
        <f>VLOOKUP(R93,Sheet2!$B$10:$C$18,2,FALSE)</f>
        <v>#N/A</v>
      </c>
      <c r="T93" s="67"/>
      <c r="U93" s="67">
        <f t="shared" si="6"/>
        <v>0</v>
      </c>
      <c r="V93" s="67"/>
      <c r="W93" s="67"/>
      <c r="X93" s="67"/>
      <c r="Y93" s="66"/>
      <c r="Z93" s="66"/>
      <c r="AA93" s="66"/>
      <c r="AB93" s="66"/>
      <c r="AC93" s="66"/>
      <c r="AD93" s="42" t="str">
        <f t="shared" si="7"/>
        <v>ทันกำหนด</v>
      </c>
      <c r="AE93" s="43"/>
      <c r="AF93" s="43"/>
      <c r="AG93" s="43"/>
      <c r="AH93" s="44"/>
    </row>
    <row r="94" spans="1:34" ht="27.75" customHeight="1">
      <c r="A94" s="41">
        <v>91</v>
      </c>
      <c r="B94" s="66"/>
      <c r="C94" s="48"/>
      <c r="D94" s="48"/>
      <c r="E94" s="49"/>
      <c r="F94" s="49"/>
      <c r="G94" s="49">
        <f t="shared" si="5"/>
        <v>0</v>
      </c>
      <c r="H94" s="49" t="str">
        <f t="shared" si="4"/>
        <v>ครบ</v>
      </c>
      <c r="I94" s="49"/>
      <c r="J94" s="49" t="e">
        <f>VLOOKUP(I94,Sheet2!$B$10:$C$18,2,FALSE)</f>
        <v>#N/A</v>
      </c>
      <c r="K94" s="67"/>
      <c r="L94" s="49"/>
      <c r="M94" s="49" t="e">
        <f>VLOOKUP(L94,Sheet2!$B$10:$C$18,2,FALSE)</f>
        <v>#N/A</v>
      </c>
      <c r="N94" s="67"/>
      <c r="O94" s="49"/>
      <c r="P94" s="49" t="e">
        <f>VLOOKUP(O94,Sheet2!$B$10:$C$18,2,FALSE)</f>
        <v>#N/A</v>
      </c>
      <c r="Q94" s="67"/>
      <c r="R94" s="49"/>
      <c r="S94" s="49" t="e">
        <f>VLOOKUP(R94,Sheet2!$B$10:$C$18,2,FALSE)</f>
        <v>#N/A</v>
      </c>
      <c r="T94" s="67"/>
      <c r="U94" s="67">
        <f t="shared" si="6"/>
        <v>0</v>
      </c>
      <c r="V94" s="67"/>
      <c r="W94" s="67"/>
      <c r="X94" s="67"/>
      <c r="Y94" s="66"/>
      <c r="Z94" s="66"/>
      <c r="AA94" s="66"/>
      <c r="AB94" s="66"/>
      <c r="AC94" s="66"/>
      <c r="AD94" s="42" t="str">
        <f t="shared" si="7"/>
        <v>ทันกำหนด</v>
      </c>
      <c r="AE94" s="43"/>
      <c r="AF94" s="43"/>
      <c r="AG94" s="43"/>
      <c r="AH94" s="44"/>
    </row>
    <row r="95" spans="1:34" ht="27.75" customHeight="1">
      <c r="A95" s="41">
        <v>92</v>
      </c>
      <c r="B95" s="66"/>
      <c r="C95" s="48"/>
      <c r="D95" s="48"/>
      <c r="E95" s="49"/>
      <c r="F95" s="49"/>
      <c r="G95" s="49">
        <f t="shared" si="5"/>
        <v>0</v>
      </c>
      <c r="H95" s="49" t="str">
        <f t="shared" si="4"/>
        <v>ครบ</v>
      </c>
      <c r="I95" s="49"/>
      <c r="J95" s="49" t="e">
        <f>VLOOKUP(I95,Sheet2!$B$10:$C$18,2,FALSE)</f>
        <v>#N/A</v>
      </c>
      <c r="K95" s="67"/>
      <c r="L95" s="49"/>
      <c r="M95" s="49" t="e">
        <f>VLOOKUP(L95,Sheet2!$B$10:$C$18,2,FALSE)</f>
        <v>#N/A</v>
      </c>
      <c r="N95" s="67"/>
      <c r="O95" s="49"/>
      <c r="P95" s="49" t="e">
        <f>VLOOKUP(O95,Sheet2!$B$10:$C$18,2,FALSE)</f>
        <v>#N/A</v>
      </c>
      <c r="Q95" s="67"/>
      <c r="R95" s="49"/>
      <c r="S95" s="49" t="e">
        <f>VLOOKUP(R95,Sheet2!$B$10:$C$18,2,FALSE)</f>
        <v>#N/A</v>
      </c>
      <c r="T95" s="67"/>
      <c r="U95" s="67">
        <f t="shared" si="6"/>
        <v>0</v>
      </c>
      <c r="V95" s="67"/>
      <c r="W95" s="67"/>
      <c r="X95" s="67"/>
      <c r="Y95" s="66"/>
      <c r="Z95" s="66"/>
      <c r="AA95" s="66"/>
      <c r="AB95" s="66"/>
      <c r="AC95" s="66"/>
      <c r="AD95" s="42" t="str">
        <f t="shared" si="7"/>
        <v>ทันกำหนด</v>
      </c>
      <c r="AE95" s="43"/>
      <c r="AF95" s="43"/>
      <c r="AG95" s="43"/>
      <c r="AH95" s="69"/>
    </row>
    <row r="96" spans="1:34" ht="27.75" customHeight="1">
      <c r="A96" s="41">
        <v>93</v>
      </c>
      <c r="B96" s="66"/>
      <c r="C96" s="48"/>
      <c r="D96" s="48"/>
      <c r="E96" s="49"/>
      <c r="F96" s="49"/>
      <c r="G96" s="49">
        <f t="shared" si="5"/>
        <v>0</v>
      </c>
      <c r="H96" s="49" t="str">
        <f t="shared" si="4"/>
        <v>ครบ</v>
      </c>
      <c r="I96" s="49"/>
      <c r="J96" s="49" t="e">
        <f>VLOOKUP(I96,Sheet2!$B$10:$C$18,2,FALSE)</f>
        <v>#N/A</v>
      </c>
      <c r="K96" s="67"/>
      <c r="L96" s="49"/>
      <c r="M96" s="49" t="e">
        <f>VLOOKUP(L96,Sheet2!$B$10:$C$18,2,FALSE)</f>
        <v>#N/A</v>
      </c>
      <c r="N96" s="67"/>
      <c r="O96" s="49"/>
      <c r="P96" s="49" t="e">
        <f>VLOOKUP(O96,Sheet2!$B$10:$C$18,2,FALSE)</f>
        <v>#N/A</v>
      </c>
      <c r="Q96" s="67"/>
      <c r="R96" s="49"/>
      <c r="S96" s="49" t="e">
        <f>VLOOKUP(R96,Sheet2!$B$10:$C$18,2,FALSE)</f>
        <v>#N/A</v>
      </c>
      <c r="T96" s="67"/>
      <c r="U96" s="67">
        <f t="shared" si="6"/>
        <v>0</v>
      </c>
      <c r="V96" s="67"/>
      <c r="W96" s="67"/>
      <c r="X96" s="67"/>
      <c r="Y96" s="66"/>
      <c r="Z96" s="66"/>
      <c r="AA96" s="66"/>
      <c r="AB96" s="66"/>
      <c r="AC96" s="66"/>
      <c r="AD96" s="42" t="str">
        <f t="shared" si="7"/>
        <v>ทันกำหนด</v>
      </c>
      <c r="AE96" s="43"/>
      <c r="AF96" s="43"/>
      <c r="AG96" s="43"/>
      <c r="AH96" s="44"/>
    </row>
    <row r="97" spans="1:34" ht="27.75" customHeight="1">
      <c r="A97" s="41">
        <v>94</v>
      </c>
      <c r="B97" s="66"/>
      <c r="C97" s="48"/>
      <c r="D97" s="48"/>
      <c r="E97" s="49"/>
      <c r="F97" s="49"/>
      <c r="G97" s="49">
        <f t="shared" si="5"/>
        <v>0</v>
      </c>
      <c r="H97" s="49" t="str">
        <f t="shared" si="4"/>
        <v>ครบ</v>
      </c>
      <c r="I97" s="49"/>
      <c r="J97" s="49" t="e">
        <f>VLOOKUP(I97,Sheet2!$B$10:$C$18,2,FALSE)</f>
        <v>#N/A</v>
      </c>
      <c r="K97" s="67"/>
      <c r="L97" s="49"/>
      <c r="M97" s="49" t="e">
        <f>VLOOKUP(L97,Sheet2!$B$10:$C$18,2,FALSE)</f>
        <v>#N/A</v>
      </c>
      <c r="N97" s="67"/>
      <c r="O97" s="49"/>
      <c r="P97" s="49" t="e">
        <f>VLOOKUP(O97,Sheet2!$B$10:$C$18,2,FALSE)</f>
        <v>#N/A</v>
      </c>
      <c r="Q97" s="67"/>
      <c r="R97" s="49"/>
      <c r="S97" s="49" t="e">
        <f>VLOOKUP(R97,Sheet2!$B$10:$C$18,2,FALSE)</f>
        <v>#N/A</v>
      </c>
      <c r="T97" s="67"/>
      <c r="U97" s="67">
        <f t="shared" si="6"/>
        <v>0</v>
      </c>
      <c r="V97" s="67"/>
      <c r="W97" s="67"/>
      <c r="X97" s="67"/>
      <c r="Y97" s="66"/>
      <c r="Z97" s="66"/>
      <c r="AA97" s="66"/>
      <c r="AB97" s="66"/>
      <c r="AC97" s="66"/>
      <c r="AD97" s="42" t="str">
        <f t="shared" si="7"/>
        <v>ทันกำหนด</v>
      </c>
      <c r="AE97" s="43"/>
      <c r="AF97" s="43"/>
      <c r="AG97" s="43"/>
      <c r="AH97" s="44"/>
    </row>
    <row r="98" spans="1:34" ht="27.75" customHeight="1">
      <c r="A98" s="41">
        <v>95</v>
      </c>
      <c r="B98" s="66"/>
      <c r="C98" s="48"/>
      <c r="D98" s="48"/>
      <c r="E98" s="49"/>
      <c r="F98" s="49"/>
      <c r="G98" s="49">
        <f t="shared" si="5"/>
        <v>0</v>
      </c>
      <c r="H98" s="49" t="str">
        <f t="shared" si="4"/>
        <v>ครบ</v>
      </c>
      <c r="I98" s="49"/>
      <c r="J98" s="49" t="e">
        <f>VLOOKUP(I98,Sheet2!$B$10:$C$18,2,FALSE)</f>
        <v>#N/A</v>
      </c>
      <c r="K98" s="67"/>
      <c r="L98" s="49"/>
      <c r="M98" s="49" t="e">
        <f>VLOOKUP(L98,Sheet2!$B$10:$C$18,2,FALSE)</f>
        <v>#N/A</v>
      </c>
      <c r="N98" s="67"/>
      <c r="O98" s="49"/>
      <c r="P98" s="49" t="e">
        <f>VLOOKUP(O98,Sheet2!$B$10:$C$18,2,FALSE)</f>
        <v>#N/A</v>
      </c>
      <c r="Q98" s="67"/>
      <c r="R98" s="49"/>
      <c r="S98" s="49" t="e">
        <f>VLOOKUP(R98,Sheet2!$B$10:$C$18,2,FALSE)</f>
        <v>#N/A</v>
      </c>
      <c r="T98" s="67"/>
      <c r="U98" s="67">
        <f t="shared" si="6"/>
        <v>0</v>
      </c>
      <c r="V98" s="67"/>
      <c r="W98" s="67"/>
      <c r="X98" s="67"/>
      <c r="Y98" s="66"/>
      <c r="Z98" s="66"/>
      <c r="AA98" s="66"/>
      <c r="AB98" s="66"/>
      <c r="AC98" s="66"/>
      <c r="AD98" s="42" t="str">
        <f t="shared" si="7"/>
        <v>ทันกำหนด</v>
      </c>
      <c r="AE98" s="43"/>
      <c r="AF98" s="43"/>
      <c r="AG98" s="43"/>
      <c r="AH98" s="44"/>
    </row>
    <row r="99" spans="1:34" ht="27.75" customHeight="1">
      <c r="A99" s="41">
        <v>96</v>
      </c>
      <c r="B99" s="66"/>
      <c r="C99" s="48"/>
      <c r="D99" s="48"/>
      <c r="E99" s="49"/>
      <c r="F99" s="49"/>
      <c r="G99" s="49">
        <f t="shared" si="5"/>
        <v>0</v>
      </c>
      <c r="H99" s="49" t="str">
        <f t="shared" si="4"/>
        <v>ครบ</v>
      </c>
      <c r="I99" s="49"/>
      <c r="J99" s="49" t="e">
        <f>VLOOKUP(I99,Sheet2!$B$10:$C$18,2,FALSE)</f>
        <v>#N/A</v>
      </c>
      <c r="K99" s="67"/>
      <c r="L99" s="49"/>
      <c r="M99" s="49" t="e">
        <f>VLOOKUP(L99,Sheet2!$B$10:$C$18,2,FALSE)</f>
        <v>#N/A</v>
      </c>
      <c r="N99" s="67"/>
      <c r="O99" s="49"/>
      <c r="P99" s="49" t="e">
        <f>VLOOKUP(O99,Sheet2!$B$10:$C$18,2,FALSE)</f>
        <v>#N/A</v>
      </c>
      <c r="Q99" s="67"/>
      <c r="R99" s="49"/>
      <c r="S99" s="49" t="e">
        <f>VLOOKUP(R99,Sheet2!$B$10:$C$18,2,FALSE)</f>
        <v>#N/A</v>
      </c>
      <c r="T99" s="67"/>
      <c r="U99" s="67">
        <f t="shared" si="6"/>
        <v>0</v>
      </c>
      <c r="V99" s="67"/>
      <c r="W99" s="67"/>
      <c r="X99" s="67"/>
      <c r="Y99" s="66"/>
      <c r="Z99" s="66"/>
      <c r="AA99" s="66"/>
      <c r="AB99" s="66"/>
      <c r="AC99" s="66"/>
      <c r="AD99" s="42" t="str">
        <f t="shared" si="7"/>
        <v>ทันกำหนด</v>
      </c>
      <c r="AE99" s="43"/>
      <c r="AF99" s="43"/>
      <c r="AG99" s="43"/>
      <c r="AH99" s="44"/>
    </row>
    <row r="100" spans="1:34" ht="27.75" customHeight="1">
      <c r="A100" s="41">
        <v>97</v>
      </c>
      <c r="B100" s="66"/>
      <c r="C100" s="48"/>
      <c r="D100" s="48"/>
      <c r="E100" s="49"/>
      <c r="F100" s="49"/>
      <c r="G100" s="49">
        <f t="shared" si="5"/>
        <v>0</v>
      </c>
      <c r="H100" s="49" t="str">
        <f t="shared" si="4"/>
        <v>ครบ</v>
      </c>
      <c r="I100" s="49"/>
      <c r="J100" s="49" t="e">
        <f>VLOOKUP(I100,Sheet2!$B$10:$C$18,2,FALSE)</f>
        <v>#N/A</v>
      </c>
      <c r="K100" s="67"/>
      <c r="L100" s="49"/>
      <c r="M100" s="49" t="e">
        <f>VLOOKUP(L100,Sheet2!$B$10:$C$18,2,FALSE)</f>
        <v>#N/A</v>
      </c>
      <c r="N100" s="67"/>
      <c r="O100" s="49"/>
      <c r="P100" s="49" t="e">
        <f>VLOOKUP(O100,Sheet2!$B$10:$C$18,2,FALSE)</f>
        <v>#N/A</v>
      </c>
      <c r="Q100" s="67"/>
      <c r="R100" s="49"/>
      <c r="S100" s="49" t="e">
        <f>VLOOKUP(R100,Sheet2!$B$10:$C$18,2,FALSE)</f>
        <v>#N/A</v>
      </c>
      <c r="T100" s="67"/>
      <c r="U100" s="67">
        <f t="shared" si="6"/>
        <v>0</v>
      </c>
      <c r="V100" s="67"/>
      <c r="W100" s="67"/>
      <c r="X100" s="67"/>
      <c r="Y100" s="66"/>
      <c r="Z100" s="66"/>
      <c r="AA100" s="66"/>
      <c r="AB100" s="66"/>
      <c r="AC100" s="66"/>
      <c r="AD100" s="42" t="str">
        <f t="shared" si="7"/>
        <v>ทันกำหนด</v>
      </c>
      <c r="AE100" s="43"/>
      <c r="AF100" s="43"/>
      <c r="AG100" s="43"/>
      <c r="AH100" s="44"/>
    </row>
    <row r="101" spans="1:34" ht="27.75" customHeight="1">
      <c r="A101" s="41">
        <v>98</v>
      </c>
      <c r="B101" s="66"/>
      <c r="C101" s="48"/>
      <c r="D101" s="48"/>
      <c r="E101" s="49"/>
      <c r="F101" s="49"/>
      <c r="G101" s="49">
        <f t="shared" si="5"/>
        <v>0</v>
      </c>
      <c r="H101" s="49" t="str">
        <f t="shared" si="4"/>
        <v>ครบ</v>
      </c>
      <c r="I101" s="49"/>
      <c r="J101" s="49" t="e">
        <f>VLOOKUP(I101,Sheet2!$B$10:$C$18,2,FALSE)</f>
        <v>#N/A</v>
      </c>
      <c r="K101" s="67"/>
      <c r="L101" s="49"/>
      <c r="M101" s="49" t="e">
        <f>VLOOKUP(L101,Sheet2!$B$10:$C$18,2,FALSE)</f>
        <v>#N/A</v>
      </c>
      <c r="N101" s="67"/>
      <c r="O101" s="49"/>
      <c r="P101" s="49" t="e">
        <f>VLOOKUP(O101,Sheet2!$B$10:$C$18,2,FALSE)</f>
        <v>#N/A</v>
      </c>
      <c r="Q101" s="67"/>
      <c r="R101" s="49"/>
      <c r="S101" s="49" t="e">
        <f>VLOOKUP(R101,Sheet2!$B$10:$C$18,2,FALSE)</f>
        <v>#N/A</v>
      </c>
      <c r="T101" s="67"/>
      <c r="U101" s="67">
        <f t="shared" si="6"/>
        <v>0</v>
      </c>
      <c r="V101" s="67"/>
      <c r="W101" s="67"/>
      <c r="X101" s="67"/>
      <c r="Y101" s="66"/>
      <c r="Z101" s="66"/>
      <c r="AA101" s="66"/>
      <c r="AB101" s="66"/>
      <c r="AC101" s="66"/>
      <c r="AD101" s="42" t="str">
        <f t="shared" si="7"/>
        <v>ทันกำหนด</v>
      </c>
      <c r="AE101" s="43"/>
      <c r="AF101" s="43"/>
      <c r="AG101" s="43"/>
      <c r="AH101" s="44"/>
    </row>
    <row r="102" spans="1:34" ht="27.75" customHeight="1">
      <c r="A102" s="41">
        <v>99</v>
      </c>
      <c r="B102" s="66"/>
      <c r="C102" s="48"/>
      <c r="D102" s="48"/>
      <c r="E102" s="49"/>
      <c r="F102" s="49"/>
      <c r="G102" s="49">
        <f t="shared" si="5"/>
        <v>0</v>
      </c>
      <c r="H102" s="49" t="str">
        <f t="shared" si="4"/>
        <v>ครบ</v>
      </c>
      <c r="I102" s="49"/>
      <c r="J102" s="49" t="e">
        <f>VLOOKUP(I102,Sheet2!$B$10:$C$18,2,FALSE)</f>
        <v>#N/A</v>
      </c>
      <c r="K102" s="67"/>
      <c r="L102" s="49"/>
      <c r="M102" s="49" t="e">
        <f>VLOOKUP(L102,Sheet2!$B$10:$C$18,2,FALSE)</f>
        <v>#N/A</v>
      </c>
      <c r="N102" s="67"/>
      <c r="O102" s="49"/>
      <c r="P102" s="49" t="e">
        <f>VLOOKUP(O102,Sheet2!$B$10:$C$18,2,FALSE)</f>
        <v>#N/A</v>
      </c>
      <c r="Q102" s="67"/>
      <c r="R102" s="49"/>
      <c r="S102" s="49" t="e">
        <f>VLOOKUP(R102,Sheet2!$B$10:$C$18,2,FALSE)</f>
        <v>#N/A</v>
      </c>
      <c r="T102" s="67"/>
      <c r="U102" s="67">
        <f t="shared" si="6"/>
        <v>0</v>
      </c>
      <c r="V102" s="67"/>
      <c r="W102" s="67"/>
      <c r="X102" s="67"/>
      <c r="Y102" s="66"/>
      <c r="Z102" s="66"/>
      <c r="AA102" s="66"/>
      <c r="AB102" s="66"/>
      <c r="AC102" s="66"/>
      <c r="AD102" s="42" t="str">
        <f t="shared" si="7"/>
        <v>ทันกำหนด</v>
      </c>
      <c r="AE102" s="43"/>
      <c r="AF102" s="43"/>
      <c r="AG102" s="43"/>
      <c r="AH102" s="44"/>
    </row>
    <row r="103" spans="1:34" ht="27.75" customHeight="1">
      <c r="A103" s="41">
        <v>100</v>
      </c>
      <c r="B103" s="66"/>
      <c r="C103" s="48"/>
      <c r="D103" s="48"/>
      <c r="E103" s="49"/>
      <c r="F103" s="49"/>
      <c r="G103" s="49">
        <f t="shared" si="5"/>
        <v>0</v>
      </c>
      <c r="H103" s="49" t="str">
        <f t="shared" si="4"/>
        <v>ครบ</v>
      </c>
      <c r="I103" s="49"/>
      <c r="J103" s="49" t="e">
        <f>VLOOKUP(I103,Sheet2!$B$10:$C$18,2,FALSE)</f>
        <v>#N/A</v>
      </c>
      <c r="K103" s="67"/>
      <c r="L103" s="49"/>
      <c r="M103" s="49" t="e">
        <f>VLOOKUP(L103,Sheet2!$B$10:$C$18,2,FALSE)</f>
        <v>#N/A</v>
      </c>
      <c r="N103" s="67"/>
      <c r="O103" s="49"/>
      <c r="P103" s="49" t="e">
        <f>VLOOKUP(O103,Sheet2!$B$10:$C$18,2,FALSE)</f>
        <v>#N/A</v>
      </c>
      <c r="Q103" s="67"/>
      <c r="R103" s="49"/>
      <c r="S103" s="49" t="e">
        <f>VLOOKUP(R103,Sheet2!$B$10:$C$18,2,FALSE)</f>
        <v>#N/A</v>
      </c>
      <c r="T103" s="67"/>
      <c r="U103" s="67">
        <f t="shared" si="6"/>
        <v>0</v>
      </c>
      <c r="V103" s="67"/>
      <c r="W103" s="67"/>
      <c r="X103" s="67"/>
      <c r="Y103" s="66"/>
      <c r="Z103" s="66"/>
      <c r="AA103" s="66"/>
      <c r="AB103" s="66"/>
      <c r="AC103" s="66"/>
      <c r="AD103" s="42" t="str">
        <f t="shared" si="7"/>
        <v>ทันกำหนด</v>
      </c>
      <c r="AE103" s="43"/>
      <c r="AF103" s="43"/>
      <c r="AG103" s="43"/>
      <c r="AH103" s="44"/>
    </row>
    <row r="104" spans="1:34" ht="27.75" customHeight="1">
      <c r="A104" s="41">
        <v>101</v>
      </c>
      <c r="B104" s="66"/>
      <c r="C104" s="48"/>
      <c r="D104" s="48"/>
      <c r="E104" s="49"/>
      <c r="F104" s="49"/>
      <c r="G104" s="49">
        <f t="shared" si="5"/>
        <v>0</v>
      </c>
      <c r="H104" s="49" t="str">
        <f t="shared" si="4"/>
        <v>ครบ</v>
      </c>
      <c r="I104" s="49"/>
      <c r="J104" s="49" t="e">
        <f>VLOOKUP(I104,Sheet2!$B$10:$C$18,2,FALSE)</f>
        <v>#N/A</v>
      </c>
      <c r="K104" s="67"/>
      <c r="L104" s="49"/>
      <c r="M104" s="49" t="e">
        <f>VLOOKUP(L104,Sheet2!$B$10:$C$18,2,FALSE)</f>
        <v>#N/A</v>
      </c>
      <c r="N104" s="67"/>
      <c r="O104" s="49"/>
      <c r="P104" s="49" t="e">
        <f>VLOOKUP(O104,Sheet2!$B$10:$C$18,2,FALSE)</f>
        <v>#N/A</v>
      </c>
      <c r="Q104" s="67"/>
      <c r="R104" s="49"/>
      <c r="S104" s="49" t="e">
        <f>VLOOKUP(R104,Sheet2!$B$10:$C$18,2,FALSE)</f>
        <v>#N/A</v>
      </c>
      <c r="T104" s="67"/>
      <c r="U104" s="67">
        <f t="shared" si="6"/>
        <v>0</v>
      </c>
      <c r="V104" s="67"/>
      <c r="W104" s="67"/>
      <c r="X104" s="67"/>
      <c r="Y104" s="66"/>
      <c r="Z104" s="66"/>
      <c r="AA104" s="66"/>
      <c r="AB104" s="66"/>
      <c r="AC104" s="66"/>
      <c r="AD104" s="42" t="str">
        <f t="shared" si="7"/>
        <v>ทันกำหนด</v>
      </c>
      <c r="AE104" s="43"/>
      <c r="AF104" s="43"/>
      <c r="AG104" s="43"/>
      <c r="AH104" s="44"/>
    </row>
    <row r="105" spans="1:34" ht="27.75" customHeight="1">
      <c r="A105" s="41">
        <v>102</v>
      </c>
      <c r="B105" s="66"/>
      <c r="C105" s="48"/>
      <c r="D105" s="48"/>
      <c r="E105" s="49"/>
      <c r="F105" s="49"/>
      <c r="G105" s="49">
        <f t="shared" si="5"/>
        <v>0</v>
      </c>
      <c r="H105" s="49" t="str">
        <f t="shared" si="4"/>
        <v>ครบ</v>
      </c>
      <c r="I105" s="49"/>
      <c r="J105" s="49" t="e">
        <f>VLOOKUP(I105,Sheet2!$B$10:$C$18,2,FALSE)</f>
        <v>#N/A</v>
      </c>
      <c r="K105" s="67"/>
      <c r="L105" s="49"/>
      <c r="M105" s="49" t="e">
        <f>VLOOKUP(L105,Sheet2!$B$10:$C$18,2,FALSE)</f>
        <v>#N/A</v>
      </c>
      <c r="N105" s="67"/>
      <c r="O105" s="49"/>
      <c r="P105" s="49" t="e">
        <f>VLOOKUP(O105,Sheet2!$B$10:$C$18,2,FALSE)</f>
        <v>#N/A</v>
      </c>
      <c r="Q105" s="67"/>
      <c r="R105" s="49"/>
      <c r="S105" s="49" t="e">
        <f>VLOOKUP(R105,Sheet2!$B$10:$C$18,2,FALSE)</f>
        <v>#N/A</v>
      </c>
      <c r="T105" s="67"/>
      <c r="U105" s="67">
        <f t="shared" si="6"/>
        <v>0</v>
      </c>
      <c r="V105" s="67"/>
      <c r="W105" s="67"/>
      <c r="X105" s="67"/>
      <c r="Y105" s="66"/>
      <c r="Z105" s="66"/>
      <c r="AA105" s="66"/>
      <c r="AB105" s="66"/>
      <c r="AC105" s="66"/>
      <c r="AD105" s="42" t="str">
        <f t="shared" si="7"/>
        <v>ทันกำหนด</v>
      </c>
      <c r="AE105" s="43"/>
      <c r="AF105" s="43"/>
      <c r="AG105" s="43"/>
      <c r="AH105" s="44"/>
    </row>
    <row r="106" spans="1:34" ht="27.75" customHeight="1">
      <c r="A106" s="41">
        <v>103</v>
      </c>
      <c r="B106" s="66"/>
      <c r="C106" s="48"/>
      <c r="D106" s="48"/>
      <c r="E106" s="49"/>
      <c r="F106" s="49"/>
      <c r="G106" s="49">
        <f t="shared" si="5"/>
        <v>0</v>
      </c>
      <c r="H106" s="49" t="str">
        <f t="shared" si="4"/>
        <v>ครบ</v>
      </c>
      <c r="I106" s="49"/>
      <c r="J106" s="49" t="e">
        <f>VLOOKUP(I106,Sheet2!$B$10:$C$18,2,FALSE)</f>
        <v>#N/A</v>
      </c>
      <c r="K106" s="67"/>
      <c r="L106" s="49"/>
      <c r="M106" s="49" t="e">
        <f>VLOOKUP(L106,Sheet2!$B$10:$C$18,2,FALSE)</f>
        <v>#N/A</v>
      </c>
      <c r="N106" s="67"/>
      <c r="O106" s="49"/>
      <c r="P106" s="49" t="e">
        <f>VLOOKUP(O106,Sheet2!$B$10:$C$18,2,FALSE)</f>
        <v>#N/A</v>
      </c>
      <c r="Q106" s="67"/>
      <c r="R106" s="49"/>
      <c r="S106" s="49" t="e">
        <f>VLOOKUP(R106,Sheet2!$B$10:$C$18,2,FALSE)</f>
        <v>#N/A</v>
      </c>
      <c r="T106" s="67"/>
      <c r="U106" s="67">
        <f t="shared" si="6"/>
        <v>0</v>
      </c>
      <c r="V106" s="67"/>
      <c r="W106" s="67"/>
      <c r="X106" s="67"/>
      <c r="Y106" s="66"/>
      <c r="Z106" s="66"/>
      <c r="AA106" s="66"/>
      <c r="AB106" s="66"/>
      <c r="AC106" s="66"/>
      <c r="AD106" s="42" t="str">
        <f t="shared" si="7"/>
        <v>ทันกำหนด</v>
      </c>
      <c r="AE106" s="43"/>
      <c r="AF106" s="43"/>
      <c r="AG106" s="43"/>
      <c r="AH106" s="44"/>
    </row>
    <row r="107" spans="1:34" ht="27.75" customHeight="1">
      <c r="A107" s="41">
        <v>104</v>
      </c>
      <c r="B107" s="66"/>
      <c r="C107" s="48"/>
      <c r="D107" s="48"/>
      <c r="E107" s="49"/>
      <c r="F107" s="49"/>
      <c r="G107" s="49">
        <f t="shared" si="5"/>
        <v>0</v>
      </c>
      <c r="H107" s="49" t="str">
        <f t="shared" si="4"/>
        <v>ครบ</v>
      </c>
      <c r="I107" s="49"/>
      <c r="J107" s="49" t="e">
        <f>VLOOKUP(I107,Sheet2!$B$10:$C$18,2,FALSE)</f>
        <v>#N/A</v>
      </c>
      <c r="K107" s="67"/>
      <c r="L107" s="49"/>
      <c r="M107" s="49" t="e">
        <f>VLOOKUP(L107,Sheet2!$B$10:$C$18,2,FALSE)</f>
        <v>#N/A</v>
      </c>
      <c r="N107" s="67"/>
      <c r="O107" s="49"/>
      <c r="P107" s="49" t="e">
        <f>VLOOKUP(O107,Sheet2!$B$10:$C$18,2,FALSE)</f>
        <v>#N/A</v>
      </c>
      <c r="Q107" s="67"/>
      <c r="R107" s="49"/>
      <c r="S107" s="49" t="e">
        <f>VLOOKUP(R107,Sheet2!$B$10:$C$18,2,FALSE)</f>
        <v>#N/A</v>
      </c>
      <c r="T107" s="67"/>
      <c r="U107" s="67">
        <f t="shared" si="6"/>
        <v>0</v>
      </c>
      <c r="V107" s="67"/>
      <c r="W107" s="67"/>
      <c r="X107" s="67"/>
      <c r="Y107" s="66"/>
      <c r="Z107" s="66"/>
      <c r="AA107" s="66"/>
      <c r="AB107" s="66"/>
      <c r="AC107" s="66"/>
      <c r="AD107" s="42" t="str">
        <f t="shared" si="7"/>
        <v>ทันกำหนด</v>
      </c>
      <c r="AE107" s="43"/>
      <c r="AF107" s="43"/>
      <c r="AG107" s="43"/>
      <c r="AH107" s="44"/>
    </row>
    <row r="108" spans="1:34" ht="27.75" customHeight="1">
      <c r="A108" s="41">
        <v>105</v>
      </c>
      <c r="B108" s="66"/>
      <c r="C108" s="48"/>
      <c r="D108" s="48"/>
      <c r="E108" s="49"/>
      <c r="F108" s="49"/>
      <c r="G108" s="49">
        <f t="shared" si="5"/>
        <v>0</v>
      </c>
      <c r="H108" s="49" t="str">
        <f t="shared" si="4"/>
        <v>ครบ</v>
      </c>
      <c r="I108" s="49"/>
      <c r="J108" s="49" t="e">
        <f>VLOOKUP(I108,Sheet2!$B$10:$C$18,2,FALSE)</f>
        <v>#N/A</v>
      </c>
      <c r="K108" s="67"/>
      <c r="L108" s="49"/>
      <c r="M108" s="49" t="e">
        <f>VLOOKUP(L108,Sheet2!$B$10:$C$18,2,FALSE)</f>
        <v>#N/A</v>
      </c>
      <c r="N108" s="67"/>
      <c r="O108" s="49"/>
      <c r="P108" s="49" t="e">
        <f>VLOOKUP(O108,Sheet2!$B$10:$C$18,2,FALSE)</f>
        <v>#N/A</v>
      </c>
      <c r="Q108" s="67"/>
      <c r="R108" s="49"/>
      <c r="S108" s="49" t="e">
        <f>VLOOKUP(R108,Sheet2!$B$10:$C$18,2,FALSE)</f>
        <v>#N/A</v>
      </c>
      <c r="T108" s="67"/>
      <c r="U108" s="67">
        <f t="shared" si="6"/>
        <v>0</v>
      </c>
      <c r="V108" s="67"/>
      <c r="W108" s="67"/>
      <c r="X108" s="67"/>
      <c r="Y108" s="66"/>
      <c r="Z108" s="66"/>
      <c r="AA108" s="66"/>
      <c r="AB108" s="66"/>
      <c r="AC108" s="66"/>
      <c r="AD108" s="42" t="str">
        <f t="shared" si="7"/>
        <v>ทันกำหนด</v>
      </c>
      <c r="AE108" s="43"/>
      <c r="AF108" s="43"/>
      <c r="AG108" s="43"/>
      <c r="AH108" s="44"/>
    </row>
    <row r="109" spans="1:34" ht="27.75" customHeight="1">
      <c r="A109" s="41">
        <v>106</v>
      </c>
      <c r="B109" s="66"/>
      <c r="C109" s="48"/>
      <c r="D109" s="48"/>
      <c r="E109" s="49"/>
      <c r="F109" s="49"/>
      <c r="G109" s="49">
        <f t="shared" si="5"/>
        <v>0</v>
      </c>
      <c r="H109" s="49" t="str">
        <f t="shared" si="4"/>
        <v>ครบ</v>
      </c>
      <c r="I109" s="49"/>
      <c r="J109" s="49" t="e">
        <f>VLOOKUP(I109,Sheet2!$B$10:$C$18,2,FALSE)</f>
        <v>#N/A</v>
      </c>
      <c r="K109" s="67"/>
      <c r="L109" s="49"/>
      <c r="M109" s="49" t="e">
        <f>VLOOKUP(L109,Sheet2!$B$10:$C$18,2,FALSE)</f>
        <v>#N/A</v>
      </c>
      <c r="N109" s="67"/>
      <c r="O109" s="49"/>
      <c r="P109" s="49" t="e">
        <f>VLOOKUP(O109,Sheet2!$B$10:$C$18,2,FALSE)</f>
        <v>#N/A</v>
      </c>
      <c r="Q109" s="67"/>
      <c r="R109" s="49"/>
      <c r="S109" s="49" t="e">
        <f>VLOOKUP(R109,Sheet2!$B$10:$C$18,2,FALSE)</f>
        <v>#N/A</v>
      </c>
      <c r="T109" s="67"/>
      <c r="U109" s="67">
        <f t="shared" si="6"/>
        <v>0</v>
      </c>
      <c r="V109" s="67"/>
      <c r="W109" s="67"/>
      <c r="X109" s="67"/>
      <c r="Y109" s="66"/>
      <c r="Z109" s="66"/>
      <c r="AA109" s="66"/>
      <c r="AB109" s="66"/>
      <c r="AC109" s="66"/>
      <c r="AD109" s="42" t="str">
        <f t="shared" si="7"/>
        <v>ทันกำหนด</v>
      </c>
      <c r="AE109" s="43"/>
      <c r="AF109" s="43"/>
      <c r="AG109" s="43"/>
      <c r="AH109" s="44"/>
    </row>
    <row r="110" spans="1:34" ht="27.75" customHeight="1">
      <c r="A110" s="41">
        <v>107</v>
      </c>
      <c r="B110" s="66"/>
      <c r="C110" s="48"/>
      <c r="D110" s="48"/>
      <c r="E110" s="49"/>
      <c r="F110" s="49"/>
      <c r="G110" s="49">
        <f t="shared" si="5"/>
        <v>0</v>
      </c>
      <c r="H110" s="49" t="str">
        <f t="shared" si="4"/>
        <v>ครบ</v>
      </c>
      <c r="I110" s="49"/>
      <c r="J110" s="49" t="e">
        <f>VLOOKUP(I110,Sheet2!$B$10:$C$18,2,FALSE)</f>
        <v>#N/A</v>
      </c>
      <c r="K110" s="67"/>
      <c r="L110" s="49"/>
      <c r="M110" s="49" t="e">
        <f>VLOOKUP(L110,Sheet2!$B$10:$C$18,2,FALSE)</f>
        <v>#N/A</v>
      </c>
      <c r="N110" s="67"/>
      <c r="O110" s="49"/>
      <c r="P110" s="49" t="e">
        <f>VLOOKUP(O110,Sheet2!$B$10:$C$18,2,FALSE)</f>
        <v>#N/A</v>
      </c>
      <c r="Q110" s="67"/>
      <c r="R110" s="49"/>
      <c r="S110" s="49" t="e">
        <f>VLOOKUP(R110,Sheet2!$B$10:$C$18,2,FALSE)</f>
        <v>#N/A</v>
      </c>
      <c r="T110" s="67"/>
      <c r="U110" s="67">
        <f t="shared" si="6"/>
        <v>0</v>
      </c>
      <c r="V110" s="67"/>
      <c r="W110" s="67"/>
      <c r="X110" s="67"/>
      <c r="Y110" s="66"/>
      <c r="Z110" s="66"/>
      <c r="AA110" s="66"/>
      <c r="AB110" s="66"/>
      <c r="AC110" s="66"/>
      <c r="AD110" s="42" t="str">
        <f t="shared" si="7"/>
        <v>ทันกำหนด</v>
      </c>
      <c r="AE110" s="43"/>
      <c r="AF110" s="43"/>
      <c r="AG110" s="43"/>
      <c r="AH110" s="44"/>
    </row>
    <row r="111" spans="1:34" ht="27.75" customHeight="1">
      <c r="A111" s="41">
        <v>108</v>
      </c>
      <c r="B111" s="66"/>
      <c r="C111" s="48"/>
      <c r="D111" s="48"/>
      <c r="E111" s="49"/>
      <c r="F111" s="49"/>
      <c r="G111" s="49">
        <f t="shared" si="5"/>
        <v>0</v>
      </c>
      <c r="H111" s="49" t="str">
        <f t="shared" si="4"/>
        <v>ครบ</v>
      </c>
      <c r="I111" s="49"/>
      <c r="J111" s="49" t="e">
        <f>VLOOKUP(I111,Sheet2!$B$10:$C$18,2,FALSE)</f>
        <v>#N/A</v>
      </c>
      <c r="K111" s="67"/>
      <c r="L111" s="49"/>
      <c r="M111" s="49" t="e">
        <f>VLOOKUP(L111,Sheet2!$B$10:$C$18,2,FALSE)</f>
        <v>#N/A</v>
      </c>
      <c r="N111" s="67"/>
      <c r="O111" s="49"/>
      <c r="P111" s="49" t="e">
        <f>VLOOKUP(O111,Sheet2!$B$10:$C$18,2,FALSE)</f>
        <v>#N/A</v>
      </c>
      <c r="Q111" s="67"/>
      <c r="R111" s="49"/>
      <c r="S111" s="49" t="e">
        <f>VLOOKUP(R111,Sheet2!$B$10:$C$18,2,FALSE)</f>
        <v>#N/A</v>
      </c>
      <c r="T111" s="67"/>
      <c r="U111" s="67">
        <f t="shared" si="6"/>
        <v>0</v>
      </c>
      <c r="V111" s="67"/>
      <c r="W111" s="67"/>
      <c r="X111" s="67"/>
      <c r="Y111" s="66"/>
      <c r="Z111" s="66"/>
      <c r="AA111" s="66"/>
      <c r="AB111" s="66"/>
      <c r="AC111" s="66"/>
      <c r="AD111" s="42" t="str">
        <f t="shared" si="7"/>
        <v>ทันกำหนด</v>
      </c>
      <c r="AE111" s="43"/>
      <c r="AF111" s="43"/>
      <c r="AG111" s="43"/>
      <c r="AH111" s="44"/>
    </row>
    <row r="112" spans="1:34" ht="27.75" customHeight="1">
      <c r="A112" s="41">
        <v>109</v>
      </c>
      <c r="B112" s="66"/>
      <c r="C112" s="48"/>
      <c r="D112" s="48"/>
      <c r="E112" s="49"/>
      <c r="F112" s="49"/>
      <c r="G112" s="49">
        <f t="shared" si="5"/>
        <v>0</v>
      </c>
      <c r="H112" s="49" t="str">
        <f t="shared" si="4"/>
        <v>ครบ</v>
      </c>
      <c r="I112" s="49"/>
      <c r="J112" s="49" t="e">
        <f>VLOOKUP(I112,Sheet2!$B$10:$C$18,2,FALSE)</f>
        <v>#N/A</v>
      </c>
      <c r="K112" s="67"/>
      <c r="L112" s="49"/>
      <c r="M112" s="49" t="e">
        <f>VLOOKUP(L112,Sheet2!$B$10:$C$18,2,FALSE)</f>
        <v>#N/A</v>
      </c>
      <c r="N112" s="67"/>
      <c r="O112" s="49"/>
      <c r="P112" s="49" t="e">
        <f>VLOOKUP(O112,Sheet2!$B$10:$C$18,2,FALSE)</f>
        <v>#N/A</v>
      </c>
      <c r="Q112" s="67"/>
      <c r="R112" s="49"/>
      <c r="S112" s="49" t="e">
        <f>VLOOKUP(R112,Sheet2!$B$10:$C$18,2,FALSE)</f>
        <v>#N/A</v>
      </c>
      <c r="T112" s="67"/>
      <c r="U112" s="67">
        <f t="shared" si="6"/>
        <v>0</v>
      </c>
      <c r="V112" s="67"/>
      <c r="W112" s="67"/>
      <c r="X112" s="67"/>
      <c r="Y112" s="66"/>
      <c r="Z112" s="66"/>
      <c r="AA112" s="66"/>
      <c r="AB112" s="66"/>
      <c r="AC112" s="66"/>
      <c r="AD112" s="42" t="str">
        <f t="shared" si="7"/>
        <v>ทันกำหนด</v>
      </c>
      <c r="AE112" s="43"/>
      <c r="AF112" s="43"/>
      <c r="AG112" s="43"/>
      <c r="AH112" s="44"/>
    </row>
    <row r="113" spans="1:34" ht="27.75" customHeight="1">
      <c r="A113" s="41">
        <v>110</v>
      </c>
      <c r="B113" s="66"/>
      <c r="C113" s="48"/>
      <c r="D113" s="48"/>
      <c r="E113" s="49"/>
      <c r="F113" s="49"/>
      <c r="G113" s="49">
        <f t="shared" si="5"/>
        <v>0</v>
      </c>
      <c r="H113" s="49" t="str">
        <f t="shared" si="4"/>
        <v>ครบ</v>
      </c>
      <c r="I113" s="49"/>
      <c r="J113" s="49" t="e">
        <f>VLOOKUP(I113,Sheet2!$B$10:$C$18,2,FALSE)</f>
        <v>#N/A</v>
      </c>
      <c r="K113" s="67"/>
      <c r="L113" s="49"/>
      <c r="M113" s="49" t="e">
        <f>VLOOKUP(L113,Sheet2!$B$10:$C$18,2,FALSE)</f>
        <v>#N/A</v>
      </c>
      <c r="N113" s="67"/>
      <c r="O113" s="49"/>
      <c r="P113" s="49" t="e">
        <f>VLOOKUP(O113,Sheet2!$B$10:$C$18,2,FALSE)</f>
        <v>#N/A</v>
      </c>
      <c r="Q113" s="67"/>
      <c r="R113" s="49"/>
      <c r="S113" s="49" t="e">
        <f>VLOOKUP(R113,Sheet2!$B$10:$C$18,2,FALSE)</f>
        <v>#N/A</v>
      </c>
      <c r="T113" s="67"/>
      <c r="U113" s="67">
        <f t="shared" si="6"/>
        <v>0</v>
      </c>
      <c r="V113" s="67"/>
      <c r="W113" s="67"/>
      <c r="X113" s="67"/>
      <c r="Y113" s="66"/>
      <c r="Z113" s="66"/>
      <c r="AA113" s="66"/>
      <c r="AB113" s="66"/>
      <c r="AC113" s="66"/>
      <c r="AD113" s="42" t="str">
        <f t="shared" si="7"/>
        <v>ทันกำหนด</v>
      </c>
      <c r="AE113" s="43"/>
      <c r="AF113" s="43"/>
      <c r="AG113" s="43"/>
      <c r="AH113" s="44"/>
    </row>
    <row r="114" spans="1:34" ht="27.75" customHeight="1">
      <c r="A114" s="41">
        <v>111</v>
      </c>
      <c r="B114" s="66"/>
      <c r="C114" s="48"/>
      <c r="D114" s="48"/>
      <c r="E114" s="49"/>
      <c r="F114" s="49"/>
      <c r="G114" s="49">
        <f t="shared" si="5"/>
        <v>0</v>
      </c>
      <c r="H114" s="49" t="str">
        <f t="shared" si="4"/>
        <v>ครบ</v>
      </c>
      <c r="I114" s="49"/>
      <c r="J114" s="49" t="e">
        <f>VLOOKUP(I114,Sheet2!$B$10:$C$18,2,FALSE)</f>
        <v>#N/A</v>
      </c>
      <c r="K114" s="67"/>
      <c r="L114" s="49"/>
      <c r="M114" s="49" t="e">
        <f>VLOOKUP(L114,Sheet2!$B$10:$C$18,2,FALSE)</f>
        <v>#N/A</v>
      </c>
      <c r="N114" s="67"/>
      <c r="O114" s="49"/>
      <c r="P114" s="49" t="e">
        <f>VLOOKUP(O114,Sheet2!$B$10:$C$18,2,FALSE)</f>
        <v>#N/A</v>
      </c>
      <c r="Q114" s="67"/>
      <c r="R114" s="49"/>
      <c r="S114" s="49" t="e">
        <f>VLOOKUP(R114,Sheet2!$B$10:$C$18,2,FALSE)</f>
        <v>#N/A</v>
      </c>
      <c r="T114" s="67"/>
      <c r="U114" s="67">
        <f t="shared" si="6"/>
        <v>0</v>
      </c>
      <c r="V114" s="67"/>
      <c r="W114" s="67"/>
      <c r="X114" s="67"/>
      <c r="Y114" s="66"/>
      <c r="Z114" s="66"/>
      <c r="AA114" s="66"/>
      <c r="AB114" s="66"/>
      <c r="AC114" s="66"/>
      <c r="AD114" s="42" t="str">
        <f t="shared" si="7"/>
        <v>ทันกำหนด</v>
      </c>
      <c r="AE114" s="43"/>
      <c r="AF114" s="43"/>
      <c r="AG114" s="43"/>
      <c r="AH114" s="44"/>
    </row>
    <row r="115" spans="1:34" ht="27.75" customHeight="1">
      <c r="A115" s="41">
        <v>112</v>
      </c>
      <c r="B115" s="66"/>
      <c r="C115" s="48"/>
      <c r="D115" s="48"/>
      <c r="E115" s="49"/>
      <c r="F115" s="49"/>
      <c r="G115" s="49">
        <f t="shared" si="5"/>
        <v>0</v>
      </c>
      <c r="H115" s="49" t="str">
        <f t="shared" si="4"/>
        <v>ครบ</v>
      </c>
      <c r="I115" s="49"/>
      <c r="J115" s="49" t="e">
        <f>VLOOKUP(I115,Sheet2!$B$10:$C$18,2,FALSE)</f>
        <v>#N/A</v>
      </c>
      <c r="K115" s="67"/>
      <c r="L115" s="49"/>
      <c r="M115" s="49" t="e">
        <f>VLOOKUP(L115,Sheet2!$B$10:$C$18,2,FALSE)</f>
        <v>#N/A</v>
      </c>
      <c r="N115" s="67"/>
      <c r="O115" s="49"/>
      <c r="P115" s="49" t="e">
        <f>VLOOKUP(O115,Sheet2!$B$10:$C$18,2,FALSE)</f>
        <v>#N/A</v>
      </c>
      <c r="Q115" s="67"/>
      <c r="R115" s="49"/>
      <c r="S115" s="49" t="e">
        <f>VLOOKUP(R115,Sheet2!$B$10:$C$18,2,FALSE)</f>
        <v>#N/A</v>
      </c>
      <c r="T115" s="67"/>
      <c r="U115" s="67">
        <f t="shared" si="6"/>
        <v>0</v>
      </c>
      <c r="V115" s="67"/>
      <c r="W115" s="67"/>
      <c r="X115" s="67"/>
      <c r="Y115" s="66"/>
      <c r="Z115" s="66"/>
      <c r="AA115" s="66"/>
      <c r="AB115" s="66"/>
      <c r="AC115" s="66"/>
      <c r="AD115" s="42" t="str">
        <f t="shared" si="7"/>
        <v>ทันกำหนด</v>
      </c>
      <c r="AE115" s="43"/>
      <c r="AF115" s="43"/>
      <c r="AG115" s="43"/>
      <c r="AH115" s="44"/>
    </row>
    <row r="116" spans="1:34" ht="27.75" customHeight="1">
      <c r="A116" s="41">
        <v>113</v>
      </c>
      <c r="B116" s="66"/>
      <c r="C116" s="48"/>
      <c r="D116" s="48"/>
      <c r="E116" s="49"/>
      <c r="F116" s="49"/>
      <c r="G116" s="49">
        <f t="shared" si="5"/>
        <v>0</v>
      </c>
      <c r="H116" s="49" t="str">
        <f t="shared" si="4"/>
        <v>ครบ</v>
      </c>
      <c r="I116" s="49"/>
      <c r="J116" s="49" t="e">
        <f>VLOOKUP(I116,Sheet2!$B$10:$C$18,2,FALSE)</f>
        <v>#N/A</v>
      </c>
      <c r="K116" s="67"/>
      <c r="L116" s="49"/>
      <c r="M116" s="49" t="e">
        <f>VLOOKUP(L116,Sheet2!$B$10:$C$18,2,FALSE)</f>
        <v>#N/A</v>
      </c>
      <c r="N116" s="67"/>
      <c r="O116" s="49"/>
      <c r="P116" s="49" t="e">
        <f>VLOOKUP(O116,Sheet2!$B$10:$C$18,2,FALSE)</f>
        <v>#N/A</v>
      </c>
      <c r="Q116" s="67"/>
      <c r="R116" s="49"/>
      <c r="S116" s="49" t="e">
        <f>VLOOKUP(R116,Sheet2!$B$10:$C$18,2,FALSE)</f>
        <v>#N/A</v>
      </c>
      <c r="T116" s="67"/>
      <c r="U116" s="67">
        <f t="shared" si="6"/>
        <v>0</v>
      </c>
      <c r="V116" s="67"/>
      <c r="W116" s="67"/>
      <c r="X116" s="67"/>
      <c r="Y116" s="66"/>
      <c r="Z116" s="66"/>
      <c r="AA116" s="66"/>
      <c r="AB116" s="66"/>
      <c r="AC116" s="66"/>
      <c r="AD116" s="42" t="str">
        <f t="shared" si="7"/>
        <v>ทันกำหนด</v>
      </c>
      <c r="AE116" s="43"/>
      <c r="AF116" s="43"/>
      <c r="AG116" s="43"/>
      <c r="AH116" s="44"/>
    </row>
    <row r="117" spans="1:34" ht="27.75" customHeight="1">
      <c r="A117" s="41">
        <v>114</v>
      </c>
      <c r="B117" s="66"/>
      <c r="C117" s="48"/>
      <c r="D117" s="48"/>
      <c r="E117" s="49"/>
      <c r="F117" s="49"/>
      <c r="G117" s="49">
        <f t="shared" si="5"/>
        <v>0</v>
      </c>
      <c r="H117" s="49" t="str">
        <f t="shared" si="4"/>
        <v>ครบ</v>
      </c>
      <c r="I117" s="49"/>
      <c r="J117" s="49" t="e">
        <f>VLOOKUP(I117,Sheet2!$B$10:$C$18,2,FALSE)</f>
        <v>#N/A</v>
      </c>
      <c r="K117" s="67"/>
      <c r="L117" s="49"/>
      <c r="M117" s="49" t="e">
        <f>VLOOKUP(L117,Sheet2!$B$10:$C$18,2,FALSE)</f>
        <v>#N/A</v>
      </c>
      <c r="N117" s="67"/>
      <c r="O117" s="49"/>
      <c r="P117" s="49" t="e">
        <f>VLOOKUP(O117,Sheet2!$B$10:$C$18,2,FALSE)</f>
        <v>#N/A</v>
      </c>
      <c r="Q117" s="67"/>
      <c r="R117" s="49"/>
      <c r="S117" s="49" t="e">
        <f>VLOOKUP(R117,Sheet2!$B$10:$C$18,2,FALSE)</f>
        <v>#N/A</v>
      </c>
      <c r="T117" s="67"/>
      <c r="U117" s="67">
        <f t="shared" si="6"/>
        <v>0</v>
      </c>
      <c r="V117" s="67"/>
      <c r="W117" s="67"/>
      <c r="X117" s="67"/>
      <c r="Y117" s="66"/>
      <c r="Z117" s="66"/>
      <c r="AA117" s="66"/>
      <c r="AB117" s="66"/>
      <c r="AC117" s="66"/>
      <c r="AD117" s="42" t="str">
        <f t="shared" si="7"/>
        <v>ทันกำหนด</v>
      </c>
      <c r="AE117" s="43"/>
      <c r="AF117" s="43"/>
      <c r="AG117" s="43"/>
      <c r="AH117" s="44"/>
    </row>
    <row r="118" spans="1:34" ht="27.75" customHeight="1">
      <c r="A118" s="41">
        <v>115</v>
      </c>
      <c r="B118" s="66"/>
      <c r="C118" s="48"/>
      <c r="D118" s="48"/>
      <c r="E118" s="49"/>
      <c r="F118" s="49"/>
      <c r="G118" s="49">
        <f t="shared" si="5"/>
        <v>0</v>
      </c>
      <c r="H118" s="49" t="str">
        <f t="shared" si="4"/>
        <v>ครบ</v>
      </c>
      <c r="I118" s="49"/>
      <c r="J118" s="49" t="e">
        <f>VLOOKUP(I118,Sheet2!$B$10:$C$18,2,FALSE)</f>
        <v>#N/A</v>
      </c>
      <c r="K118" s="67"/>
      <c r="L118" s="49"/>
      <c r="M118" s="49" t="e">
        <f>VLOOKUP(L118,Sheet2!$B$10:$C$18,2,FALSE)</f>
        <v>#N/A</v>
      </c>
      <c r="N118" s="67"/>
      <c r="O118" s="49"/>
      <c r="P118" s="49" t="e">
        <f>VLOOKUP(O118,Sheet2!$B$10:$C$18,2,FALSE)</f>
        <v>#N/A</v>
      </c>
      <c r="Q118" s="67"/>
      <c r="R118" s="49"/>
      <c r="S118" s="49" t="e">
        <f>VLOOKUP(R118,Sheet2!$B$10:$C$18,2,FALSE)</f>
        <v>#N/A</v>
      </c>
      <c r="T118" s="67"/>
      <c r="U118" s="67">
        <f t="shared" si="6"/>
        <v>0</v>
      </c>
      <c r="V118" s="67"/>
      <c r="W118" s="67"/>
      <c r="X118" s="67"/>
      <c r="Y118" s="66"/>
      <c r="Z118" s="66"/>
      <c r="AA118" s="66"/>
      <c r="AB118" s="66"/>
      <c r="AC118" s="66"/>
      <c r="AD118" s="42" t="str">
        <f t="shared" si="7"/>
        <v>ทันกำหนด</v>
      </c>
      <c r="AE118" s="43"/>
      <c r="AF118" s="43"/>
      <c r="AG118" s="43"/>
      <c r="AH118" s="44"/>
    </row>
    <row r="119" spans="1:34" ht="27.75" customHeight="1">
      <c r="A119" s="41">
        <v>116</v>
      </c>
      <c r="B119" s="66"/>
      <c r="C119" s="48"/>
      <c r="D119" s="48"/>
      <c r="E119" s="49"/>
      <c r="F119" s="49"/>
      <c r="G119" s="49">
        <f t="shared" si="5"/>
        <v>0</v>
      </c>
      <c r="H119" s="49" t="str">
        <f t="shared" si="4"/>
        <v>ครบ</v>
      </c>
      <c r="I119" s="49"/>
      <c r="J119" s="49" t="e">
        <f>VLOOKUP(I119,Sheet2!$B$10:$C$18,2,FALSE)</f>
        <v>#N/A</v>
      </c>
      <c r="K119" s="67"/>
      <c r="L119" s="49"/>
      <c r="M119" s="49" t="e">
        <f>VLOOKUP(L119,Sheet2!$B$10:$C$18,2,FALSE)</f>
        <v>#N/A</v>
      </c>
      <c r="N119" s="67"/>
      <c r="O119" s="49"/>
      <c r="P119" s="49" t="e">
        <f>VLOOKUP(O119,Sheet2!$B$10:$C$18,2,FALSE)</f>
        <v>#N/A</v>
      </c>
      <c r="Q119" s="67"/>
      <c r="R119" s="49"/>
      <c r="S119" s="49" t="e">
        <f>VLOOKUP(R119,Sheet2!$B$10:$C$18,2,FALSE)</f>
        <v>#N/A</v>
      </c>
      <c r="T119" s="67"/>
      <c r="U119" s="67">
        <f t="shared" si="6"/>
        <v>0</v>
      </c>
      <c r="V119" s="67"/>
      <c r="W119" s="67"/>
      <c r="X119" s="67"/>
      <c r="Y119" s="66"/>
      <c r="Z119" s="66"/>
      <c r="AA119" s="66"/>
      <c r="AB119" s="66"/>
      <c r="AC119" s="66"/>
      <c r="AD119" s="42" t="str">
        <f t="shared" si="7"/>
        <v>ทันกำหนด</v>
      </c>
      <c r="AE119" s="43"/>
      <c r="AF119" s="43"/>
      <c r="AG119" s="43"/>
      <c r="AH119" s="44"/>
    </row>
    <row r="120" spans="1:34" ht="27.75" customHeight="1">
      <c r="A120" s="41">
        <v>117</v>
      </c>
      <c r="B120" s="66"/>
      <c r="C120" s="48"/>
      <c r="D120" s="48"/>
      <c r="E120" s="49"/>
      <c r="F120" s="49"/>
      <c r="G120" s="49">
        <f t="shared" si="5"/>
        <v>0</v>
      </c>
      <c r="H120" s="49" t="str">
        <f t="shared" si="4"/>
        <v>ครบ</v>
      </c>
      <c r="I120" s="49"/>
      <c r="J120" s="49" t="e">
        <f>VLOOKUP(I120,Sheet2!$B$10:$C$18,2,FALSE)</f>
        <v>#N/A</v>
      </c>
      <c r="K120" s="67"/>
      <c r="L120" s="49"/>
      <c r="M120" s="49" t="e">
        <f>VLOOKUP(L120,Sheet2!$B$10:$C$18,2,FALSE)</f>
        <v>#N/A</v>
      </c>
      <c r="N120" s="67"/>
      <c r="O120" s="49"/>
      <c r="P120" s="49" t="e">
        <f>VLOOKUP(O120,Sheet2!$B$10:$C$18,2,FALSE)</f>
        <v>#N/A</v>
      </c>
      <c r="Q120" s="67"/>
      <c r="R120" s="49"/>
      <c r="S120" s="49" t="e">
        <f>VLOOKUP(R120,Sheet2!$B$10:$C$18,2,FALSE)</f>
        <v>#N/A</v>
      </c>
      <c r="T120" s="67"/>
      <c r="U120" s="67">
        <f t="shared" si="6"/>
        <v>0</v>
      </c>
      <c r="V120" s="67"/>
      <c r="W120" s="67"/>
      <c r="X120" s="67"/>
      <c r="Y120" s="66"/>
      <c r="Z120" s="66"/>
      <c r="AA120" s="66"/>
      <c r="AB120" s="66"/>
      <c r="AC120" s="66"/>
      <c r="AD120" s="42" t="str">
        <f t="shared" si="7"/>
        <v>ทันกำหนด</v>
      </c>
      <c r="AE120" s="43"/>
      <c r="AF120" s="43"/>
      <c r="AG120" s="43"/>
      <c r="AH120" s="44"/>
    </row>
    <row r="121" spans="1:34" ht="27.75" customHeight="1">
      <c r="A121" s="41">
        <v>118</v>
      </c>
      <c r="B121" s="66"/>
      <c r="C121" s="48"/>
      <c r="D121" s="48"/>
      <c r="E121" s="49"/>
      <c r="F121" s="49"/>
      <c r="G121" s="49">
        <f t="shared" si="5"/>
        <v>0</v>
      </c>
      <c r="H121" s="49" t="str">
        <f t="shared" si="4"/>
        <v>ครบ</v>
      </c>
      <c r="I121" s="49"/>
      <c r="J121" s="49" t="e">
        <f>VLOOKUP(I121,Sheet2!$B$10:$C$18,2,FALSE)</f>
        <v>#N/A</v>
      </c>
      <c r="K121" s="67"/>
      <c r="L121" s="49"/>
      <c r="M121" s="49" t="e">
        <f>VLOOKUP(L121,Sheet2!$B$10:$C$18,2,FALSE)</f>
        <v>#N/A</v>
      </c>
      <c r="N121" s="67"/>
      <c r="O121" s="49"/>
      <c r="P121" s="49" t="e">
        <f>VLOOKUP(O121,Sheet2!$B$10:$C$18,2,FALSE)</f>
        <v>#N/A</v>
      </c>
      <c r="Q121" s="67"/>
      <c r="R121" s="49"/>
      <c r="S121" s="49" t="e">
        <f>VLOOKUP(R121,Sheet2!$B$10:$C$18,2,FALSE)</f>
        <v>#N/A</v>
      </c>
      <c r="T121" s="67"/>
      <c r="U121" s="67">
        <f t="shared" si="6"/>
        <v>0</v>
      </c>
      <c r="V121" s="67"/>
      <c r="W121" s="67"/>
      <c r="X121" s="67"/>
      <c r="Y121" s="66"/>
      <c r="Z121" s="66"/>
      <c r="AA121" s="66"/>
      <c r="AB121" s="66"/>
      <c r="AC121" s="66"/>
      <c r="AD121" s="42" t="str">
        <f t="shared" si="7"/>
        <v>ทันกำหนด</v>
      </c>
      <c r="AE121" s="43"/>
      <c r="AF121" s="43"/>
      <c r="AG121" s="43"/>
      <c r="AH121" s="44"/>
    </row>
    <row r="122" spans="1:34" ht="27.75" customHeight="1">
      <c r="A122" s="41">
        <v>119</v>
      </c>
      <c r="B122" s="66"/>
      <c r="C122" s="48"/>
      <c r="D122" s="48"/>
      <c r="E122" s="49"/>
      <c r="F122" s="49"/>
      <c r="G122" s="49">
        <f t="shared" si="5"/>
        <v>0</v>
      </c>
      <c r="H122" s="49" t="str">
        <f t="shared" si="4"/>
        <v>ครบ</v>
      </c>
      <c r="I122" s="49"/>
      <c r="J122" s="49" t="e">
        <f>VLOOKUP(I122,Sheet2!$B$10:$C$18,2,FALSE)</f>
        <v>#N/A</v>
      </c>
      <c r="K122" s="67"/>
      <c r="L122" s="49"/>
      <c r="M122" s="49" t="e">
        <f>VLOOKUP(L122,Sheet2!$B$10:$C$18,2,FALSE)</f>
        <v>#N/A</v>
      </c>
      <c r="N122" s="67"/>
      <c r="O122" s="49"/>
      <c r="P122" s="49" t="e">
        <f>VLOOKUP(O122,Sheet2!$B$10:$C$18,2,FALSE)</f>
        <v>#N/A</v>
      </c>
      <c r="Q122" s="67"/>
      <c r="R122" s="49"/>
      <c r="S122" s="49" t="e">
        <f>VLOOKUP(R122,Sheet2!$B$10:$C$18,2,FALSE)</f>
        <v>#N/A</v>
      </c>
      <c r="T122" s="67"/>
      <c r="U122" s="67">
        <f t="shared" si="6"/>
        <v>0</v>
      </c>
      <c r="V122" s="67"/>
      <c r="W122" s="67"/>
      <c r="X122" s="67"/>
      <c r="Y122" s="66"/>
      <c r="Z122" s="66"/>
      <c r="AA122" s="66"/>
      <c r="AB122" s="66"/>
      <c r="AC122" s="66"/>
      <c r="AD122" s="42" t="str">
        <f t="shared" si="7"/>
        <v>ทันกำหนด</v>
      </c>
      <c r="AE122" s="43"/>
      <c r="AF122" s="43"/>
      <c r="AG122" s="43"/>
      <c r="AH122" s="44"/>
    </row>
    <row r="123" spans="1:34" ht="27.75" customHeight="1">
      <c r="A123" s="41">
        <v>120</v>
      </c>
      <c r="B123" s="66"/>
      <c r="C123" s="48"/>
      <c r="D123" s="48"/>
      <c r="E123" s="49"/>
      <c r="F123" s="49"/>
      <c r="G123" s="49">
        <f t="shared" si="5"/>
        <v>0</v>
      </c>
      <c r="H123" s="49" t="str">
        <f t="shared" si="4"/>
        <v>ครบ</v>
      </c>
      <c r="I123" s="49"/>
      <c r="J123" s="49" t="e">
        <f>VLOOKUP(I123,Sheet2!$B$10:$C$18,2,FALSE)</f>
        <v>#N/A</v>
      </c>
      <c r="K123" s="67"/>
      <c r="L123" s="49"/>
      <c r="M123" s="49" t="e">
        <f>VLOOKUP(L123,Sheet2!$B$10:$C$18,2,FALSE)</f>
        <v>#N/A</v>
      </c>
      <c r="N123" s="67"/>
      <c r="O123" s="49"/>
      <c r="P123" s="49" t="e">
        <f>VLOOKUP(O123,Sheet2!$B$10:$C$18,2,FALSE)</f>
        <v>#N/A</v>
      </c>
      <c r="Q123" s="67"/>
      <c r="R123" s="49"/>
      <c r="S123" s="49" t="e">
        <f>VLOOKUP(R123,Sheet2!$B$10:$C$18,2,FALSE)</f>
        <v>#N/A</v>
      </c>
      <c r="T123" s="67"/>
      <c r="U123" s="67">
        <f t="shared" si="6"/>
        <v>0</v>
      </c>
      <c r="V123" s="67"/>
      <c r="W123" s="67"/>
      <c r="X123" s="67"/>
      <c r="Y123" s="66"/>
      <c r="Z123" s="66"/>
      <c r="AA123" s="66"/>
      <c r="AB123" s="66"/>
      <c r="AC123" s="66"/>
      <c r="AD123" s="42" t="str">
        <f t="shared" si="7"/>
        <v>ทันกำหนด</v>
      </c>
      <c r="AE123" s="43"/>
      <c r="AF123" s="43"/>
      <c r="AG123" s="43"/>
      <c r="AH123" s="44"/>
    </row>
    <row r="124" spans="1:34" ht="27.75" customHeight="1">
      <c r="A124" s="41">
        <v>121</v>
      </c>
      <c r="B124" s="66"/>
      <c r="C124" s="48"/>
      <c r="D124" s="48"/>
      <c r="E124" s="49"/>
      <c r="F124" s="49"/>
      <c r="G124" s="49">
        <f t="shared" si="5"/>
        <v>0</v>
      </c>
      <c r="H124" s="49" t="str">
        <f t="shared" si="4"/>
        <v>ครบ</v>
      </c>
      <c r="I124" s="49"/>
      <c r="J124" s="49" t="e">
        <f>VLOOKUP(I124,Sheet2!$B$10:$C$18,2,FALSE)</f>
        <v>#N/A</v>
      </c>
      <c r="K124" s="67"/>
      <c r="L124" s="49"/>
      <c r="M124" s="49" t="e">
        <f>VLOOKUP(L124,Sheet2!$B$10:$C$18,2,FALSE)</f>
        <v>#N/A</v>
      </c>
      <c r="N124" s="67"/>
      <c r="O124" s="49"/>
      <c r="P124" s="49" t="e">
        <f>VLOOKUP(O124,Sheet2!$B$10:$C$18,2,FALSE)</f>
        <v>#N/A</v>
      </c>
      <c r="Q124" s="67"/>
      <c r="R124" s="49"/>
      <c r="S124" s="49" t="e">
        <f>VLOOKUP(R124,Sheet2!$B$10:$C$18,2,FALSE)</f>
        <v>#N/A</v>
      </c>
      <c r="T124" s="67"/>
      <c r="U124" s="67">
        <f t="shared" si="6"/>
        <v>0</v>
      </c>
      <c r="V124" s="67"/>
      <c r="W124" s="67"/>
      <c r="X124" s="67"/>
      <c r="Y124" s="66"/>
      <c r="Z124" s="66"/>
      <c r="AA124" s="66"/>
      <c r="AB124" s="66"/>
      <c r="AC124" s="66"/>
      <c r="AD124" s="42" t="str">
        <f t="shared" si="7"/>
        <v>ทันกำหนด</v>
      </c>
      <c r="AE124" s="43"/>
      <c r="AF124" s="43"/>
      <c r="AG124" s="43"/>
      <c r="AH124" s="44"/>
    </row>
    <row r="125" spans="1:34" ht="27.75" customHeight="1">
      <c r="A125" s="41">
        <v>122</v>
      </c>
      <c r="B125" s="66"/>
      <c r="C125" s="48"/>
      <c r="D125" s="48"/>
      <c r="E125" s="49"/>
      <c r="F125" s="49"/>
      <c r="G125" s="49">
        <f t="shared" si="5"/>
        <v>0</v>
      </c>
      <c r="H125" s="49" t="str">
        <f t="shared" si="4"/>
        <v>ครบ</v>
      </c>
      <c r="I125" s="49"/>
      <c r="J125" s="49" t="e">
        <f>VLOOKUP(I125,Sheet2!$B$10:$C$18,2,FALSE)</f>
        <v>#N/A</v>
      </c>
      <c r="K125" s="67"/>
      <c r="L125" s="49"/>
      <c r="M125" s="49" t="e">
        <f>VLOOKUP(L125,Sheet2!$B$10:$C$18,2,FALSE)</f>
        <v>#N/A</v>
      </c>
      <c r="N125" s="67"/>
      <c r="O125" s="49"/>
      <c r="P125" s="49" t="e">
        <f>VLOOKUP(O125,Sheet2!$B$10:$C$18,2,FALSE)</f>
        <v>#N/A</v>
      </c>
      <c r="Q125" s="67"/>
      <c r="R125" s="49"/>
      <c r="S125" s="49" t="e">
        <f>VLOOKUP(R125,Sheet2!$B$10:$C$18,2,FALSE)</f>
        <v>#N/A</v>
      </c>
      <c r="T125" s="67"/>
      <c r="U125" s="67">
        <f t="shared" si="6"/>
        <v>0</v>
      </c>
      <c r="V125" s="67"/>
      <c r="W125" s="67"/>
      <c r="X125" s="67"/>
      <c r="Y125" s="66"/>
      <c r="Z125" s="66"/>
      <c r="AA125" s="66"/>
      <c r="AB125" s="66"/>
      <c r="AC125" s="66"/>
      <c r="AD125" s="42" t="str">
        <f t="shared" si="7"/>
        <v>ทันกำหนด</v>
      </c>
      <c r="AE125" s="43"/>
      <c r="AF125" s="43"/>
      <c r="AG125" s="43"/>
      <c r="AH125" s="44"/>
    </row>
    <row r="126" spans="1:34" ht="27.75" customHeight="1">
      <c r="A126" s="41">
        <v>123</v>
      </c>
      <c r="B126" s="66"/>
      <c r="C126" s="48"/>
      <c r="D126" s="48"/>
      <c r="E126" s="49"/>
      <c r="F126" s="49"/>
      <c r="G126" s="49">
        <f t="shared" si="5"/>
        <v>0</v>
      </c>
      <c r="H126" s="49" t="str">
        <f t="shared" si="4"/>
        <v>ครบ</v>
      </c>
      <c r="I126" s="49"/>
      <c r="J126" s="49" t="e">
        <f>VLOOKUP(I126,Sheet2!$B$10:$C$18,2,FALSE)</f>
        <v>#N/A</v>
      </c>
      <c r="K126" s="67"/>
      <c r="L126" s="49"/>
      <c r="M126" s="49" t="e">
        <f>VLOOKUP(L126,Sheet2!$B$10:$C$18,2,FALSE)</f>
        <v>#N/A</v>
      </c>
      <c r="N126" s="67"/>
      <c r="O126" s="49"/>
      <c r="P126" s="49" t="e">
        <f>VLOOKUP(O126,Sheet2!$B$10:$C$18,2,FALSE)</f>
        <v>#N/A</v>
      </c>
      <c r="Q126" s="67"/>
      <c r="R126" s="49"/>
      <c r="S126" s="49" t="e">
        <f>VLOOKUP(R126,Sheet2!$B$10:$C$18,2,FALSE)</f>
        <v>#N/A</v>
      </c>
      <c r="T126" s="67"/>
      <c r="U126" s="67">
        <f t="shared" si="6"/>
        <v>0</v>
      </c>
      <c r="V126" s="67"/>
      <c r="W126" s="67"/>
      <c r="X126" s="67"/>
      <c r="Y126" s="66"/>
      <c r="Z126" s="66"/>
      <c r="AA126" s="66"/>
      <c r="AB126" s="66"/>
      <c r="AC126" s="66"/>
      <c r="AD126" s="42" t="str">
        <f t="shared" si="7"/>
        <v>ทันกำหนด</v>
      </c>
      <c r="AE126" s="43"/>
      <c r="AF126" s="43"/>
      <c r="AG126" s="43"/>
      <c r="AH126" s="44"/>
    </row>
    <row r="127" spans="1:34" ht="27.75" customHeight="1">
      <c r="A127" s="41">
        <v>124</v>
      </c>
      <c r="B127" s="66"/>
      <c r="C127" s="48"/>
      <c r="D127" s="48"/>
      <c r="E127" s="49"/>
      <c r="F127" s="49"/>
      <c r="G127" s="49">
        <f t="shared" si="5"/>
        <v>0</v>
      </c>
      <c r="H127" s="49" t="str">
        <f t="shared" si="4"/>
        <v>ครบ</v>
      </c>
      <c r="I127" s="49"/>
      <c r="J127" s="49" t="e">
        <f>VLOOKUP(I127,Sheet2!$B$10:$C$18,2,FALSE)</f>
        <v>#N/A</v>
      </c>
      <c r="K127" s="67"/>
      <c r="L127" s="49"/>
      <c r="M127" s="49" t="e">
        <f>VLOOKUP(L127,Sheet2!$B$10:$C$18,2,FALSE)</f>
        <v>#N/A</v>
      </c>
      <c r="N127" s="67"/>
      <c r="O127" s="49"/>
      <c r="P127" s="49" t="e">
        <f>VLOOKUP(O127,Sheet2!$B$10:$C$18,2,FALSE)</f>
        <v>#N/A</v>
      </c>
      <c r="Q127" s="67"/>
      <c r="R127" s="49"/>
      <c r="S127" s="49" t="e">
        <f>VLOOKUP(R127,Sheet2!$B$10:$C$18,2,FALSE)</f>
        <v>#N/A</v>
      </c>
      <c r="T127" s="67"/>
      <c r="U127" s="67">
        <f t="shared" si="6"/>
        <v>0</v>
      </c>
      <c r="V127" s="67"/>
      <c r="W127" s="67"/>
      <c r="X127" s="67"/>
      <c r="Y127" s="66"/>
      <c r="Z127" s="66"/>
      <c r="AA127" s="66"/>
      <c r="AB127" s="66"/>
      <c r="AC127" s="66"/>
      <c r="AD127" s="42" t="str">
        <f t="shared" si="7"/>
        <v>ทันกำหนด</v>
      </c>
      <c r="AE127" s="43"/>
      <c r="AF127" s="43"/>
      <c r="AG127" s="43"/>
      <c r="AH127" s="44"/>
    </row>
    <row r="128" spans="1:34" ht="27.75" customHeight="1">
      <c r="A128" s="41">
        <v>125</v>
      </c>
      <c r="B128" s="66"/>
      <c r="C128" s="48"/>
      <c r="D128" s="48"/>
      <c r="E128" s="49"/>
      <c r="F128" s="49"/>
      <c r="G128" s="49">
        <f t="shared" si="5"/>
        <v>0</v>
      </c>
      <c r="H128" s="49" t="str">
        <f t="shared" si="4"/>
        <v>ครบ</v>
      </c>
      <c r="I128" s="49"/>
      <c r="J128" s="49" t="e">
        <f>VLOOKUP(I128,Sheet2!$B$10:$C$18,2,FALSE)</f>
        <v>#N/A</v>
      </c>
      <c r="K128" s="67"/>
      <c r="L128" s="49"/>
      <c r="M128" s="49" t="e">
        <f>VLOOKUP(L128,Sheet2!$B$10:$C$18,2,FALSE)</f>
        <v>#N/A</v>
      </c>
      <c r="N128" s="67"/>
      <c r="O128" s="49"/>
      <c r="P128" s="49" t="e">
        <f>VLOOKUP(O128,Sheet2!$B$10:$C$18,2,FALSE)</f>
        <v>#N/A</v>
      </c>
      <c r="Q128" s="67"/>
      <c r="R128" s="49"/>
      <c r="S128" s="49" t="e">
        <f>VLOOKUP(R128,Sheet2!$B$10:$C$18,2,FALSE)</f>
        <v>#N/A</v>
      </c>
      <c r="T128" s="67"/>
      <c r="U128" s="67">
        <f t="shared" si="6"/>
        <v>0</v>
      </c>
      <c r="V128" s="67"/>
      <c r="W128" s="67"/>
      <c r="X128" s="67"/>
      <c r="Y128" s="66"/>
      <c r="Z128" s="66"/>
      <c r="AA128" s="66"/>
      <c r="AB128" s="66"/>
      <c r="AC128" s="66"/>
      <c r="AD128" s="42" t="str">
        <f t="shared" si="7"/>
        <v>ทันกำหนด</v>
      </c>
      <c r="AE128" s="43"/>
      <c r="AF128" s="43"/>
      <c r="AG128" s="43"/>
      <c r="AH128" s="69"/>
    </row>
    <row r="129" spans="1:34" ht="27.75" customHeight="1">
      <c r="A129" s="41">
        <v>126</v>
      </c>
      <c r="B129" s="66"/>
      <c r="C129" s="48"/>
      <c r="D129" s="48"/>
      <c r="E129" s="49"/>
      <c r="F129" s="49"/>
      <c r="G129" s="49">
        <f t="shared" si="5"/>
        <v>0</v>
      </c>
      <c r="H129" s="49" t="str">
        <f t="shared" si="4"/>
        <v>ครบ</v>
      </c>
      <c r="I129" s="49"/>
      <c r="J129" s="49" t="e">
        <f>VLOOKUP(I129,Sheet2!$B$10:$C$18,2,FALSE)</f>
        <v>#N/A</v>
      </c>
      <c r="K129" s="67"/>
      <c r="L129" s="49"/>
      <c r="M129" s="49" t="e">
        <f>VLOOKUP(L129,Sheet2!$B$10:$C$18,2,FALSE)</f>
        <v>#N/A</v>
      </c>
      <c r="N129" s="67"/>
      <c r="O129" s="49"/>
      <c r="P129" s="49" t="e">
        <f>VLOOKUP(O129,Sheet2!$B$10:$C$18,2,FALSE)</f>
        <v>#N/A</v>
      </c>
      <c r="Q129" s="67"/>
      <c r="R129" s="49"/>
      <c r="S129" s="49" t="e">
        <f>VLOOKUP(R129,Sheet2!$B$10:$C$18,2,FALSE)</f>
        <v>#N/A</v>
      </c>
      <c r="T129" s="67"/>
      <c r="U129" s="67">
        <f t="shared" si="6"/>
        <v>0</v>
      </c>
      <c r="V129" s="67"/>
      <c r="W129" s="67"/>
      <c r="X129" s="67"/>
      <c r="Y129" s="66"/>
      <c r="Z129" s="66"/>
      <c r="AA129" s="66"/>
      <c r="AB129" s="66"/>
      <c r="AC129" s="66"/>
      <c r="AD129" s="42" t="str">
        <f t="shared" si="7"/>
        <v>ทันกำหนด</v>
      </c>
      <c r="AE129" s="43"/>
      <c r="AF129" s="43"/>
      <c r="AG129" s="43"/>
      <c r="AH129" s="44"/>
    </row>
    <row r="130" spans="1:34" ht="27.75" customHeight="1">
      <c r="A130" s="41">
        <v>127</v>
      </c>
      <c r="B130" s="66"/>
      <c r="C130" s="48"/>
      <c r="D130" s="48"/>
      <c r="E130" s="49"/>
      <c r="F130" s="49"/>
      <c r="G130" s="49">
        <f t="shared" si="5"/>
        <v>0</v>
      </c>
      <c r="H130" s="49" t="str">
        <f t="shared" si="4"/>
        <v>ครบ</v>
      </c>
      <c r="I130" s="49"/>
      <c r="J130" s="49" t="e">
        <f>VLOOKUP(I130,Sheet2!$B$10:$C$18,2,FALSE)</f>
        <v>#N/A</v>
      </c>
      <c r="K130" s="67"/>
      <c r="L130" s="49"/>
      <c r="M130" s="49" t="e">
        <f>VLOOKUP(L130,Sheet2!$B$10:$C$18,2,FALSE)</f>
        <v>#N/A</v>
      </c>
      <c r="N130" s="67"/>
      <c r="O130" s="49"/>
      <c r="P130" s="49" t="e">
        <f>VLOOKUP(O130,Sheet2!$B$10:$C$18,2,FALSE)</f>
        <v>#N/A</v>
      </c>
      <c r="Q130" s="67"/>
      <c r="R130" s="49"/>
      <c r="S130" s="49" t="e">
        <f>VLOOKUP(R130,Sheet2!$B$10:$C$18,2,FALSE)</f>
        <v>#N/A</v>
      </c>
      <c r="T130" s="67"/>
      <c r="U130" s="67">
        <f t="shared" si="6"/>
        <v>0</v>
      </c>
      <c r="V130" s="67"/>
      <c r="W130" s="67"/>
      <c r="X130" s="67"/>
      <c r="Y130" s="66"/>
      <c r="Z130" s="66"/>
      <c r="AA130" s="66"/>
      <c r="AB130" s="66"/>
      <c r="AC130" s="66"/>
      <c r="AD130" s="42" t="str">
        <f t="shared" si="7"/>
        <v>ทันกำหนด</v>
      </c>
      <c r="AE130" s="43"/>
      <c r="AF130" s="43"/>
      <c r="AG130" s="43"/>
      <c r="AH130" s="44"/>
    </row>
    <row r="131" spans="1:34" ht="27.75" customHeight="1">
      <c r="A131" s="41">
        <v>128</v>
      </c>
      <c r="B131" s="66"/>
      <c r="C131" s="48"/>
      <c r="D131" s="48"/>
      <c r="E131" s="49"/>
      <c r="F131" s="49"/>
      <c r="G131" s="49">
        <f t="shared" si="5"/>
        <v>0</v>
      </c>
      <c r="H131" s="49" t="str">
        <f t="shared" si="4"/>
        <v>ครบ</v>
      </c>
      <c r="I131" s="49"/>
      <c r="J131" s="49" t="e">
        <f>VLOOKUP(I131,Sheet2!$B$10:$C$18,2,FALSE)</f>
        <v>#N/A</v>
      </c>
      <c r="K131" s="67"/>
      <c r="L131" s="49"/>
      <c r="M131" s="49" t="e">
        <f>VLOOKUP(L131,Sheet2!$B$10:$C$18,2,FALSE)</f>
        <v>#N/A</v>
      </c>
      <c r="N131" s="67"/>
      <c r="O131" s="49"/>
      <c r="P131" s="49" t="e">
        <f>VLOOKUP(O131,Sheet2!$B$10:$C$18,2,FALSE)</f>
        <v>#N/A</v>
      </c>
      <c r="Q131" s="67"/>
      <c r="R131" s="49"/>
      <c r="S131" s="49" t="e">
        <f>VLOOKUP(R131,Sheet2!$B$10:$C$18,2,FALSE)</f>
        <v>#N/A</v>
      </c>
      <c r="T131" s="67"/>
      <c r="U131" s="67">
        <f t="shared" si="6"/>
        <v>0</v>
      </c>
      <c r="V131" s="67"/>
      <c r="W131" s="67"/>
      <c r="X131" s="67"/>
      <c r="Y131" s="66"/>
      <c r="Z131" s="66"/>
      <c r="AA131" s="66"/>
      <c r="AB131" s="66"/>
      <c r="AC131" s="66"/>
      <c r="AD131" s="42" t="str">
        <f t="shared" si="7"/>
        <v>ทันกำหนด</v>
      </c>
      <c r="AE131" s="43"/>
      <c r="AF131" s="43"/>
      <c r="AG131" s="43"/>
      <c r="AH131" s="44"/>
    </row>
    <row r="132" spans="1:34" ht="27.75" customHeight="1">
      <c r="A132" s="41">
        <v>129</v>
      </c>
      <c r="B132" s="66"/>
      <c r="C132" s="48"/>
      <c r="D132" s="48"/>
      <c r="E132" s="49"/>
      <c r="F132" s="49"/>
      <c r="G132" s="49">
        <f t="shared" si="5"/>
        <v>0</v>
      </c>
      <c r="H132" s="49" t="str">
        <f t="shared" ref="H132:H199" si="8">IF($G132=0,"ครบ","ไม่ครบ")</f>
        <v>ครบ</v>
      </c>
      <c r="I132" s="49"/>
      <c r="J132" s="49" t="e">
        <f>VLOOKUP(I132,Sheet2!$B$10:$C$18,2,FALSE)</f>
        <v>#N/A</v>
      </c>
      <c r="K132" s="67"/>
      <c r="L132" s="49"/>
      <c r="M132" s="49" t="e">
        <f>VLOOKUP(L132,Sheet2!$B$10:$C$18,2,FALSE)</f>
        <v>#N/A</v>
      </c>
      <c r="N132" s="67"/>
      <c r="O132" s="49"/>
      <c r="P132" s="49" t="e">
        <f>VLOOKUP(O132,Sheet2!$B$10:$C$18,2,FALSE)</f>
        <v>#N/A</v>
      </c>
      <c r="Q132" s="67"/>
      <c r="R132" s="49"/>
      <c r="S132" s="49" t="e">
        <f>VLOOKUP(R132,Sheet2!$B$10:$C$18,2,FALSE)</f>
        <v>#N/A</v>
      </c>
      <c r="T132" s="67"/>
      <c r="U132" s="67">
        <f t="shared" si="6"/>
        <v>0</v>
      </c>
      <c r="V132" s="67"/>
      <c r="W132" s="67"/>
      <c r="X132" s="67"/>
      <c r="Y132" s="66"/>
      <c r="Z132" s="66"/>
      <c r="AA132" s="66"/>
      <c r="AB132" s="66"/>
      <c r="AC132" s="66"/>
      <c r="AD132" s="42" t="str">
        <f t="shared" si="7"/>
        <v>ทันกำหนด</v>
      </c>
      <c r="AE132" s="43"/>
      <c r="AF132" s="43"/>
      <c r="AG132" s="43"/>
      <c r="AH132" s="44"/>
    </row>
    <row r="133" spans="1:34" ht="27.75" customHeight="1">
      <c r="A133" s="41">
        <v>130</v>
      </c>
      <c r="B133" s="66"/>
      <c r="C133" s="48"/>
      <c r="D133" s="48"/>
      <c r="E133" s="49"/>
      <c r="F133" s="49"/>
      <c r="G133" s="49">
        <f t="shared" ref="G133:G197" si="9">$E133-$F133</f>
        <v>0</v>
      </c>
      <c r="H133" s="49" t="str">
        <f t="shared" si="8"/>
        <v>ครบ</v>
      </c>
      <c r="I133" s="49"/>
      <c r="J133" s="49" t="e">
        <f>VLOOKUP(I133,Sheet2!$B$10:$C$18,2,FALSE)</f>
        <v>#N/A</v>
      </c>
      <c r="K133" s="67"/>
      <c r="L133" s="49"/>
      <c r="M133" s="49" t="e">
        <f>VLOOKUP(L133,Sheet2!$B$10:$C$18,2,FALSE)</f>
        <v>#N/A</v>
      </c>
      <c r="N133" s="67"/>
      <c r="O133" s="49"/>
      <c r="P133" s="49" t="e">
        <f>VLOOKUP(O133,Sheet2!$B$10:$C$18,2,FALSE)</f>
        <v>#N/A</v>
      </c>
      <c r="Q133" s="67"/>
      <c r="R133" s="49"/>
      <c r="S133" s="49" t="e">
        <f>VLOOKUP(R133,Sheet2!$B$10:$C$18,2,FALSE)</f>
        <v>#N/A</v>
      </c>
      <c r="T133" s="67"/>
      <c r="U133" s="67">
        <f t="shared" ref="U133:U196" si="10">$K133+$N133+$Q133+$T133</f>
        <v>0</v>
      </c>
      <c r="V133" s="67"/>
      <c r="W133" s="67"/>
      <c r="X133" s="67"/>
      <c r="Y133" s="66"/>
      <c r="Z133" s="66"/>
      <c r="AA133" s="66"/>
      <c r="AB133" s="66"/>
      <c r="AC133" s="66"/>
      <c r="AD133" s="42" t="str">
        <f t="shared" ref="AD133:AD201" si="11">IF($AA133&gt;$Z133,"เกินกำหนด","ทันกำหนด")</f>
        <v>ทันกำหนด</v>
      </c>
      <c r="AE133" s="43"/>
      <c r="AF133" s="43"/>
      <c r="AG133" s="43"/>
      <c r="AH133" s="44"/>
    </row>
    <row r="134" spans="1:34" ht="27.75" customHeight="1">
      <c r="A134" s="41">
        <v>131</v>
      </c>
      <c r="B134" s="66"/>
      <c r="C134" s="48"/>
      <c r="D134" s="48"/>
      <c r="E134" s="49"/>
      <c r="F134" s="49"/>
      <c r="G134" s="49">
        <f t="shared" si="9"/>
        <v>0</v>
      </c>
      <c r="H134" s="49" t="str">
        <f t="shared" si="8"/>
        <v>ครบ</v>
      </c>
      <c r="I134" s="49"/>
      <c r="J134" s="49" t="e">
        <f>VLOOKUP(I134,Sheet2!$B$10:$C$18,2,FALSE)</f>
        <v>#N/A</v>
      </c>
      <c r="K134" s="67"/>
      <c r="L134" s="49"/>
      <c r="M134" s="49" t="e">
        <f>VLOOKUP(L134,Sheet2!$B$10:$C$18,2,FALSE)</f>
        <v>#N/A</v>
      </c>
      <c r="N134" s="67"/>
      <c r="O134" s="49"/>
      <c r="P134" s="49" t="e">
        <f>VLOOKUP(O134,Sheet2!$B$10:$C$18,2,FALSE)</f>
        <v>#N/A</v>
      </c>
      <c r="Q134" s="67"/>
      <c r="R134" s="49"/>
      <c r="S134" s="49" t="e">
        <f>VLOOKUP(R134,Sheet2!$B$10:$C$18,2,FALSE)</f>
        <v>#N/A</v>
      </c>
      <c r="T134" s="67"/>
      <c r="U134" s="67">
        <f t="shared" si="10"/>
        <v>0</v>
      </c>
      <c r="V134" s="67"/>
      <c r="W134" s="67"/>
      <c r="X134" s="67"/>
      <c r="Y134" s="66"/>
      <c r="Z134" s="66"/>
      <c r="AA134" s="66"/>
      <c r="AB134" s="66"/>
      <c r="AC134" s="66"/>
      <c r="AD134" s="42" t="str">
        <f t="shared" si="11"/>
        <v>ทันกำหนด</v>
      </c>
      <c r="AE134" s="43"/>
      <c r="AF134" s="43"/>
      <c r="AG134" s="43"/>
      <c r="AH134" s="44"/>
    </row>
    <row r="135" spans="1:34" ht="27.75" customHeight="1">
      <c r="A135" s="41">
        <v>132</v>
      </c>
      <c r="B135" s="66"/>
      <c r="C135" s="48"/>
      <c r="D135" s="48"/>
      <c r="E135" s="49"/>
      <c r="F135" s="49"/>
      <c r="G135" s="49">
        <f t="shared" si="9"/>
        <v>0</v>
      </c>
      <c r="H135" s="49" t="str">
        <f t="shared" si="8"/>
        <v>ครบ</v>
      </c>
      <c r="I135" s="49"/>
      <c r="J135" s="49" t="e">
        <f>VLOOKUP(I135,Sheet2!$B$10:$C$18,2,FALSE)</f>
        <v>#N/A</v>
      </c>
      <c r="K135" s="67"/>
      <c r="L135" s="49"/>
      <c r="M135" s="49" t="e">
        <f>VLOOKUP(L135,Sheet2!$B$10:$C$18,2,FALSE)</f>
        <v>#N/A</v>
      </c>
      <c r="N135" s="67"/>
      <c r="O135" s="49"/>
      <c r="P135" s="49" t="e">
        <f>VLOOKUP(O135,Sheet2!$B$10:$C$18,2,FALSE)</f>
        <v>#N/A</v>
      </c>
      <c r="Q135" s="67"/>
      <c r="R135" s="49"/>
      <c r="S135" s="49" t="e">
        <f>VLOOKUP(R135,Sheet2!$B$10:$C$18,2,FALSE)</f>
        <v>#N/A</v>
      </c>
      <c r="T135" s="67"/>
      <c r="U135" s="67">
        <f t="shared" si="10"/>
        <v>0</v>
      </c>
      <c r="V135" s="67"/>
      <c r="W135" s="67"/>
      <c r="X135" s="67"/>
      <c r="Y135" s="66"/>
      <c r="Z135" s="66"/>
      <c r="AA135" s="66"/>
      <c r="AB135" s="66"/>
      <c r="AC135" s="66"/>
      <c r="AD135" s="42" t="str">
        <f t="shared" si="11"/>
        <v>ทันกำหนด</v>
      </c>
      <c r="AE135" s="43"/>
      <c r="AF135" s="43"/>
      <c r="AG135" s="43"/>
      <c r="AH135" s="44"/>
    </row>
    <row r="136" spans="1:34" ht="27.75" customHeight="1">
      <c r="A136" s="41">
        <v>133</v>
      </c>
      <c r="B136" s="66"/>
      <c r="C136" s="48"/>
      <c r="D136" s="48"/>
      <c r="E136" s="49"/>
      <c r="F136" s="49"/>
      <c r="G136" s="49">
        <f t="shared" si="9"/>
        <v>0</v>
      </c>
      <c r="H136" s="49" t="str">
        <f t="shared" si="8"/>
        <v>ครบ</v>
      </c>
      <c r="I136" s="49"/>
      <c r="J136" s="49" t="e">
        <f>VLOOKUP(I136,Sheet2!$B$10:$C$18,2,FALSE)</f>
        <v>#N/A</v>
      </c>
      <c r="K136" s="67"/>
      <c r="L136" s="49"/>
      <c r="M136" s="49" t="e">
        <f>VLOOKUP(L136,Sheet2!$B$10:$C$18,2,FALSE)</f>
        <v>#N/A</v>
      </c>
      <c r="N136" s="67"/>
      <c r="O136" s="49"/>
      <c r="P136" s="49" t="e">
        <f>VLOOKUP(O136,Sheet2!$B$10:$C$18,2,FALSE)</f>
        <v>#N/A</v>
      </c>
      <c r="Q136" s="67"/>
      <c r="R136" s="49"/>
      <c r="S136" s="49" t="e">
        <f>VLOOKUP(R136,Sheet2!$B$10:$C$18,2,FALSE)</f>
        <v>#N/A</v>
      </c>
      <c r="T136" s="67"/>
      <c r="U136" s="67">
        <f t="shared" si="10"/>
        <v>0</v>
      </c>
      <c r="V136" s="67"/>
      <c r="W136" s="67"/>
      <c r="X136" s="67"/>
      <c r="Y136" s="66"/>
      <c r="Z136" s="66"/>
      <c r="AA136" s="66"/>
      <c r="AB136" s="66"/>
      <c r="AC136" s="66"/>
      <c r="AD136" s="42" t="str">
        <f t="shared" si="11"/>
        <v>ทันกำหนด</v>
      </c>
      <c r="AE136" s="43"/>
      <c r="AF136" s="43"/>
      <c r="AG136" s="43"/>
      <c r="AH136" s="44"/>
    </row>
    <row r="137" spans="1:34" ht="27.75" customHeight="1">
      <c r="A137" s="41">
        <v>134</v>
      </c>
      <c r="B137" s="66"/>
      <c r="C137" s="48"/>
      <c r="D137" s="48"/>
      <c r="E137" s="49"/>
      <c r="F137" s="49"/>
      <c r="G137" s="49">
        <f t="shared" si="9"/>
        <v>0</v>
      </c>
      <c r="H137" s="49" t="str">
        <f t="shared" si="8"/>
        <v>ครบ</v>
      </c>
      <c r="I137" s="49"/>
      <c r="J137" s="49" t="e">
        <f>VLOOKUP(I137,Sheet2!$B$10:$C$18,2,FALSE)</f>
        <v>#N/A</v>
      </c>
      <c r="K137" s="67"/>
      <c r="L137" s="49"/>
      <c r="M137" s="49" t="e">
        <f>VLOOKUP(L137,Sheet2!$B$10:$C$18,2,FALSE)</f>
        <v>#N/A</v>
      </c>
      <c r="N137" s="67"/>
      <c r="O137" s="49"/>
      <c r="P137" s="49" t="e">
        <f>VLOOKUP(O137,Sheet2!$B$10:$C$18,2,FALSE)</f>
        <v>#N/A</v>
      </c>
      <c r="Q137" s="67"/>
      <c r="R137" s="49"/>
      <c r="S137" s="49" t="e">
        <f>VLOOKUP(R137,Sheet2!$B$10:$C$18,2,FALSE)</f>
        <v>#N/A</v>
      </c>
      <c r="T137" s="67"/>
      <c r="U137" s="67">
        <f t="shared" si="10"/>
        <v>0</v>
      </c>
      <c r="V137" s="67"/>
      <c r="W137" s="67"/>
      <c r="X137" s="67"/>
      <c r="Y137" s="66"/>
      <c r="Z137" s="66"/>
      <c r="AA137" s="66"/>
      <c r="AB137" s="66"/>
      <c r="AC137" s="66"/>
      <c r="AD137" s="42" t="str">
        <f t="shared" si="11"/>
        <v>ทันกำหนด</v>
      </c>
      <c r="AE137" s="43"/>
      <c r="AF137" s="43"/>
      <c r="AG137" s="43"/>
      <c r="AH137" s="44"/>
    </row>
    <row r="138" spans="1:34" ht="27.75" customHeight="1">
      <c r="A138" s="41">
        <v>135</v>
      </c>
      <c r="B138" s="66"/>
      <c r="C138" s="48"/>
      <c r="D138" s="48"/>
      <c r="E138" s="49"/>
      <c r="F138" s="49"/>
      <c r="G138" s="49">
        <f t="shared" si="9"/>
        <v>0</v>
      </c>
      <c r="H138" s="49" t="str">
        <f t="shared" si="8"/>
        <v>ครบ</v>
      </c>
      <c r="I138" s="49"/>
      <c r="J138" s="49" t="e">
        <f>VLOOKUP(I138,Sheet2!$B$10:$C$18,2,FALSE)</f>
        <v>#N/A</v>
      </c>
      <c r="K138" s="67"/>
      <c r="L138" s="49"/>
      <c r="M138" s="49" t="e">
        <f>VLOOKUP(L138,Sheet2!$B$10:$C$18,2,FALSE)</f>
        <v>#N/A</v>
      </c>
      <c r="N138" s="67"/>
      <c r="O138" s="49"/>
      <c r="P138" s="49" t="e">
        <f>VLOOKUP(O138,Sheet2!$B$10:$C$18,2,FALSE)</f>
        <v>#N/A</v>
      </c>
      <c r="Q138" s="67"/>
      <c r="R138" s="49"/>
      <c r="S138" s="49" t="e">
        <f>VLOOKUP(R138,Sheet2!$B$10:$C$18,2,FALSE)</f>
        <v>#N/A</v>
      </c>
      <c r="T138" s="67"/>
      <c r="U138" s="67">
        <f t="shared" si="10"/>
        <v>0</v>
      </c>
      <c r="V138" s="67"/>
      <c r="W138" s="67"/>
      <c r="X138" s="67"/>
      <c r="Y138" s="66"/>
      <c r="Z138" s="66"/>
      <c r="AA138" s="66"/>
      <c r="AB138" s="66"/>
      <c r="AC138" s="66"/>
      <c r="AD138" s="42" t="str">
        <f t="shared" si="11"/>
        <v>ทันกำหนด</v>
      </c>
      <c r="AE138" s="43"/>
      <c r="AF138" s="43"/>
      <c r="AG138" s="43"/>
      <c r="AH138" s="44"/>
    </row>
    <row r="139" spans="1:34" ht="27.75" customHeight="1">
      <c r="A139" s="41">
        <v>136</v>
      </c>
      <c r="B139" s="66"/>
      <c r="C139" s="48"/>
      <c r="D139" s="48"/>
      <c r="E139" s="49"/>
      <c r="F139" s="49"/>
      <c r="G139" s="49">
        <f t="shared" si="9"/>
        <v>0</v>
      </c>
      <c r="H139" s="49" t="str">
        <f t="shared" si="8"/>
        <v>ครบ</v>
      </c>
      <c r="I139" s="49"/>
      <c r="J139" s="49" t="e">
        <f>VLOOKUP(I139,Sheet2!$B$10:$C$18,2,FALSE)</f>
        <v>#N/A</v>
      </c>
      <c r="K139" s="67"/>
      <c r="L139" s="49"/>
      <c r="M139" s="49" t="e">
        <f>VLOOKUP(L139,Sheet2!$B$10:$C$18,2,FALSE)</f>
        <v>#N/A</v>
      </c>
      <c r="N139" s="67"/>
      <c r="O139" s="49"/>
      <c r="P139" s="49" t="e">
        <f>VLOOKUP(O139,Sheet2!$B$10:$C$18,2,FALSE)</f>
        <v>#N/A</v>
      </c>
      <c r="Q139" s="67"/>
      <c r="R139" s="49"/>
      <c r="S139" s="49" t="e">
        <f>VLOOKUP(R139,Sheet2!$B$10:$C$18,2,FALSE)</f>
        <v>#N/A</v>
      </c>
      <c r="T139" s="67"/>
      <c r="U139" s="67">
        <f t="shared" si="10"/>
        <v>0</v>
      </c>
      <c r="V139" s="67"/>
      <c r="W139" s="67"/>
      <c r="X139" s="67"/>
      <c r="Y139" s="66"/>
      <c r="Z139" s="66"/>
      <c r="AA139" s="66"/>
      <c r="AB139" s="66"/>
      <c r="AC139" s="66"/>
      <c r="AD139" s="42" t="str">
        <f t="shared" si="11"/>
        <v>ทันกำหนด</v>
      </c>
      <c r="AE139" s="43"/>
      <c r="AF139" s="43"/>
      <c r="AG139" s="43"/>
      <c r="AH139" s="69"/>
    </row>
    <row r="140" spans="1:34" ht="27.75" customHeight="1">
      <c r="A140" s="41">
        <v>137</v>
      </c>
      <c r="B140" s="66"/>
      <c r="C140" s="48"/>
      <c r="D140" s="48"/>
      <c r="E140" s="49"/>
      <c r="F140" s="49"/>
      <c r="G140" s="49">
        <f t="shared" si="9"/>
        <v>0</v>
      </c>
      <c r="H140" s="49" t="str">
        <f t="shared" si="8"/>
        <v>ครบ</v>
      </c>
      <c r="I140" s="49"/>
      <c r="J140" s="49" t="e">
        <f>VLOOKUP(I140,Sheet2!$B$10:$C$18,2,FALSE)</f>
        <v>#N/A</v>
      </c>
      <c r="K140" s="67"/>
      <c r="L140" s="49"/>
      <c r="M140" s="49" t="e">
        <f>VLOOKUP(L140,Sheet2!$B$10:$C$18,2,FALSE)</f>
        <v>#N/A</v>
      </c>
      <c r="N140" s="67"/>
      <c r="O140" s="49"/>
      <c r="P140" s="49" t="e">
        <f>VLOOKUP(O140,Sheet2!$B$10:$C$18,2,FALSE)</f>
        <v>#N/A</v>
      </c>
      <c r="Q140" s="67"/>
      <c r="R140" s="49"/>
      <c r="S140" s="49" t="e">
        <f>VLOOKUP(R140,Sheet2!$B$10:$C$18,2,FALSE)</f>
        <v>#N/A</v>
      </c>
      <c r="T140" s="67"/>
      <c r="U140" s="67">
        <f t="shared" si="10"/>
        <v>0</v>
      </c>
      <c r="V140" s="67"/>
      <c r="W140" s="67"/>
      <c r="X140" s="67"/>
      <c r="Y140" s="66"/>
      <c r="Z140" s="66"/>
      <c r="AA140" s="66"/>
      <c r="AB140" s="66"/>
      <c r="AC140" s="66"/>
      <c r="AD140" s="42" t="str">
        <f t="shared" si="11"/>
        <v>ทันกำหนด</v>
      </c>
      <c r="AE140" s="43"/>
      <c r="AF140" s="43"/>
      <c r="AG140" s="43"/>
      <c r="AH140" s="44"/>
    </row>
    <row r="141" spans="1:34" ht="27.75" customHeight="1">
      <c r="A141" s="41">
        <v>138</v>
      </c>
      <c r="B141" s="66"/>
      <c r="C141" s="48"/>
      <c r="D141" s="48"/>
      <c r="E141" s="49"/>
      <c r="F141" s="49"/>
      <c r="G141" s="49">
        <f t="shared" si="9"/>
        <v>0</v>
      </c>
      <c r="H141" s="49" t="str">
        <f t="shared" si="8"/>
        <v>ครบ</v>
      </c>
      <c r="I141" s="49"/>
      <c r="J141" s="49" t="e">
        <f>VLOOKUP(I141,Sheet2!$B$10:$C$18,2,FALSE)</f>
        <v>#N/A</v>
      </c>
      <c r="K141" s="67"/>
      <c r="L141" s="49"/>
      <c r="M141" s="49" t="e">
        <f>VLOOKUP(L141,Sheet2!$B$10:$C$18,2,FALSE)</f>
        <v>#N/A</v>
      </c>
      <c r="N141" s="67"/>
      <c r="O141" s="49"/>
      <c r="P141" s="49" t="e">
        <f>VLOOKUP(O141,Sheet2!$B$10:$C$18,2,FALSE)</f>
        <v>#N/A</v>
      </c>
      <c r="Q141" s="67"/>
      <c r="R141" s="49"/>
      <c r="S141" s="49" t="e">
        <f>VLOOKUP(R141,Sheet2!$B$10:$C$18,2,FALSE)</f>
        <v>#N/A</v>
      </c>
      <c r="T141" s="67"/>
      <c r="U141" s="67">
        <f t="shared" si="10"/>
        <v>0</v>
      </c>
      <c r="V141" s="67"/>
      <c r="W141" s="67"/>
      <c r="X141" s="67"/>
      <c r="Y141" s="66"/>
      <c r="Z141" s="66"/>
      <c r="AA141" s="66"/>
      <c r="AB141" s="66"/>
      <c r="AC141" s="66"/>
      <c r="AD141" s="42" t="str">
        <f t="shared" si="11"/>
        <v>ทันกำหนด</v>
      </c>
      <c r="AE141" s="43"/>
      <c r="AF141" s="43"/>
      <c r="AG141" s="43"/>
      <c r="AH141" s="44"/>
    </row>
    <row r="142" spans="1:34" ht="27.75" customHeight="1">
      <c r="A142" s="41">
        <v>139</v>
      </c>
      <c r="B142" s="66"/>
      <c r="C142" s="48"/>
      <c r="D142" s="48"/>
      <c r="E142" s="49"/>
      <c r="F142" s="49"/>
      <c r="G142" s="49">
        <f t="shared" si="9"/>
        <v>0</v>
      </c>
      <c r="H142" s="49" t="str">
        <f t="shared" si="8"/>
        <v>ครบ</v>
      </c>
      <c r="I142" s="49"/>
      <c r="J142" s="49" t="e">
        <f>VLOOKUP(I142,Sheet2!$B$10:$C$18,2,FALSE)</f>
        <v>#N/A</v>
      </c>
      <c r="K142" s="67"/>
      <c r="L142" s="49"/>
      <c r="M142" s="49" t="e">
        <f>VLOOKUP(L142,Sheet2!$B$10:$C$18,2,FALSE)</f>
        <v>#N/A</v>
      </c>
      <c r="N142" s="67"/>
      <c r="O142" s="49"/>
      <c r="P142" s="49" t="e">
        <f>VLOOKUP(O142,Sheet2!$B$10:$C$18,2,FALSE)</f>
        <v>#N/A</v>
      </c>
      <c r="Q142" s="67"/>
      <c r="R142" s="49"/>
      <c r="S142" s="49" t="e">
        <f>VLOOKUP(R142,Sheet2!$B$10:$C$18,2,FALSE)</f>
        <v>#N/A</v>
      </c>
      <c r="T142" s="67"/>
      <c r="U142" s="67">
        <f t="shared" si="10"/>
        <v>0</v>
      </c>
      <c r="V142" s="67"/>
      <c r="W142" s="67"/>
      <c r="X142" s="67"/>
      <c r="Y142" s="66"/>
      <c r="Z142" s="66"/>
      <c r="AA142" s="66"/>
      <c r="AB142" s="66"/>
      <c r="AC142" s="66"/>
      <c r="AD142" s="42" t="str">
        <f t="shared" si="11"/>
        <v>ทันกำหนด</v>
      </c>
      <c r="AE142" s="43"/>
      <c r="AF142" s="43"/>
      <c r="AG142" s="43"/>
      <c r="AH142" s="44"/>
    </row>
    <row r="143" spans="1:34" ht="27.75" customHeight="1">
      <c r="A143" s="41">
        <v>140</v>
      </c>
      <c r="B143" s="66"/>
      <c r="C143" s="48"/>
      <c r="D143" s="48"/>
      <c r="E143" s="49"/>
      <c r="F143" s="49"/>
      <c r="G143" s="49">
        <f t="shared" si="9"/>
        <v>0</v>
      </c>
      <c r="H143" s="49" t="str">
        <f t="shared" si="8"/>
        <v>ครบ</v>
      </c>
      <c r="I143" s="49"/>
      <c r="J143" s="49" t="e">
        <f>VLOOKUP(I143,Sheet2!$B$10:$C$18,2,FALSE)</f>
        <v>#N/A</v>
      </c>
      <c r="K143" s="67"/>
      <c r="L143" s="49"/>
      <c r="M143" s="49" t="e">
        <f>VLOOKUP(L143,Sheet2!$B$10:$C$18,2,FALSE)</f>
        <v>#N/A</v>
      </c>
      <c r="N143" s="67"/>
      <c r="O143" s="49"/>
      <c r="P143" s="49" t="e">
        <f>VLOOKUP(O143,Sheet2!$B$10:$C$18,2,FALSE)</f>
        <v>#N/A</v>
      </c>
      <c r="Q143" s="67"/>
      <c r="R143" s="49"/>
      <c r="S143" s="49" t="e">
        <f>VLOOKUP(R143,Sheet2!$B$10:$C$18,2,FALSE)</f>
        <v>#N/A</v>
      </c>
      <c r="T143" s="67"/>
      <c r="U143" s="67">
        <f t="shared" si="10"/>
        <v>0</v>
      </c>
      <c r="V143" s="67"/>
      <c r="W143" s="67"/>
      <c r="X143" s="67"/>
      <c r="Y143" s="66"/>
      <c r="Z143" s="66"/>
      <c r="AA143" s="66"/>
      <c r="AB143" s="66"/>
      <c r="AC143" s="66"/>
      <c r="AD143" s="42" t="str">
        <f t="shared" si="11"/>
        <v>ทันกำหนด</v>
      </c>
      <c r="AE143" s="43"/>
      <c r="AF143" s="43"/>
      <c r="AG143" s="43"/>
      <c r="AH143" s="44"/>
    </row>
    <row r="144" spans="1:34" ht="27.75" customHeight="1">
      <c r="A144" s="41">
        <v>141</v>
      </c>
      <c r="B144" s="66"/>
      <c r="C144" s="48"/>
      <c r="D144" s="48"/>
      <c r="E144" s="49"/>
      <c r="F144" s="49"/>
      <c r="G144" s="49">
        <f t="shared" si="9"/>
        <v>0</v>
      </c>
      <c r="H144" s="49" t="str">
        <f t="shared" si="8"/>
        <v>ครบ</v>
      </c>
      <c r="I144" s="49"/>
      <c r="J144" s="49" t="e">
        <f>VLOOKUP(I144,Sheet2!$B$10:$C$18,2,FALSE)</f>
        <v>#N/A</v>
      </c>
      <c r="K144" s="67"/>
      <c r="L144" s="49"/>
      <c r="M144" s="49" t="e">
        <f>VLOOKUP(L144,Sheet2!$B$10:$C$18,2,FALSE)</f>
        <v>#N/A</v>
      </c>
      <c r="N144" s="67"/>
      <c r="O144" s="49"/>
      <c r="P144" s="49" t="e">
        <f>VLOOKUP(O144,Sheet2!$B$10:$C$18,2,FALSE)</f>
        <v>#N/A</v>
      </c>
      <c r="Q144" s="67"/>
      <c r="R144" s="49"/>
      <c r="S144" s="49" t="e">
        <f>VLOOKUP(R144,Sheet2!$B$10:$C$18,2,FALSE)</f>
        <v>#N/A</v>
      </c>
      <c r="T144" s="67"/>
      <c r="U144" s="67">
        <f t="shared" si="10"/>
        <v>0</v>
      </c>
      <c r="V144" s="67"/>
      <c r="W144" s="67"/>
      <c r="X144" s="67"/>
      <c r="Y144" s="66"/>
      <c r="Z144" s="66"/>
      <c r="AA144" s="66"/>
      <c r="AB144" s="66"/>
      <c r="AC144" s="66"/>
      <c r="AD144" s="42" t="str">
        <f t="shared" si="11"/>
        <v>ทันกำหนด</v>
      </c>
      <c r="AE144" s="43"/>
      <c r="AF144" s="43"/>
      <c r="AG144" s="43"/>
      <c r="AH144" s="44"/>
    </row>
    <row r="145" spans="1:34" ht="27.75" customHeight="1">
      <c r="A145" s="41">
        <v>142</v>
      </c>
      <c r="B145" s="66"/>
      <c r="C145" s="48"/>
      <c r="D145" s="48"/>
      <c r="E145" s="49"/>
      <c r="F145" s="49"/>
      <c r="G145" s="49">
        <f t="shared" si="9"/>
        <v>0</v>
      </c>
      <c r="H145" s="49" t="str">
        <f t="shared" si="8"/>
        <v>ครบ</v>
      </c>
      <c r="I145" s="49"/>
      <c r="J145" s="49" t="e">
        <f>VLOOKUP(I145,Sheet2!$B$10:$C$18,2,FALSE)</f>
        <v>#N/A</v>
      </c>
      <c r="K145" s="67"/>
      <c r="L145" s="49"/>
      <c r="M145" s="49" t="e">
        <f>VLOOKUP(L145,Sheet2!$B$10:$C$18,2,FALSE)</f>
        <v>#N/A</v>
      </c>
      <c r="N145" s="67"/>
      <c r="O145" s="49"/>
      <c r="P145" s="49" t="e">
        <f>VLOOKUP(O145,Sheet2!$B$10:$C$18,2,FALSE)</f>
        <v>#N/A</v>
      </c>
      <c r="Q145" s="67"/>
      <c r="R145" s="49"/>
      <c r="S145" s="49" t="e">
        <f>VLOOKUP(R145,Sheet2!$B$10:$C$18,2,FALSE)</f>
        <v>#N/A</v>
      </c>
      <c r="T145" s="67"/>
      <c r="U145" s="67">
        <f t="shared" si="10"/>
        <v>0</v>
      </c>
      <c r="V145" s="67"/>
      <c r="W145" s="67"/>
      <c r="X145" s="67"/>
      <c r="Y145" s="66"/>
      <c r="Z145" s="66"/>
      <c r="AA145" s="66"/>
      <c r="AB145" s="66"/>
      <c r="AC145" s="66"/>
      <c r="AD145" s="42" t="str">
        <f t="shared" si="11"/>
        <v>ทันกำหนด</v>
      </c>
      <c r="AE145" s="43"/>
      <c r="AF145" s="43"/>
      <c r="AG145" s="43"/>
      <c r="AH145" s="44"/>
    </row>
    <row r="146" spans="1:34" ht="27.75" customHeight="1">
      <c r="A146" s="41">
        <v>143</v>
      </c>
      <c r="B146" s="66"/>
      <c r="C146" s="48"/>
      <c r="D146" s="48"/>
      <c r="E146" s="49"/>
      <c r="F146" s="49"/>
      <c r="G146" s="49">
        <f t="shared" si="9"/>
        <v>0</v>
      </c>
      <c r="H146" s="49" t="str">
        <f t="shared" si="8"/>
        <v>ครบ</v>
      </c>
      <c r="I146" s="49"/>
      <c r="J146" s="49" t="e">
        <f>VLOOKUP(I146,Sheet2!$B$10:$C$18,2,FALSE)</f>
        <v>#N/A</v>
      </c>
      <c r="K146" s="67"/>
      <c r="L146" s="49"/>
      <c r="M146" s="49" t="e">
        <f>VLOOKUP(L146,Sheet2!$B$10:$C$18,2,FALSE)</f>
        <v>#N/A</v>
      </c>
      <c r="N146" s="67"/>
      <c r="O146" s="49"/>
      <c r="P146" s="49" t="e">
        <f>VLOOKUP(O146,Sheet2!$B$10:$C$18,2,FALSE)</f>
        <v>#N/A</v>
      </c>
      <c r="Q146" s="67"/>
      <c r="R146" s="49"/>
      <c r="S146" s="49" t="e">
        <f>VLOOKUP(R146,Sheet2!$B$10:$C$18,2,FALSE)</f>
        <v>#N/A</v>
      </c>
      <c r="T146" s="67"/>
      <c r="U146" s="67">
        <f t="shared" si="10"/>
        <v>0</v>
      </c>
      <c r="V146" s="67"/>
      <c r="W146" s="67"/>
      <c r="X146" s="67"/>
      <c r="Y146" s="66"/>
      <c r="Z146" s="66"/>
      <c r="AA146" s="66"/>
      <c r="AB146" s="66"/>
      <c r="AC146" s="66"/>
      <c r="AD146" s="42" t="str">
        <f t="shared" si="11"/>
        <v>ทันกำหนด</v>
      </c>
      <c r="AE146" s="43"/>
      <c r="AF146" s="43"/>
      <c r="AG146" s="43"/>
      <c r="AH146" s="44"/>
    </row>
    <row r="147" spans="1:34" ht="27.75" customHeight="1">
      <c r="A147" s="41">
        <v>144</v>
      </c>
      <c r="B147" s="66"/>
      <c r="C147" s="48"/>
      <c r="D147" s="48"/>
      <c r="E147" s="49"/>
      <c r="F147" s="49"/>
      <c r="G147" s="49">
        <f t="shared" si="9"/>
        <v>0</v>
      </c>
      <c r="H147" s="49" t="str">
        <f t="shared" si="8"/>
        <v>ครบ</v>
      </c>
      <c r="I147" s="49"/>
      <c r="J147" s="49" t="e">
        <f>VLOOKUP(I147,Sheet2!$B$10:$C$18,2,FALSE)</f>
        <v>#N/A</v>
      </c>
      <c r="K147" s="67"/>
      <c r="L147" s="49"/>
      <c r="M147" s="49" t="e">
        <f>VLOOKUP(L147,Sheet2!$B$10:$C$18,2,FALSE)</f>
        <v>#N/A</v>
      </c>
      <c r="N147" s="67"/>
      <c r="O147" s="49"/>
      <c r="P147" s="49" t="e">
        <f>VLOOKUP(O147,Sheet2!$B$10:$C$18,2,FALSE)</f>
        <v>#N/A</v>
      </c>
      <c r="Q147" s="67"/>
      <c r="R147" s="49"/>
      <c r="S147" s="49" t="e">
        <f>VLOOKUP(R147,Sheet2!$B$10:$C$18,2,FALSE)</f>
        <v>#N/A</v>
      </c>
      <c r="T147" s="67"/>
      <c r="U147" s="67">
        <f t="shared" si="10"/>
        <v>0</v>
      </c>
      <c r="V147" s="67"/>
      <c r="W147" s="67"/>
      <c r="X147" s="67"/>
      <c r="Y147" s="66"/>
      <c r="Z147" s="66"/>
      <c r="AA147" s="66"/>
      <c r="AB147" s="66"/>
      <c r="AC147" s="66"/>
      <c r="AD147" s="42" t="str">
        <f t="shared" si="11"/>
        <v>ทันกำหนด</v>
      </c>
      <c r="AE147" s="43"/>
      <c r="AF147" s="43"/>
      <c r="AG147" s="43"/>
      <c r="AH147" s="44"/>
    </row>
    <row r="148" spans="1:34" ht="27.75" customHeight="1">
      <c r="A148" s="41">
        <v>145</v>
      </c>
      <c r="B148" s="66"/>
      <c r="C148" s="48"/>
      <c r="D148" s="48"/>
      <c r="E148" s="49"/>
      <c r="F148" s="49"/>
      <c r="G148" s="49">
        <f t="shared" si="9"/>
        <v>0</v>
      </c>
      <c r="H148" s="49" t="str">
        <f t="shared" si="8"/>
        <v>ครบ</v>
      </c>
      <c r="I148" s="49"/>
      <c r="J148" s="49" t="e">
        <f>VLOOKUP(I148,Sheet2!$B$10:$C$18,2,FALSE)</f>
        <v>#N/A</v>
      </c>
      <c r="K148" s="67"/>
      <c r="L148" s="49"/>
      <c r="M148" s="49" t="e">
        <f>VLOOKUP(L148,Sheet2!$B$10:$C$18,2,FALSE)</f>
        <v>#N/A</v>
      </c>
      <c r="N148" s="67"/>
      <c r="O148" s="49"/>
      <c r="P148" s="49" t="e">
        <f>VLOOKUP(O148,Sheet2!$B$10:$C$18,2,FALSE)</f>
        <v>#N/A</v>
      </c>
      <c r="Q148" s="67"/>
      <c r="R148" s="49"/>
      <c r="S148" s="49" t="e">
        <f>VLOOKUP(R148,Sheet2!$B$10:$C$18,2,FALSE)</f>
        <v>#N/A</v>
      </c>
      <c r="T148" s="67"/>
      <c r="U148" s="67">
        <f t="shared" si="10"/>
        <v>0</v>
      </c>
      <c r="V148" s="67"/>
      <c r="W148" s="67"/>
      <c r="X148" s="67"/>
      <c r="Y148" s="66"/>
      <c r="Z148" s="66"/>
      <c r="AA148" s="66"/>
      <c r="AB148" s="66"/>
      <c r="AC148" s="66"/>
      <c r="AD148" s="42" t="str">
        <f t="shared" si="11"/>
        <v>ทันกำหนด</v>
      </c>
      <c r="AE148" s="43"/>
      <c r="AF148" s="43"/>
      <c r="AG148" s="43"/>
      <c r="AH148" s="44"/>
    </row>
    <row r="149" spans="1:34" ht="27.75" customHeight="1">
      <c r="A149" s="41">
        <v>146</v>
      </c>
      <c r="B149" s="66"/>
      <c r="C149" s="48"/>
      <c r="D149" s="48"/>
      <c r="E149" s="49"/>
      <c r="F149" s="49"/>
      <c r="G149" s="49">
        <f t="shared" si="9"/>
        <v>0</v>
      </c>
      <c r="H149" s="49" t="str">
        <f t="shared" si="8"/>
        <v>ครบ</v>
      </c>
      <c r="I149" s="49"/>
      <c r="J149" s="49" t="e">
        <f>VLOOKUP(I149,Sheet2!$B$10:$C$18,2,FALSE)</f>
        <v>#N/A</v>
      </c>
      <c r="K149" s="67"/>
      <c r="L149" s="49"/>
      <c r="M149" s="49" t="e">
        <f>VLOOKUP(L149,Sheet2!$B$10:$C$18,2,FALSE)</f>
        <v>#N/A</v>
      </c>
      <c r="N149" s="67"/>
      <c r="O149" s="49"/>
      <c r="P149" s="49" t="e">
        <f>VLOOKUP(O149,Sheet2!$B$10:$C$18,2,FALSE)</f>
        <v>#N/A</v>
      </c>
      <c r="Q149" s="67"/>
      <c r="R149" s="49"/>
      <c r="S149" s="49" t="e">
        <f>VLOOKUP(R149,Sheet2!$B$10:$C$18,2,FALSE)</f>
        <v>#N/A</v>
      </c>
      <c r="T149" s="67"/>
      <c r="U149" s="67">
        <f t="shared" si="10"/>
        <v>0</v>
      </c>
      <c r="V149" s="67"/>
      <c r="W149" s="67"/>
      <c r="X149" s="67"/>
      <c r="Y149" s="66"/>
      <c r="Z149" s="66"/>
      <c r="AA149" s="66"/>
      <c r="AB149" s="66"/>
      <c r="AC149" s="66"/>
      <c r="AD149" s="42" t="str">
        <f t="shared" si="11"/>
        <v>ทันกำหนด</v>
      </c>
      <c r="AE149" s="43"/>
      <c r="AF149" s="43"/>
      <c r="AG149" s="43"/>
      <c r="AH149" s="44"/>
    </row>
    <row r="150" spans="1:34" ht="27.75" customHeight="1">
      <c r="A150" s="41">
        <v>147</v>
      </c>
      <c r="B150" s="66"/>
      <c r="C150" s="48"/>
      <c r="D150" s="48"/>
      <c r="E150" s="49"/>
      <c r="F150" s="49"/>
      <c r="G150" s="49">
        <f t="shared" si="9"/>
        <v>0</v>
      </c>
      <c r="H150" s="49" t="str">
        <f t="shared" si="8"/>
        <v>ครบ</v>
      </c>
      <c r="I150" s="49"/>
      <c r="J150" s="49" t="e">
        <f>VLOOKUP(I150,Sheet2!$B$10:$C$18,2,FALSE)</f>
        <v>#N/A</v>
      </c>
      <c r="K150" s="67"/>
      <c r="L150" s="49"/>
      <c r="M150" s="49" t="e">
        <f>VLOOKUP(L150,Sheet2!$B$10:$C$18,2,FALSE)</f>
        <v>#N/A</v>
      </c>
      <c r="N150" s="67"/>
      <c r="O150" s="49"/>
      <c r="P150" s="49" t="e">
        <f>VLOOKUP(O150,Sheet2!$B$10:$C$18,2,FALSE)</f>
        <v>#N/A</v>
      </c>
      <c r="Q150" s="67"/>
      <c r="R150" s="49"/>
      <c r="S150" s="49" t="e">
        <f>VLOOKUP(R150,Sheet2!$B$10:$C$18,2,FALSE)</f>
        <v>#N/A</v>
      </c>
      <c r="T150" s="67"/>
      <c r="U150" s="67">
        <f t="shared" si="10"/>
        <v>0</v>
      </c>
      <c r="V150" s="67"/>
      <c r="W150" s="67"/>
      <c r="X150" s="67"/>
      <c r="Y150" s="66"/>
      <c r="Z150" s="66"/>
      <c r="AA150" s="66"/>
      <c r="AB150" s="66"/>
      <c r="AC150" s="66"/>
      <c r="AD150" s="42" t="str">
        <f t="shared" si="11"/>
        <v>ทันกำหนด</v>
      </c>
      <c r="AE150" s="43"/>
      <c r="AF150" s="43"/>
      <c r="AG150" s="43"/>
      <c r="AH150" s="44"/>
    </row>
    <row r="151" spans="1:34" ht="27.75" customHeight="1">
      <c r="A151" s="41">
        <v>148</v>
      </c>
      <c r="B151" s="66"/>
      <c r="C151" s="48"/>
      <c r="D151" s="48"/>
      <c r="E151" s="49"/>
      <c r="F151" s="49"/>
      <c r="G151" s="49">
        <f t="shared" si="9"/>
        <v>0</v>
      </c>
      <c r="H151" s="49" t="str">
        <f t="shared" si="8"/>
        <v>ครบ</v>
      </c>
      <c r="I151" s="49"/>
      <c r="J151" s="49" t="e">
        <f>VLOOKUP(I151,Sheet2!$B$10:$C$18,2,FALSE)</f>
        <v>#N/A</v>
      </c>
      <c r="K151" s="67"/>
      <c r="L151" s="49"/>
      <c r="M151" s="49" t="e">
        <f>VLOOKUP(L151,Sheet2!$B$10:$C$18,2,FALSE)</f>
        <v>#N/A</v>
      </c>
      <c r="N151" s="67"/>
      <c r="O151" s="49"/>
      <c r="P151" s="49" t="e">
        <f>VLOOKUP(O151,Sheet2!$B$10:$C$18,2,FALSE)</f>
        <v>#N/A</v>
      </c>
      <c r="Q151" s="67"/>
      <c r="R151" s="49"/>
      <c r="S151" s="49" t="e">
        <f>VLOOKUP(R151,Sheet2!$B$10:$C$18,2,FALSE)</f>
        <v>#N/A</v>
      </c>
      <c r="T151" s="67"/>
      <c r="U151" s="67">
        <f t="shared" si="10"/>
        <v>0</v>
      </c>
      <c r="V151" s="67"/>
      <c r="W151" s="67"/>
      <c r="X151" s="67"/>
      <c r="Y151" s="66"/>
      <c r="Z151" s="66"/>
      <c r="AA151" s="66"/>
      <c r="AB151" s="66"/>
      <c r="AC151" s="66"/>
      <c r="AD151" s="42" t="str">
        <f t="shared" si="11"/>
        <v>ทันกำหนด</v>
      </c>
      <c r="AE151" s="43"/>
      <c r="AF151" s="43"/>
      <c r="AG151" s="43"/>
      <c r="AH151" s="44"/>
    </row>
    <row r="152" spans="1:34" ht="27.75" customHeight="1">
      <c r="A152" s="41">
        <v>149</v>
      </c>
      <c r="B152" s="66"/>
      <c r="C152" s="48"/>
      <c r="D152" s="48"/>
      <c r="E152" s="49"/>
      <c r="F152" s="49"/>
      <c r="G152" s="49">
        <f t="shared" si="9"/>
        <v>0</v>
      </c>
      <c r="H152" s="49" t="str">
        <f t="shared" si="8"/>
        <v>ครบ</v>
      </c>
      <c r="I152" s="49"/>
      <c r="J152" s="49" t="e">
        <f>VLOOKUP(I152,Sheet2!$B$10:$C$18,2,FALSE)</f>
        <v>#N/A</v>
      </c>
      <c r="K152" s="67"/>
      <c r="L152" s="49"/>
      <c r="M152" s="49" t="e">
        <f>VLOOKUP(L152,Sheet2!$B$10:$C$18,2,FALSE)</f>
        <v>#N/A</v>
      </c>
      <c r="N152" s="67"/>
      <c r="O152" s="49"/>
      <c r="P152" s="49" t="e">
        <f>VLOOKUP(O152,Sheet2!$B$10:$C$18,2,FALSE)</f>
        <v>#N/A</v>
      </c>
      <c r="Q152" s="67"/>
      <c r="R152" s="49"/>
      <c r="S152" s="49" t="e">
        <f>VLOOKUP(R152,Sheet2!$B$10:$C$18,2,FALSE)</f>
        <v>#N/A</v>
      </c>
      <c r="T152" s="67"/>
      <c r="U152" s="67">
        <f t="shared" si="10"/>
        <v>0</v>
      </c>
      <c r="V152" s="67"/>
      <c r="W152" s="67"/>
      <c r="X152" s="67"/>
      <c r="Y152" s="66"/>
      <c r="Z152" s="66"/>
      <c r="AA152" s="66"/>
      <c r="AB152" s="66"/>
      <c r="AC152" s="66"/>
      <c r="AD152" s="42" t="str">
        <f t="shared" si="11"/>
        <v>ทันกำหนด</v>
      </c>
      <c r="AE152" s="43"/>
      <c r="AF152" s="43"/>
      <c r="AG152" s="43"/>
      <c r="AH152" s="44"/>
    </row>
    <row r="153" spans="1:34" ht="27.75" customHeight="1">
      <c r="A153" s="41">
        <v>150</v>
      </c>
      <c r="B153" s="66"/>
      <c r="C153" s="48"/>
      <c r="D153" s="48"/>
      <c r="E153" s="49"/>
      <c r="F153" s="49"/>
      <c r="G153" s="49">
        <f t="shared" si="9"/>
        <v>0</v>
      </c>
      <c r="H153" s="49" t="str">
        <f t="shared" si="8"/>
        <v>ครบ</v>
      </c>
      <c r="I153" s="49"/>
      <c r="J153" s="49" t="e">
        <f>VLOOKUP(I153,Sheet2!$B$10:$C$18,2,FALSE)</f>
        <v>#N/A</v>
      </c>
      <c r="K153" s="67"/>
      <c r="L153" s="49"/>
      <c r="M153" s="49" t="e">
        <f>VLOOKUP(L153,Sheet2!$B$10:$C$18,2,FALSE)</f>
        <v>#N/A</v>
      </c>
      <c r="N153" s="67"/>
      <c r="O153" s="49"/>
      <c r="P153" s="49" t="e">
        <f>VLOOKUP(O153,Sheet2!$B$10:$C$18,2,FALSE)</f>
        <v>#N/A</v>
      </c>
      <c r="Q153" s="67"/>
      <c r="R153" s="49"/>
      <c r="S153" s="49" t="e">
        <f>VLOOKUP(R153,Sheet2!$B$10:$C$18,2,FALSE)</f>
        <v>#N/A</v>
      </c>
      <c r="T153" s="67"/>
      <c r="U153" s="67">
        <f t="shared" si="10"/>
        <v>0</v>
      </c>
      <c r="V153" s="67"/>
      <c r="W153" s="67"/>
      <c r="X153" s="67"/>
      <c r="Y153" s="66"/>
      <c r="Z153" s="66"/>
      <c r="AA153" s="66"/>
      <c r="AB153" s="66"/>
      <c r="AC153" s="66"/>
      <c r="AD153" s="42" t="str">
        <f t="shared" si="11"/>
        <v>ทันกำหนด</v>
      </c>
      <c r="AE153" s="43"/>
      <c r="AF153" s="43"/>
      <c r="AG153" s="43"/>
      <c r="AH153" s="44"/>
    </row>
    <row r="154" spans="1:34" ht="27.75" customHeight="1">
      <c r="A154" s="41">
        <v>151</v>
      </c>
      <c r="B154" s="66"/>
      <c r="C154" s="48"/>
      <c r="D154" s="48"/>
      <c r="E154" s="49"/>
      <c r="F154" s="49"/>
      <c r="G154" s="49">
        <f t="shared" si="9"/>
        <v>0</v>
      </c>
      <c r="H154" s="49" t="str">
        <f t="shared" si="8"/>
        <v>ครบ</v>
      </c>
      <c r="I154" s="49"/>
      <c r="J154" s="49" t="e">
        <f>VLOOKUP(I154,Sheet2!$B$10:$C$18,2,FALSE)</f>
        <v>#N/A</v>
      </c>
      <c r="K154" s="67"/>
      <c r="L154" s="49"/>
      <c r="M154" s="49" t="e">
        <f>VLOOKUP(L154,Sheet2!$B$10:$C$18,2,FALSE)</f>
        <v>#N/A</v>
      </c>
      <c r="N154" s="67"/>
      <c r="O154" s="49"/>
      <c r="P154" s="49" t="e">
        <f>VLOOKUP(O154,Sheet2!$B$10:$C$18,2,FALSE)</f>
        <v>#N/A</v>
      </c>
      <c r="Q154" s="67"/>
      <c r="R154" s="49"/>
      <c r="S154" s="49" t="e">
        <f>VLOOKUP(R154,Sheet2!$B$10:$C$18,2,FALSE)</f>
        <v>#N/A</v>
      </c>
      <c r="T154" s="67"/>
      <c r="U154" s="67">
        <f t="shared" si="10"/>
        <v>0</v>
      </c>
      <c r="V154" s="67"/>
      <c r="W154" s="67"/>
      <c r="X154" s="67"/>
      <c r="Y154" s="66"/>
      <c r="Z154" s="66"/>
      <c r="AA154" s="66"/>
      <c r="AB154" s="66"/>
      <c r="AC154" s="66"/>
      <c r="AD154" s="42" t="str">
        <f t="shared" si="11"/>
        <v>ทันกำหนด</v>
      </c>
      <c r="AE154" s="43"/>
      <c r="AF154" s="43"/>
      <c r="AG154" s="43"/>
      <c r="AH154" s="44"/>
    </row>
    <row r="155" spans="1:34" ht="27.75" customHeight="1">
      <c r="A155" s="41">
        <v>152</v>
      </c>
      <c r="B155" s="66"/>
      <c r="C155" s="48"/>
      <c r="D155" s="48"/>
      <c r="E155" s="49"/>
      <c r="F155" s="49"/>
      <c r="G155" s="49">
        <f t="shared" si="9"/>
        <v>0</v>
      </c>
      <c r="H155" s="49" t="str">
        <f t="shared" si="8"/>
        <v>ครบ</v>
      </c>
      <c r="I155" s="49"/>
      <c r="J155" s="49" t="e">
        <f>VLOOKUP(I155,Sheet2!$B$10:$C$18,2,FALSE)</f>
        <v>#N/A</v>
      </c>
      <c r="K155" s="67"/>
      <c r="L155" s="49"/>
      <c r="M155" s="49" t="e">
        <f>VLOOKUP(L155,Sheet2!$B$10:$C$18,2,FALSE)</f>
        <v>#N/A</v>
      </c>
      <c r="N155" s="67"/>
      <c r="O155" s="49"/>
      <c r="P155" s="49" t="e">
        <f>VLOOKUP(O155,Sheet2!$B$10:$C$18,2,FALSE)</f>
        <v>#N/A</v>
      </c>
      <c r="Q155" s="67"/>
      <c r="R155" s="49"/>
      <c r="S155" s="49" t="e">
        <f>VLOOKUP(R155,Sheet2!$B$10:$C$18,2,FALSE)</f>
        <v>#N/A</v>
      </c>
      <c r="T155" s="67"/>
      <c r="U155" s="67">
        <f t="shared" si="10"/>
        <v>0</v>
      </c>
      <c r="V155" s="67"/>
      <c r="W155" s="67"/>
      <c r="X155" s="67"/>
      <c r="Y155" s="66"/>
      <c r="Z155" s="66"/>
      <c r="AA155" s="66"/>
      <c r="AB155" s="66"/>
      <c r="AC155" s="66"/>
      <c r="AD155" s="42" t="str">
        <f t="shared" si="11"/>
        <v>ทันกำหนด</v>
      </c>
      <c r="AE155" s="43"/>
      <c r="AF155" s="43"/>
      <c r="AG155" s="43"/>
      <c r="AH155" s="44"/>
    </row>
    <row r="156" spans="1:34" ht="27.75" customHeight="1">
      <c r="A156" s="41">
        <v>153</v>
      </c>
      <c r="B156" s="66"/>
      <c r="C156" s="48"/>
      <c r="D156" s="48"/>
      <c r="E156" s="49"/>
      <c r="F156" s="49"/>
      <c r="G156" s="49">
        <f t="shared" si="9"/>
        <v>0</v>
      </c>
      <c r="H156" s="49" t="str">
        <f t="shared" si="8"/>
        <v>ครบ</v>
      </c>
      <c r="I156" s="49"/>
      <c r="J156" s="49" t="e">
        <f>VLOOKUP(I156,Sheet2!$B$10:$C$18,2,FALSE)</f>
        <v>#N/A</v>
      </c>
      <c r="K156" s="67"/>
      <c r="L156" s="49"/>
      <c r="M156" s="49" t="e">
        <f>VLOOKUP(L156,Sheet2!$B$10:$C$18,2,FALSE)</f>
        <v>#N/A</v>
      </c>
      <c r="N156" s="67"/>
      <c r="O156" s="49"/>
      <c r="P156" s="49" t="e">
        <f>VLOOKUP(O156,Sheet2!$B$10:$C$18,2,FALSE)</f>
        <v>#N/A</v>
      </c>
      <c r="Q156" s="67"/>
      <c r="R156" s="49"/>
      <c r="S156" s="49" t="e">
        <f>VLOOKUP(R156,Sheet2!$B$10:$C$18,2,FALSE)</f>
        <v>#N/A</v>
      </c>
      <c r="T156" s="67"/>
      <c r="U156" s="67">
        <f t="shared" si="10"/>
        <v>0</v>
      </c>
      <c r="V156" s="67"/>
      <c r="W156" s="67"/>
      <c r="X156" s="67"/>
      <c r="Y156" s="66"/>
      <c r="Z156" s="66"/>
      <c r="AA156" s="66"/>
      <c r="AB156" s="66"/>
      <c r="AC156" s="66"/>
      <c r="AD156" s="42" t="str">
        <f t="shared" si="11"/>
        <v>ทันกำหนด</v>
      </c>
      <c r="AE156" s="43"/>
      <c r="AF156" s="43"/>
      <c r="AG156" s="43"/>
      <c r="AH156" s="44"/>
    </row>
    <row r="157" spans="1:34" ht="27.75" customHeight="1">
      <c r="A157" s="41">
        <v>154</v>
      </c>
      <c r="B157" s="66"/>
      <c r="C157" s="48"/>
      <c r="D157" s="48"/>
      <c r="E157" s="49"/>
      <c r="F157" s="49"/>
      <c r="G157" s="49">
        <f t="shared" si="9"/>
        <v>0</v>
      </c>
      <c r="H157" s="49" t="str">
        <f t="shared" si="8"/>
        <v>ครบ</v>
      </c>
      <c r="I157" s="49"/>
      <c r="J157" s="49" t="e">
        <f>VLOOKUP(I157,Sheet2!$B$10:$C$18,2,FALSE)</f>
        <v>#N/A</v>
      </c>
      <c r="K157" s="67"/>
      <c r="L157" s="49"/>
      <c r="M157" s="49" t="e">
        <f>VLOOKUP(L157,Sheet2!$B$10:$C$18,2,FALSE)</f>
        <v>#N/A</v>
      </c>
      <c r="N157" s="67"/>
      <c r="O157" s="49"/>
      <c r="P157" s="49" t="e">
        <f>VLOOKUP(O157,Sheet2!$B$10:$C$18,2,FALSE)</f>
        <v>#N/A</v>
      </c>
      <c r="Q157" s="67"/>
      <c r="R157" s="49"/>
      <c r="S157" s="49" t="e">
        <f>VLOOKUP(R157,Sheet2!$B$10:$C$18,2,FALSE)</f>
        <v>#N/A</v>
      </c>
      <c r="T157" s="67"/>
      <c r="U157" s="67">
        <f t="shared" si="10"/>
        <v>0</v>
      </c>
      <c r="V157" s="67"/>
      <c r="W157" s="67"/>
      <c r="X157" s="67"/>
      <c r="Y157" s="66"/>
      <c r="Z157" s="66"/>
      <c r="AA157" s="66"/>
      <c r="AB157" s="66"/>
      <c r="AC157" s="66"/>
      <c r="AD157" s="42" t="str">
        <f t="shared" si="11"/>
        <v>ทันกำหนด</v>
      </c>
      <c r="AE157" s="43"/>
      <c r="AF157" s="43"/>
      <c r="AG157" s="43"/>
      <c r="AH157" s="44"/>
    </row>
    <row r="158" spans="1:34" ht="27.75" customHeight="1">
      <c r="A158" s="41">
        <v>155</v>
      </c>
      <c r="B158" s="66"/>
      <c r="C158" s="48"/>
      <c r="D158" s="48"/>
      <c r="E158" s="49"/>
      <c r="F158" s="49"/>
      <c r="G158" s="49">
        <f t="shared" si="9"/>
        <v>0</v>
      </c>
      <c r="H158" s="49" t="str">
        <f t="shared" si="8"/>
        <v>ครบ</v>
      </c>
      <c r="I158" s="49"/>
      <c r="J158" s="49" t="e">
        <f>VLOOKUP(I158,Sheet2!$B$10:$C$18,2,FALSE)</f>
        <v>#N/A</v>
      </c>
      <c r="K158" s="67"/>
      <c r="L158" s="49"/>
      <c r="M158" s="49" t="e">
        <f>VLOOKUP(L158,Sheet2!$B$10:$C$18,2,FALSE)</f>
        <v>#N/A</v>
      </c>
      <c r="N158" s="67"/>
      <c r="O158" s="49"/>
      <c r="P158" s="49" t="e">
        <f>VLOOKUP(O158,Sheet2!$B$10:$C$18,2,FALSE)</f>
        <v>#N/A</v>
      </c>
      <c r="Q158" s="67"/>
      <c r="R158" s="49"/>
      <c r="S158" s="49" t="e">
        <f>VLOOKUP(R158,Sheet2!$B$10:$C$18,2,FALSE)</f>
        <v>#N/A</v>
      </c>
      <c r="T158" s="67"/>
      <c r="U158" s="67">
        <f t="shared" si="10"/>
        <v>0</v>
      </c>
      <c r="V158" s="67"/>
      <c r="W158" s="67"/>
      <c r="X158" s="67"/>
      <c r="Y158" s="66"/>
      <c r="Z158" s="66"/>
      <c r="AA158" s="66"/>
      <c r="AB158" s="66"/>
      <c r="AC158" s="66"/>
      <c r="AD158" s="42" t="str">
        <f t="shared" si="11"/>
        <v>ทันกำหนด</v>
      </c>
      <c r="AE158" s="43"/>
      <c r="AF158" s="43"/>
      <c r="AG158" s="43"/>
      <c r="AH158" s="44"/>
    </row>
    <row r="159" spans="1:34" ht="27.75" customHeight="1">
      <c r="A159" s="41">
        <v>156</v>
      </c>
      <c r="B159" s="66"/>
      <c r="C159" s="48"/>
      <c r="D159" s="48"/>
      <c r="E159" s="49"/>
      <c r="F159" s="49"/>
      <c r="G159" s="49">
        <f t="shared" si="9"/>
        <v>0</v>
      </c>
      <c r="H159" s="49" t="str">
        <f t="shared" si="8"/>
        <v>ครบ</v>
      </c>
      <c r="I159" s="49"/>
      <c r="J159" s="49" t="e">
        <f>VLOOKUP(I159,Sheet2!$B$10:$C$18,2,FALSE)</f>
        <v>#N/A</v>
      </c>
      <c r="K159" s="67"/>
      <c r="L159" s="49"/>
      <c r="M159" s="49" t="e">
        <f>VLOOKUP(L159,Sheet2!$B$10:$C$18,2,FALSE)</f>
        <v>#N/A</v>
      </c>
      <c r="N159" s="67"/>
      <c r="O159" s="49"/>
      <c r="P159" s="49" t="e">
        <f>VLOOKUP(O159,Sheet2!$B$10:$C$18,2,FALSE)</f>
        <v>#N/A</v>
      </c>
      <c r="Q159" s="67"/>
      <c r="R159" s="49"/>
      <c r="S159" s="49" t="e">
        <f>VLOOKUP(R159,Sheet2!$B$10:$C$18,2,FALSE)</f>
        <v>#N/A</v>
      </c>
      <c r="T159" s="67"/>
      <c r="U159" s="67">
        <f t="shared" si="10"/>
        <v>0</v>
      </c>
      <c r="V159" s="67"/>
      <c r="W159" s="67"/>
      <c r="X159" s="67"/>
      <c r="Y159" s="66"/>
      <c r="Z159" s="66"/>
      <c r="AA159" s="66"/>
      <c r="AB159" s="66"/>
      <c r="AC159" s="66"/>
      <c r="AD159" s="42" t="str">
        <f t="shared" si="11"/>
        <v>ทันกำหนด</v>
      </c>
      <c r="AE159" s="43"/>
      <c r="AF159" s="43"/>
      <c r="AG159" s="43"/>
      <c r="AH159" s="44"/>
    </row>
    <row r="160" spans="1:34" ht="27.75" customHeight="1">
      <c r="A160" s="41">
        <v>157</v>
      </c>
      <c r="B160" s="66"/>
      <c r="C160" s="48"/>
      <c r="D160" s="48"/>
      <c r="E160" s="49"/>
      <c r="F160" s="49"/>
      <c r="G160" s="49">
        <f t="shared" si="9"/>
        <v>0</v>
      </c>
      <c r="H160" s="49" t="str">
        <f t="shared" si="8"/>
        <v>ครบ</v>
      </c>
      <c r="I160" s="49"/>
      <c r="J160" s="49" t="e">
        <f>VLOOKUP(I160,Sheet2!$B$10:$C$18,2,FALSE)</f>
        <v>#N/A</v>
      </c>
      <c r="K160" s="67"/>
      <c r="L160" s="49"/>
      <c r="M160" s="49" t="e">
        <f>VLOOKUP(L160,Sheet2!$B$10:$C$18,2,FALSE)</f>
        <v>#N/A</v>
      </c>
      <c r="N160" s="67"/>
      <c r="O160" s="49"/>
      <c r="P160" s="49" t="e">
        <f>VLOOKUP(O160,Sheet2!$B$10:$C$18,2,FALSE)</f>
        <v>#N/A</v>
      </c>
      <c r="Q160" s="67"/>
      <c r="R160" s="49"/>
      <c r="S160" s="49" t="e">
        <f>VLOOKUP(R160,Sheet2!$B$10:$C$18,2,FALSE)</f>
        <v>#N/A</v>
      </c>
      <c r="T160" s="67"/>
      <c r="U160" s="67">
        <f t="shared" si="10"/>
        <v>0</v>
      </c>
      <c r="V160" s="67"/>
      <c r="W160" s="67"/>
      <c r="X160" s="67"/>
      <c r="Y160" s="66"/>
      <c r="Z160" s="66"/>
      <c r="AA160" s="66"/>
      <c r="AB160" s="66"/>
      <c r="AC160" s="66"/>
      <c r="AD160" s="42" t="str">
        <f t="shared" si="11"/>
        <v>ทันกำหนด</v>
      </c>
      <c r="AE160" s="43"/>
      <c r="AF160" s="43"/>
      <c r="AG160" s="43"/>
      <c r="AH160" s="44"/>
    </row>
    <row r="161" spans="1:34" ht="27.75" customHeight="1">
      <c r="A161" s="41">
        <v>158</v>
      </c>
      <c r="B161" s="66"/>
      <c r="C161" s="48"/>
      <c r="D161" s="48"/>
      <c r="E161" s="49"/>
      <c r="F161" s="49"/>
      <c r="G161" s="49">
        <f t="shared" si="9"/>
        <v>0</v>
      </c>
      <c r="H161" s="49" t="str">
        <f t="shared" si="8"/>
        <v>ครบ</v>
      </c>
      <c r="I161" s="49"/>
      <c r="J161" s="49" t="e">
        <f>VLOOKUP(I161,Sheet2!$B$10:$C$18,2,FALSE)</f>
        <v>#N/A</v>
      </c>
      <c r="K161" s="67"/>
      <c r="L161" s="49"/>
      <c r="M161" s="49" t="e">
        <f>VLOOKUP(L161,Sheet2!$B$10:$C$18,2,FALSE)</f>
        <v>#N/A</v>
      </c>
      <c r="N161" s="67"/>
      <c r="O161" s="49"/>
      <c r="P161" s="49" t="e">
        <f>VLOOKUP(O161,Sheet2!$B$10:$C$18,2,FALSE)</f>
        <v>#N/A</v>
      </c>
      <c r="Q161" s="67"/>
      <c r="R161" s="49"/>
      <c r="S161" s="49" t="e">
        <f>VLOOKUP(R161,Sheet2!$B$10:$C$18,2,FALSE)</f>
        <v>#N/A</v>
      </c>
      <c r="T161" s="67"/>
      <c r="U161" s="67">
        <f t="shared" si="10"/>
        <v>0</v>
      </c>
      <c r="V161" s="67"/>
      <c r="W161" s="67"/>
      <c r="X161" s="67"/>
      <c r="Y161" s="66"/>
      <c r="Z161" s="66"/>
      <c r="AA161" s="66"/>
      <c r="AB161" s="66"/>
      <c r="AC161" s="66"/>
      <c r="AD161" s="42" t="str">
        <f t="shared" si="11"/>
        <v>ทันกำหนด</v>
      </c>
      <c r="AE161" s="43"/>
      <c r="AF161" s="43"/>
      <c r="AG161" s="43"/>
      <c r="AH161" s="44"/>
    </row>
    <row r="162" spans="1:34" ht="27.75" customHeight="1">
      <c r="A162" s="41">
        <v>159</v>
      </c>
      <c r="B162" s="66"/>
      <c r="C162" s="48"/>
      <c r="D162" s="48"/>
      <c r="E162" s="49"/>
      <c r="F162" s="49"/>
      <c r="G162" s="49">
        <f t="shared" si="9"/>
        <v>0</v>
      </c>
      <c r="H162" s="49" t="str">
        <f t="shared" si="8"/>
        <v>ครบ</v>
      </c>
      <c r="I162" s="49"/>
      <c r="J162" s="49" t="e">
        <f>VLOOKUP(I162,Sheet2!$B$10:$C$18,2,FALSE)</f>
        <v>#N/A</v>
      </c>
      <c r="K162" s="67"/>
      <c r="L162" s="49"/>
      <c r="M162" s="49" t="e">
        <f>VLOOKUP(L162,Sheet2!$B$10:$C$18,2,FALSE)</f>
        <v>#N/A</v>
      </c>
      <c r="N162" s="67"/>
      <c r="O162" s="49"/>
      <c r="P162" s="49" t="e">
        <f>VLOOKUP(O162,Sheet2!$B$10:$C$18,2,FALSE)</f>
        <v>#N/A</v>
      </c>
      <c r="Q162" s="67"/>
      <c r="R162" s="49"/>
      <c r="S162" s="49" t="e">
        <f>VLOOKUP(R162,Sheet2!$B$10:$C$18,2,FALSE)</f>
        <v>#N/A</v>
      </c>
      <c r="T162" s="67"/>
      <c r="U162" s="67">
        <f t="shared" si="10"/>
        <v>0</v>
      </c>
      <c r="V162" s="67"/>
      <c r="W162" s="67"/>
      <c r="X162" s="67"/>
      <c r="Y162" s="66"/>
      <c r="Z162" s="66"/>
      <c r="AA162" s="66"/>
      <c r="AB162" s="66"/>
      <c r="AC162" s="66"/>
      <c r="AD162" s="42" t="str">
        <f t="shared" si="11"/>
        <v>ทันกำหนด</v>
      </c>
      <c r="AE162" s="43"/>
      <c r="AF162" s="43"/>
      <c r="AG162" s="43"/>
      <c r="AH162" s="44"/>
    </row>
    <row r="163" spans="1:34" ht="27.75" customHeight="1">
      <c r="A163" s="41">
        <v>160</v>
      </c>
      <c r="B163" s="66"/>
      <c r="C163" s="48"/>
      <c r="D163" s="48"/>
      <c r="E163" s="49"/>
      <c r="F163" s="49"/>
      <c r="G163" s="49">
        <f t="shared" si="9"/>
        <v>0</v>
      </c>
      <c r="H163" s="49" t="str">
        <f t="shared" si="8"/>
        <v>ครบ</v>
      </c>
      <c r="I163" s="49"/>
      <c r="J163" s="49" t="e">
        <f>VLOOKUP(I163,Sheet2!$B$10:$C$18,2,FALSE)</f>
        <v>#N/A</v>
      </c>
      <c r="K163" s="67"/>
      <c r="L163" s="49"/>
      <c r="M163" s="49" t="e">
        <f>VLOOKUP(L163,Sheet2!$B$10:$C$18,2,FALSE)</f>
        <v>#N/A</v>
      </c>
      <c r="N163" s="67"/>
      <c r="O163" s="49"/>
      <c r="P163" s="49" t="e">
        <f>VLOOKUP(O163,Sheet2!$B$10:$C$18,2,FALSE)</f>
        <v>#N/A</v>
      </c>
      <c r="Q163" s="67"/>
      <c r="R163" s="49"/>
      <c r="S163" s="49" t="e">
        <f>VLOOKUP(R163,Sheet2!$B$10:$C$18,2,FALSE)</f>
        <v>#N/A</v>
      </c>
      <c r="T163" s="67"/>
      <c r="U163" s="67">
        <f t="shared" si="10"/>
        <v>0</v>
      </c>
      <c r="V163" s="67"/>
      <c r="W163" s="67"/>
      <c r="X163" s="67"/>
      <c r="Y163" s="66"/>
      <c r="Z163" s="66"/>
      <c r="AA163" s="66"/>
      <c r="AB163" s="66"/>
      <c r="AC163" s="66"/>
      <c r="AD163" s="42" t="str">
        <f t="shared" si="11"/>
        <v>ทันกำหนด</v>
      </c>
      <c r="AE163" s="43"/>
      <c r="AF163" s="43"/>
      <c r="AG163" s="43"/>
      <c r="AH163" s="68"/>
    </row>
    <row r="164" spans="1:34" ht="27.75" customHeight="1">
      <c r="A164" s="41">
        <v>161</v>
      </c>
      <c r="B164" s="66"/>
      <c r="C164" s="48"/>
      <c r="D164" s="48"/>
      <c r="E164" s="49"/>
      <c r="F164" s="49"/>
      <c r="G164" s="49">
        <f t="shared" si="9"/>
        <v>0</v>
      </c>
      <c r="H164" s="49" t="str">
        <f t="shared" si="8"/>
        <v>ครบ</v>
      </c>
      <c r="I164" s="49"/>
      <c r="J164" s="49" t="e">
        <f>VLOOKUP(I164,Sheet2!$B$10:$C$18,2,FALSE)</f>
        <v>#N/A</v>
      </c>
      <c r="K164" s="67"/>
      <c r="L164" s="49"/>
      <c r="M164" s="49" t="e">
        <f>VLOOKUP(L164,Sheet2!$B$10:$C$18,2,FALSE)</f>
        <v>#N/A</v>
      </c>
      <c r="N164" s="67"/>
      <c r="O164" s="49"/>
      <c r="P164" s="49" t="e">
        <f>VLOOKUP(O164,Sheet2!$B$10:$C$18,2,FALSE)</f>
        <v>#N/A</v>
      </c>
      <c r="Q164" s="67"/>
      <c r="R164" s="49"/>
      <c r="S164" s="49" t="e">
        <f>VLOOKUP(R164,Sheet2!$B$10:$C$18,2,FALSE)</f>
        <v>#N/A</v>
      </c>
      <c r="T164" s="67"/>
      <c r="U164" s="67">
        <f t="shared" si="10"/>
        <v>0</v>
      </c>
      <c r="V164" s="67"/>
      <c r="W164" s="67"/>
      <c r="X164" s="67"/>
      <c r="Y164" s="66"/>
      <c r="Z164" s="66"/>
      <c r="AA164" s="66"/>
      <c r="AB164" s="66"/>
      <c r="AC164" s="66"/>
      <c r="AD164" s="42" t="str">
        <f t="shared" si="11"/>
        <v>ทันกำหนด</v>
      </c>
      <c r="AE164" s="43"/>
      <c r="AF164" s="43"/>
      <c r="AG164" s="43"/>
      <c r="AH164" s="44"/>
    </row>
    <row r="165" spans="1:34" ht="27.75" customHeight="1">
      <c r="A165" s="41">
        <v>162</v>
      </c>
      <c r="B165" s="66"/>
      <c r="C165" s="48"/>
      <c r="D165" s="48"/>
      <c r="E165" s="49"/>
      <c r="F165" s="49"/>
      <c r="G165" s="49">
        <f t="shared" si="9"/>
        <v>0</v>
      </c>
      <c r="H165" s="49" t="str">
        <f t="shared" si="8"/>
        <v>ครบ</v>
      </c>
      <c r="I165" s="49"/>
      <c r="J165" s="49" t="e">
        <f>VLOOKUP(I165,Sheet2!$B$10:$C$18,2,FALSE)</f>
        <v>#N/A</v>
      </c>
      <c r="K165" s="67"/>
      <c r="L165" s="49"/>
      <c r="M165" s="49" t="e">
        <f>VLOOKUP(L165,Sheet2!$B$10:$C$18,2,FALSE)</f>
        <v>#N/A</v>
      </c>
      <c r="N165" s="67"/>
      <c r="O165" s="49"/>
      <c r="P165" s="49" t="e">
        <f>VLOOKUP(O165,Sheet2!$B$10:$C$18,2,FALSE)</f>
        <v>#N/A</v>
      </c>
      <c r="Q165" s="67"/>
      <c r="R165" s="49"/>
      <c r="S165" s="49" t="e">
        <f>VLOOKUP(R165,Sheet2!$B$10:$C$18,2,FALSE)</f>
        <v>#N/A</v>
      </c>
      <c r="T165" s="67"/>
      <c r="U165" s="67">
        <f t="shared" si="10"/>
        <v>0</v>
      </c>
      <c r="V165" s="67"/>
      <c r="W165" s="67"/>
      <c r="X165" s="67"/>
      <c r="Y165" s="66"/>
      <c r="Z165" s="66"/>
      <c r="AA165" s="66"/>
      <c r="AB165" s="66"/>
      <c r="AC165" s="66"/>
      <c r="AD165" s="42" t="str">
        <f t="shared" si="11"/>
        <v>ทันกำหนด</v>
      </c>
      <c r="AE165" s="43"/>
      <c r="AF165" s="43"/>
      <c r="AG165" s="43"/>
      <c r="AH165" s="44"/>
    </row>
    <row r="166" spans="1:34" ht="27.75" customHeight="1">
      <c r="A166" s="41">
        <v>163</v>
      </c>
      <c r="B166" s="66"/>
      <c r="C166" s="48"/>
      <c r="D166" s="48"/>
      <c r="E166" s="49"/>
      <c r="F166" s="49"/>
      <c r="G166" s="49">
        <f t="shared" si="9"/>
        <v>0</v>
      </c>
      <c r="H166" s="49" t="str">
        <f t="shared" si="8"/>
        <v>ครบ</v>
      </c>
      <c r="I166" s="49"/>
      <c r="J166" s="49" t="e">
        <f>VLOOKUP(I166,Sheet2!$B$10:$C$18,2,FALSE)</f>
        <v>#N/A</v>
      </c>
      <c r="K166" s="67"/>
      <c r="L166" s="49"/>
      <c r="M166" s="49" t="e">
        <f>VLOOKUP(L166,Sheet2!$B$10:$C$18,2,FALSE)</f>
        <v>#N/A</v>
      </c>
      <c r="N166" s="67"/>
      <c r="O166" s="49"/>
      <c r="P166" s="49" t="e">
        <f>VLOOKUP(O166,Sheet2!$B$10:$C$18,2,FALSE)</f>
        <v>#N/A</v>
      </c>
      <c r="Q166" s="67"/>
      <c r="R166" s="49"/>
      <c r="S166" s="49" t="e">
        <f>VLOOKUP(R166,Sheet2!$B$10:$C$18,2,FALSE)</f>
        <v>#N/A</v>
      </c>
      <c r="T166" s="67"/>
      <c r="U166" s="67">
        <f t="shared" si="10"/>
        <v>0</v>
      </c>
      <c r="V166" s="67"/>
      <c r="W166" s="67"/>
      <c r="X166" s="67"/>
      <c r="Y166" s="66"/>
      <c r="Z166" s="66"/>
      <c r="AA166" s="66"/>
      <c r="AB166" s="66"/>
      <c r="AC166" s="66"/>
      <c r="AD166" s="42" t="str">
        <f t="shared" si="11"/>
        <v>ทันกำหนด</v>
      </c>
      <c r="AE166" s="43"/>
      <c r="AF166" s="43"/>
      <c r="AG166" s="43"/>
      <c r="AH166" s="44"/>
    </row>
    <row r="167" spans="1:34" ht="27.75" customHeight="1">
      <c r="A167" s="41">
        <v>164</v>
      </c>
      <c r="B167" s="66"/>
      <c r="C167" s="48"/>
      <c r="D167" s="48"/>
      <c r="E167" s="49"/>
      <c r="F167" s="49"/>
      <c r="G167" s="49">
        <f t="shared" si="9"/>
        <v>0</v>
      </c>
      <c r="H167" s="49" t="str">
        <f t="shared" si="8"/>
        <v>ครบ</v>
      </c>
      <c r="I167" s="49"/>
      <c r="J167" s="49" t="e">
        <f>VLOOKUP(I167,Sheet2!$B$10:$C$18,2,FALSE)</f>
        <v>#N/A</v>
      </c>
      <c r="K167" s="67"/>
      <c r="L167" s="49"/>
      <c r="M167" s="49" t="e">
        <f>VLOOKUP(L167,Sheet2!$B$10:$C$18,2,FALSE)</f>
        <v>#N/A</v>
      </c>
      <c r="N167" s="67"/>
      <c r="O167" s="49"/>
      <c r="P167" s="49" t="e">
        <f>VLOOKUP(O167,Sheet2!$B$10:$C$18,2,FALSE)</f>
        <v>#N/A</v>
      </c>
      <c r="Q167" s="67"/>
      <c r="R167" s="49"/>
      <c r="S167" s="49" t="e">
        <f>VLOOKUP(R167,Sheet2!$B$10:$C$18,2,FALSE)</f>
        <v>#N/A</v>
      </c>
      <c r="T167" s="67"/>
      <c r="U167" s="67">
        <f t="shared" si="10"/>
        <v>0</v>
      </c>
      <c r="V167" s="67"/>
      <c r="W167" s="67"/>
      <c r="X167" s="67"/>
      <c r="Y167" s="66"/>
      <c r="Z167" s="66"/>
      <c r="AA167" s="66"/>
      <c r="AB167" s="66"/>
      <c r="AC167" s="66"/>
      <c r="AD167" s="42" t="str">
        <f t="shared" si="11"/>
        <v>ทันกำหนด</v>
      </c>
      <c r="AE167" s="43"/>
      <c r="AF167" s="43"/>
      <c r="AG167" s="43"/>
      <c r="AH167" s="44"/>
    </row>
    <row r="168" spans="1:34" ht="27.75" customHeight="1">
      <c r="A168" s="41">
        <v>165</v>
      </c>
      <c r="B168" s="66"/>
      <c r="C168" s="48"/>
      <c r="D168" s="48"/>
      <c r="E168" s="49"/>
      <c r="F168" s="49"/>
      <c r="G168" s="49">
        <f t="shared" si="9"/>
        <v>0</v>
      </c>
      <c r="H168" s="49" t="str">
        <f t="shared" si="8"/>
        <v>ครบ</v>
      </c>
      <c r="I168" s="49"/>
      <c r="J168" s="49" t="e">
        <f>VLOOKUP(I168,Sheet2!$B$10:$C$18,2,FALSE)</f>
        <v>#N/A</v>
      </c>
      <c r="K168" s="67"/>
      <c r="L168" s="49"/>
      <c r="M168" s="49" t="e">
        <f>VLOOKUP(L168,Sheet2!$B$10:$C$18,2,FALSE)</f>
        <v>#N/A</v>
      </c>
      <c r="N168" s="67"/>
      <c r="O168" s="49"/>
      <c r="P168" s="49" t="e">
        <f>VLOOKUP(O168,Sheet2!$B$10:$C$18,2,FALSE)</f>
        <v>#N/A</v>
      </c>
      <c r="Q168" s="67"/>
      <c r="R168" s="49"/>
      <c r="S168" s="49" t="e">
        <f>VLOOKUP(R168,Sheet2!$B$10:$C$18,2,FALSE)</f>
        <v>#N/A</v>
      </c>
      <c r="T168" s="67"/>
      <c r="U168" s="67">
        <f t="shared" si="10"/>
        <v>0</v>
      </c>
      <c r="V168" s="67"/>
      <c r="W168" s="67"/>
      <c r="X168" s="67"/>
      <c r="Y168" s="66"/>
      <c r="Z168" s="66"/>
      <c r="AA168" s="66"/>
      <c r="AB168" s="66"/>
      <c r="AC168" s="66"/>
      <c r="AD168" s="42" t="str">
        <f t="shared" si="11"/>
        <v>ทันกำหนด</v>
      </c>
      <c r="AE168" s="43"/>
      <c r="AF168" s="43"/>
      <c r="AG168" s="43"/>
      <c r="AH168" s="44"/>
    </row>
    <row r="169" spans="1:34" ht="27.75" customHeight="1">
      <c r="A169" s="41">
        <v>166</v>
      </c>
      <c r="B169" s="66"/>
      <c r="C169" s="48"/>
      <c r="D169" s="48"/>
      <c r="E169" s="49"/>
      <c r="F169" s="49"/>
      <c r="G169" s="49">
        <f t="shared" si="9"/>
        <v>0</v>
      </c>
      <c r="H169" s="49" t="str">
        <f t="shared" si="8"/>
        <v>ครบ</v>
      </c>
      <c r="I169" s="49"/>
      <c r="J169" s="49" t="e">
        <f>VLOOKUP(I169,Sheet2!$B$10:$C$18,2,FALSE)</f>
        <v>#N/A</v>
      </c>
      <c r="K169" s="67"/>
      <c r="L169" s="49"/>
      <c r="M169" s="49" t="e">
        <f>VLOOKUP(L169,Sheet2!$B$10:$C$18,2,FALSE)</f>
        <v>#N/A</v>
      </c>
      <c r="N169" s="67"/>
      <c r="O169" s="49"/>
      <c r="P169" s="49" t="e">
        <f>VLOOKUP(O169,Sheet2!$B$10:$C$18,2,FALSE)</f>
        <v>#N/A</v>
      </c>
      <c r="Q169" s="67"/>
      <c r="R169" s="49"/>
      <c r="S169" s="49" t="e">
        <f>VLOOKUP(R169,Sheet2!$B$10:$C$18,2,FALSE)</f>
        <v>#N/A</v>
      </c>
      <c r="T169" s="67"/>
      <c r="U169" s="67">
        <f t="shared" si="10"/>
        <v>0</v>
      </c>
      <c r="V169" s="67"/>
      <c r="W169" s="67"/>
      <c r="X169" s="67"/>
      <c r="Y169" s="66"/>
      <c r="Z169" s="66"/>
      <c r="AA169" s="66"/>
      <c r="AB169" s="66"/>
      <c r="AC169" s="66"/>
      <c r="AD169" s="42" t="str">
        <f t="shared" si="11"/>
        <v>ทันกำหนด</v>
      </c>
      <c r="AE169" s="43"/>
      <c r="AF169" s="43"/>
      <c r="AG169" s="43"/>
      <c r="AH169" s="44"/>
    </row>
    <row r="170" spans="1:34" ht="27.75" customHeight="1">
      <c r="A170" s="41">
        <v>167</v>
      </c>
      <c r="B170" s="66"/>
      <c r="C170" s="48"/>
      <c r="D170" s="48"/>
      <c r="E170" s="49"/>
      <c r="F170" s="49"/>
      <c r="G170" s="49">
        <f t="shared" si="9"/>
        <v>0</v>
      </c>
      <c r="H170" s="49" t="str">
        <f t="shared" si="8"/>
        <v>ครบ</v>
      </c>
      <c r="I170" s="49"/>
      <c r="J170" s="49" t="e">
        <f>VLOOKUP(I170,Sheet2!$B$10:$C$18,2,FALSE)</f>
        <v>#N/A</v>
      </c>
      <c r="K170" s="67"/>
      <c r="L170" s="49"/>
      <c r="M170" s="49" t="e">
        <f>VLOOKUP(L170,Sheet2!$B$10:$C$18,2,FALSE)</f>
        <v>#N/A</v>
      </c>
      <c r="N170" s="67"/>
      <c r="O170" s="49"/>
      <c r="P170" s="49" t="e">
        <f>VLOOKUP(O170,Sheet2!$B$10:$C$18,2,FALSE)</f>
        <v>#N/A</v>
      </c>
      <c r="Q170" s="67"/>
      <c r="R170" s="49"/>
      <c r="S170" s="49" t="e">
        <f>VLOOKUP(R170,Sheet2!$B$10:$C$18,2,FALSE)</f>
        <v>#N/A</v>
      </c>
      <c r="T170" s="67"/>
      <c r="U170" s="67">
        <f t="shared" si="10"/>
        <v>0</v>
      </c>
      <c r="V170" s="67"/>
      <c r="W170" s="67"/>
      <c r="X170" s="67"/>
      <c r="Y170" s="66"/>
      <c r="Z170" s="66"/>
      <c r="AA170" s="66"/>
      <c r="AB170" s="66"/>
      <c r="AC170" s="66"/>
      <c r="AD170" s="42" t="str">
        <f t="shared" si="11"/>
        <v>ทันกำหนด</v>
      </c>
      <c r="AE170" s="43"/>
      <c r="AF170" s="43"/>
      <c r="AG170" s="43"/>
      <c r="AH170" s="44"/>
    </row>
    <row r="171" spans="1:34" ht="27.75" customHeight="1">
      <c r="A171" s="41">
        <v>168</v>
      </c>
      <c r="B171" s="66"/>
      <c r="C171" s="48"/>
      <c r="D171" s="48"/>
      <c r="E171" s="49"/>
      <c r="F171" s="49"/>
      <c r="G171" s="49">
        <f t="shared" si="9"/>
        <v>0</v>
      </c>
      <c r="H171" s="49" t="str">
        <f t="shared" si="8"/>
        <v>ครบ</v>
      </c>
      <c r="I171" s="49"/>
      <c r="J171" s="49" t="e">
        <f>VLOOKUP(I171,Sheet2!$B$10:$C$18,2,FALSE)</f>
        <v>#N/A</v>
      </c>
      <c r="K171" s="67"/>
      <c r="L171" s="49"/>
      <c r="M171" s="49" t="e">
        <f>VLOOKUP(L171,Sheet2!$B$10:$C$18,2,FALSE)</f>
        <v>#N/A</v>
      </c>
      <c r="N171" s="67"/>
      <c r="O171" s="49"/>
      <c r="P171" s="49" t="e">
        <f>VLOOKUP(O171,Sheet2!$B$10:$C$18,2,FALSE)</f>
        <v>#N/A</v>
      </c>
      <c r="Q171" s="67"/>
      <c r="R171" s="49"/>
      <c r="S171" s="49" t="e">
        <f>VLOOKUP(R171,Sheet2!$B$10:$C$18,2,FALSE)</f>
        <v>#N/A</v>
      </c>
      <c r="T171" s="67"/>
      <c r="U171" s="67">
        <f t="shared" si="10"/>
        <v>0</v>
      </c>
      <c r="V171" s="67"/>
      <c r="W171" s="67"/>
      <c r="X171" s="67"/>
      <c r="Y171" s="66"/>
      <c r="Z171" s="66"/>
      <c r="AA171" s="66"/>
      <c r="AB171" s="66"/>
      <c r="AC171" s="66"/>
      <c r="AD171" s="42" t="str">
        <f t="shared" si="11"/>
        <v>ทันกำหนด</v>
      </c>
      <c r="AE171" s="43"/>
      <c r="AF171" s="43"/>
      <c r="AG171" s="43"/>
      <c r="AH171" s="44"/>
    </row>
    <row r="172" spans="1:34" ht="27.75" customHeight="1">
      <c r="A172" s="41">
        <v>169</v>
      </c>
      <c r="B172" s="66"/>
      <c r="C172" s="48"/>
      <c r="D172" s="48"/>
      <c r="E172" s="49"/>
      <c r="F172" s="49"/>
      <c r="G172" s="49">
        <f t="shared" si="9"/>
        <v>0</v>
      </c>
      <c r="H172" s="49" t="str">
        <f t="shared" si="8"/>
        <v>ครบ</v>
      </c>
      <c r="I172" s="49"/>
      <c r="J172" s="49" t="e">
        <f>VLOOKUP(I172,Sheet2!$B$10:$C$18,2,FALSE)</f>
        <v>#N/A</v>
      </c>
      <c r="K172" s="67"/>
      <c r="L172" s="49"/>
      <c r="M172" s="49" t="e">
        <f>VLOOKUP(L172,Sheet2!$B$10:$C$18,2,FALSE)</f>
        <v>#N/A</v>
      </c>
      <c r="N172" s="67"/>
      <c r="O172" s="49"/>
      <c r="P172" s="49" t="e">
        <f>VLOOKUP(O172,Sheet2!$B$10:$C$18,2,FALSE)</f>
        <v>#N/A</v>
      </c>
      <c r="Q172" s="67"/>
      <c r="R172" s="49"/>
      <c r="S172" s="49" t="e">
        <f>VLOOKUP(R172,Sheet2!$B$10:$C$18,2,FALSE)</f>
        <v>#N/A</v>
      </c>
      <c r="T172" s="67"/>
      <c r="U172" s="67">
        <f t="shared" si="10"/>
        <v>0</v>
      </c>
      <c r="V172" s="67"/>
      <c r="W172" s="67"/>
      <c r="X172" s="67"/>
      <c r="Y172" s="66"/>
      <c r="Z172" s="66"/>
      <c r="AA172" s="66"/>
      <c r="AB172" s="66"/>
      <c r="AC172" s="66"/>
      <c r="AD172" s="42" t="str">
        <f t="shared" si="11"/>
        <v>ทันกำหนด</v>
      </c>
      <c r="AE172" s="43"/>
      <c r="AF172" s="43"/>
      <c r="AG172" s="43"/>
      <c r="AH172" s="44"/>
    </row>
    <row r="173" spans="1:34" ht="27.75" customHeight="1">
      <c r="A173" s="41">
        <v>170</v>
      </c>
      <c r="B173" s="66"/>
      <c r="C173" s="48"/>
      <c r="D173" s="48"/>
      <c r="E173" s="49"/>
      <c r="F173" s="49"/>
      <c r="G173" s="49">
        <f t="shared" si="9"/>
        <v>0</v>
      </c>
      <c r="H173" s="49" t="str">
        <f t="shared" si="8"/>
        <v>ครบ</v>
      </c>
      <c r="I173" s="49"/>
      <c r="J173" s="49" t="e">
        <f>VLOOKUP(I173,Sheet2!$B$10:$C$18,2,FALSE)</f>
        <v>#N/A</v>
      </c>
      <c r="K173" s="67"/>
      <c r="L173" s="49"/>
      <c r="M173" s="49" t="e">
        <f>VLOOKUP(L173,Sheet2!$B$10:$C$18,2,FALSE)</f>
        <v>#N/A</v>
      </c>
      <c r="N173" s="67"/>
      <c r="O173" s="49"/>
      <c r="P173" s="49" t="e">
        <f>VLOOKUP(O173,Sheet2!$B$10:$C$18,2,FALSE)</f>
        <v>#N/A</v>
      </c>
      <c r="Q173" s="67"/>
      <c r="R173" s="49"/>
      <c r="S173" s="49" t="e">
        <f>VLOOKUP(R173,Sheet2!$B$10:$C$18,2,FALSE)</f>
        <v>#N/A</v>
      </c>
      <c r="T173" s="67"/>
      <c r="U173" s="67">
        <f t="shared" si="10"/>
        <v>0</v>
      </c>
      <c r="V173" s="67"/>
      <c r="W173" s="67"/>
      <c r="X173" s="67"/>
      <c r="Y173" s="66"/>
      <c r="Z173" s="66"/>
      <c r="AA173" s="66"/>
      <c r="AB173" s="66"/>
      <c r="AC173" s="66"/>
      <c r="AD173" s="42" t="str">
        <f t="shared" si="11"/>
        <v>ทันกำหนด</v>
      </c>
      <c r="AE173" s="43"/>
      <c r="AF173" s="43"/>
      <c r="AG173" s="43"/>
      <c r="AH173" s="68"/>
    </row>
    <row r="174" spans="1:34" ht="27.75" customHeight="1">
      <c r="A174" s="41">
        <v>171</v>
      </c>
      <c r="B174" s="66"/>
      <c r="C174" s="48"/>
      <c r="D174" s="48"/>
      <c r="E174" s="49"/>
      <c r="F174" s="49"/>
      <c r="G174" s="49">
        <f t="shared" si="9"/>
        <v>0</v>
      </c>
      <c r="H174" s="49" t="str">
        <f t="shared" si="8"/>
        <v>ครบ</v>
      </c>
      <c r="I174" s="49"/>
      <c r="J174" s="49" t="e">
        <f>VLOOKUP(I174,Sheet2!$B$10:$C$18,2,FALSE)</f>
        <v>#N/A</v>
      </c>
      <c r="K174" s="67"/>
      <c r="L174" s="49"/>
      <c r="M174" s="49" t="e">
        <f>VLOOKUP(L174,Sheet2!$B$10:$C$18,2,FALSE)</f>
        <v>#N/A</v>
      </c>
      <c r="N174" s="67"/>
      <c r="O174" s="49"/>
      <c r="P174" s="49" t="e">
        <f>VLOOKUP(O174,Sheet2!$B$10:$C$18,2,FALSE)</f>
        <v>#N/A</v>
      </c>
      <c r="Q174" s="67"/>
      <c r="R174" s="49"/>
      <c r="S174" s="49" t="e">
        <f>VLOOKUP(R174,Sheet2!$B$10:$C$18,2,FALSE)</f>
        <v>#N/A</v>
      </c>
      <c r="T174" s="67"/>
      <c r="U174" s="67">
        <f t="shared" si="10"/>
        <v>0</v>
      </c>
      <c r="V174" s="67"/>
      <c r="W174" s="67"/>
      <c r="X174" s="67"/>
      <c r="Y174" s="66"/>
      <c r="Z174" s="66"/>
      <c r="AA174" s="66"/>
      <c r="AB174" s="66"/>
      <c r="AC174" s="66"/>
      <c r="AD174" s="42" t="str">
        <f t="shared" si="11"/>
        <v>ทันกำหนด</v>
      </c>
      <c r="AE174" s="43"/>
      <c r="AF174" s="43"/>
      <c r="AG174" s="43"/>
      <c r="AH174" s="44"/>
    </row>
    <row r="175" spans="1:34" ht="27.75" customHeight="1">
      <c r="A175" s="41">
        <v>172</v>
      </c>
      <c r="B175" s="66"/>
      <c r="C175" s="48"/>
      <c r="D175" s="48"/>
      <c r="E175" s="49"/>
      <c r="F175" s="49"/>
      <c r="G175" s="49">
        <f t="shared" si="9"/>
        <v>0</v>
      </c>
      <c r="H175" s="49" t="str">
        <f t="shared" si="8"/>
        <v>ครบ</v>
      </c>
      <c r="I175" s="49"/>
      <c r="J175" s="49" t="e">
        <f>VLOOKUP(I175,Sheet2!$B$10:$C$18,2,FALSE)</f>
        <v>#N/A</v>
      </c>
      <c r="K175" s="67"/>
      <c r="L175" s="49"/>
      <c r="M175" s="49" t="e">
        <f>VLOOKUP(L175,Sheet2!$B$10:$C$18,2,FALSE)</f>
        <v>#N/A</v>
      </c>
      <c r="N175" s="67"/>
      <c r="O175" s="49"/>
      <c r="P175" s="49" t="e">
        <f>VLOOKUP(O175,Sheet2!$B$10:$C$18,2,FALSE)</f>
        <v>#N/A</v>
      </c>
      <c r="Q175" s="67"/>
      <c r="R175" s="49"/>
      <c r="S175" s="49" t="e">
        <f>VLOOKUP(R175,Sheet2!$B$10:$C$18,2,FALSE)</f>
        <v>#N/A</v>
      </c>
      <c r="T175" s="67"/>
      <c r="U175" s="67">
        <f t="shared" si="10"/>
        <v>0</v>
      </c>
      <c r="V175" s="67"/>
      <c r="W175" s="67"/>
      <c r="X175" s="67"/>
      <c r="Y175" s="66"/>
      <c r="Z175" s="66"/>
      <c r="AA175" s="66"/>
      <c r="AB175" s="66"/>
      <c r="AC175" s="66"/>
      <c r="AD175" s="42" t="str">
        <f t="shared" si="11"/>
        <v>ทันกำหนด</v>
      </c>
      <c r="AE175" s="43"/>
      <c r="AF175" s="43"/>
      <c r="AG175" s="43"/>
      <c r="AH175" s="44"/>
    </row>
    <row r="176" spans="1:34" ht="27.75" customHeight="1">
      <c r="A176" s="41">
        <v>173</v>
      </c>
      <c r="B176" s="66"/>
      <c r="C176" s="48"/>
      <c r="D176" s="48"/>
      <c r="E176" s="49"/>
      <c r="F176" s="49"/>
      <c r="G176" s="49">
        <f t="shared" si="9"/>
        <v>0</v>
      </c>
      <c r="H176" s="49" t="str">
        <f t="shared" si="8"/>
        <v>ครบ</v>
      </c>
      <c r="I176" s="49"/>
      <c r="J176" s="49" t="e">
        <f>VLOOKUP(I176,Sheet2!$B$10:$C$18,2,FALSE)</f>
        <v>#N/A</v>
      </c>
      <c r="K176" s="67"/>
      <c r="L176" s="49"/>
      <c r="M176" s="49" t="e">
        <f>VLOOKUP(L176,Sheet2!$B$10:$C$18,2,FALSE)</f>
        <v>#N/A</v>
      </c>
      <c r="N176" s="67"/>
      <c r="O176" s="49"/>
      <c r="P176" s="49" t="e">
        <f>VLOOKUP(O176,Sheet2!$B$10:$C$18,2,FALSE)</f>
        <v>#N/A</v>
      </c>
      <c r="Q176" s="67"/>
      <c r="R176" s="49"/>
      <c r="S176" s="49" t="e">
        <f>VLOOKUP(R176,Sheet2!$B$10:$C$18,2,FALSE)</f>
        <v>#N/A</v>
      </c>
      <c r="T176" s="67"/>
      <c r="U176" s="67">
        <f t="shared" si="10"/>
        <v>0</v>
      </c>
      <c r="V176" s="67"/>
      <c r="W176" s="67"/>
      <c r="X176" s="67"/>
      <c r="Y176" s="66"/>
      <c r="Z176" s="66"/>
      <c r="AA176" s="66"/>
      <c r="AB176" s="66"/>
      <c r="AC176" s="66"/>
      <c r="AD176" s="42" t="str">
        <f t="shared" si="11"/>
        <v>ทันกำหนด</v>
      </c>
      <c r="AE176" s="43"/>
      <c r="AF176" s="43"/>
      <c r="AG176" s="43"/>
      <c r="AH176" s="44"/>
    </row>
    <row r="177" spans="1:34" ht="27.75" customHeight="1">
      <c r="A177" s="41">
        <v>174</v>
      </c>
      <c r="B177" s="66"/>
      <c r="C177" s="48"/>
      <c r="D177" s="48"/>
      <c r="E177" s="49"/>
      <c r="F177" s="49"/>
      <c r="G177" s="49">
        <f t="shared" si="9"/>
        <v>0</v>
      </c>
      <c r="H177" s="49" t="str">
        <f t="shared" si="8"/>
        <v>ครบ</v>
      </c>
      <c r="I177" s="49"/>
      <c r="J177" s="49" t="e">
        <f>VLOOKUP(I177,Sheet2!$B$10:$C$18,2,FALSE)</f>
        <v>#N/A</v>
      </c>
      <c r="K177" s="67"/>
      <c r="L177" s="49"/>
      <c r="M177" s="49" t="e">
        <f>VLOOKUP(L177,Sheet2!$B$10:$C$18,2,FALSE)</f>
        <v>#N/A</v>
      </c>
      <c r="N177" s="67"/>
      <c r="O177" s="49"/>
      <c r="P177" s="49" t="e">
        <f>VLOOKUP(O177,Sheet2!$B$10:$C$18,2,FALSE)</f>
        <v>#N/A</v>
      </c>
      <c r="Q177" s="67"/>
      <c r="R177" s="49"/>
      <c r="S177" s="49" t="e">
        <f>VLOOKUP(R177,Sheet2!$B$10:$C$18,2,FALSE)</f>
        <v>#N/A</v>
      </c>
      <c r="T177" s="67"/>
      <c r="U177" s="67">
        <f t="shared" si="10"/>
        <v>0</v>
      </c>
      <c r="V177" s="67"/>
      <c r="W177" s="67"/>
      <c r="X177" s="67"/>
      <c r="Y177" s="66"/>
      <c r="Z177" s="66"/>
      <c r="AA177" s="66"/>
      <c r="AB177" s="66"/>
      <c r="AC177" s="66"/>
      <c r="AD177" s="42" t="str">
        <f t="shared" si="11"/>
        <v>ทันกำหนด</v>
      </c>
      <c r="AE177" s="43"/>
      <c r="AF177" s="43"/>
      <c r="AG177" s="43"/>
      <c r="AH177" s="44"/>
    </row>
    <row r="178" spans="1:34" ht="27.75" customHeight="1">
      <c r="A178" s="41">
        <v>175</v>
      </c>
      <c r="B178" s="66"/>
      <c r="C178" s="48"/>
      <c r="D178" s="48"/>
      <c r="E178" s="49"/>
      <c r="F178" s="49"/>
      <c r="G178" s="49">
        <f t="shared" si="9"/>
        <v>0</v>
      </c>
      <c r="H178" s="49" t="str">
        <f t="shared" si="8"/>
        <v>ครบ</v>
      </c>
      <c r="I178" s="49"/>
      <c r="J178" s="49" t="e">
        <f>VLOOKUP(I178,Sheet2!$B$10:$C$18,2,FALSE)</f>
        <v>#N/A</v>
      </c>
      <c r="K178" s="67"/>
      <c r="L178" s="49"/>
      <c r="M178" s="49" t="e">
        <f>VLOOKUP(L178,Sheet2!$B$10:$C$18,2,FALSE)</f>
        <v>#N/A</v>
      </c>
      <c r="N178" s="67"/>
      <c r="O178" s="49"/>
      <c r="P178" s="49" t="e">
        <f>VLOOKUP(O178,Sheet2!$B$10:$C$18,2,FALSE)</f>
        <v>#N/A</v>
      </c>
      <c r="Q178" s="67"/>
      <c r="R178" s="49"/>
      <c r="S178" s="49" t="e">
        <f>VLOOKUP(R178,Sheet2!$B$10:$C$18,2,FALSE)</f>
        <v>#N/A</v>
      </c>
      <c r="T178" s="67"/>
      <c r="U178" s="67">
        <f t="shared" si="10"/>
        <v>0</v>
      </c>
      <c r="V178" s="67"/>
      <c r="W178" s="67"/>
      <c r="X178" s="67"/>
      <c r="Y178" s="66"/>
      <c r="Z178" s="66"/>
      <c r="AA178" s="66"/>
      <c r="AB178" s="66"/>
      <c r="AC178" s="66"/>
      <c r="AD178" s="42" t="str">
        <f t="shared" si="11"/>
        <v>ทันกำหนด</v>
      </c>
      <c r="AE178" s="43"/>
      <c r="AF178" s="43"/>
      <c r="AG178" s="43"/>
      <c r="AH178" s="44"/>
    </row>
    <row r="179" spans="1:34" ht="27.75" customHeight="1">
      <c r="A179" s="41">
        <v>176</v>
      </c>
      <c r="B179" s="66"/>
      <c r="C179" s="48"/>
      <c r="D179" s="48"/>
      <c r="E179" s="49"/>
      <c r="F179" s="49"/>
      <c r="G179" s="49">
        <f t="shared" si="9"/>
        <v>0</v>
      </c>
      <c r="H179" s="49" t="str">
        <f t="shared" si="8"/>
        <v>ครบ</v>
      </c>
      <c r="I179" s="49"/>
      <c r="J179" s="49" t="e">
        <f>VLOOKUP(I179,Sheet2!$B$10:$C$18,2,FALSE)</f>
        <v>#N/A</v>
      </c>
      <c r="K179" s="67"/>
      <c r="L179" s="49"/>
      <c r="M179" s="49" t="e">
        <f>VLOOKUP(L179,Sheet2!$B$10:$C$18,2,FALSE)</f>
        <v>#N/A</v>
      </c>
      <c r="N179" s="67"/>
      <c r="O179" s="49"/>
      <c r="P179" s="49" t="e">
        <f>VLOOKUP(O179,Sheet2!$B$10:$C$18,2,FALSE)</f>
        <v>#N/A</v>
      </c>
      <c r="Q179" s="67"/>
      <c r="R179" s="49"/>
      <c r="S179" s="49" t="e">
        <f>VLOOKUP(R179,Sheet2!$B$10:$C$18,2,FALSE)</f>
        <v>#N/A</v>
      </c>
      <c r="T179" s="67"/>
      <c r="U179" s="67">
        <f t="shared" si="10"/>
        <v>0</v>
      </c>
      <c r="V179" s="67"/>
      <c r="W179" s="67"/>
      <c r="X179" s="67"/>
      <c r="Y179" s="66"/>
      <c r="Z179" s="66"/>
      <c r="AA179" s="66"/>
      <c r="AB179" s="66"/>
      <c r="AC179" s="66"/>
      <c r="AD179" s="42" t="str">
        <f t="shared" si="11"/>
        <v>ทันกำหนด</v>
      </c>
      <c r="AE179" s="43"/>
      <c r="AF179" s="43"/>
      <c r="AG179" s="43"/>
      <c r="AH179" s="44"/>
    </row>
    <row r="180" spans="1:34" ht="27.75" customHeight="1">
      <c r="A180" s="41">
        <v>177</v>
      </c>
      <c r="B180" s="66"/>
      <c r="C180" s="48"/>
      <c r="D180" s="48"/>
      <c r="E180" s="49"/>
      <c r="F180" s="49"/>
      <c r="G180" s="49">
        <f t="shared" si="9"/>
        <v>0</v>
      </c>
      <c r="H180" s="49" t="str">
        <f t="shared" si="8"/>
        <v>ครบ</v>
      </c>
      <c r="I180" s="49"/>
      <c r="J180" s="49" t="e">
        <f>VLOOKUP(I180,Sheet2!$B$10:$C$18,2,FALSE)</f>
        <v>#N/A</v>
      </c>
      <c r="K180" s="67"/>
      <c r="L180" s="49"/>
      <c r="M180" s="49" t="e">
        <f>VLOOKUP(L180,Sheet2!$B$10:$C$18,2,FALSE)</f>
        <v>#N/A</v>
      </c>
      <c r="N180" s="67"/>
      <c r="O180" s="49"/>
      <c r="P180" s="49" t="e">
        <f>VLOOKUP(O180,Sheet2!$B$10:$C$18,2,FALSE)</f>
        <v>#N/A</v>
      </c>
      <c r="Q180" s="67"/>
      <c r="R180" s="49"/>
      <c r="S180" s="49" t="e">
        <f>VLOOKUP(R180,Sheet2!$B$10:$C$18,2,FALSE)</f>
        <v>#N/A</v>
      </c>
      <c r="T180" s="67"/>
      <c r="U180" s="67">
        <f t="shared" si="10"/>
        <v>0</v>
      </c>
      <c r="V180" s="67"/>
      <c r="W180" s="67"/>
      <c r="X180" s="67"/>
      <c r="Y180" s="66"/>
      <c r="Z180" s="66"/>
      <c r="AA180" s="66"/>
      <c r="AB180" s="66"/>
      <c r="AC180" s="66"/>
      <c r="AD180" s="42" t="str">
        <f t="shared" si="11"/>
        <v>ทันกำหนด</v>
      </c>
      <c r="AE180" s="43"/>
      <c r="AF180" s="43"/>
      <c r="AG180" s="43"/>
      <c r="AH180" s="44"/>
    </row>
    <row r="181" spans="1:34" ht="27.75" customHeight="1">
      <c r="A181" s="41">
        <v>178</v>
      </c>
      <c r="B181" s="66"/>
      <c r="C181" s="48"/>
      <c r="D181" s="48"/>
      <c r="E181" s="49"/>
      <c r="F181" s="49"/>
      <c r="G181" s="49">
        <f t="shared" si="9"/>
        <v>0</v>
      </c>
      <c r="H181" s="49" t="str">
        <f t="shared" si="8"/>
        <v>ครบ</v>
      </c>
      <c r="I181" s="49"/>
      <c r="J181" s="49" t="e">
        <f>VLOOKUP(I181,Sheet2!$B$10:$C$18,2,FALSE)</f>
        <v>#N/A</v>
      </c>
      <c r="K181" s="67"/>
      <c r="L181" s="49"/>
      <c r="M181" s="49" t="e">
        <f>VLOOKUP(L181,Sheet2!$B$10:$C$18,2,FALSE)</f>
        <v>#N/A</v>
      </c>
      <c r="N181" s="67"/>
      <c r="O181" s="49"/>
      <c r="P181" s="49" t="e">
        <f>VLOOKUP(O181,Sheet2!$B$10:$C$18,2,FALSE)</f>
        <v>#N/A</v>
      </c>
      <c r="Q181" s="67"/>
      <c r="R181" s="49"/>
      <c r="S181" s="49" t="e">
        <f>VLOOKUP(R181,Sheet2!$B$10:$C$18,2,FALSE)</f>
        <v>#N/A</v>
      </c>
      <c r="T181" s="67"/>
      <c r="U181" s="67">
        <f t="shared" si="10"/>
        <v>0</v>
      </c>
      <c r="V181" s="67"/>
      <c r="W181" s="67"/>
      <c r="X181" s="67"/>
      <c r="Y181" s="66"/>
      <c r="Z181" s="66"/>
      <c r="AA181" s="66"/>
      <c r="AB181" s="66"/>
      <c r="AC181" s="66"/>
      <c r="AD181" s="42" t="str">
        <f t="shared" si="11"/>
        <v>ทันกำหนด</v>
      </c>
      <c r="AE181" s="43"/>
      <c r="AF181" s="43"/>
      <c r="AG181" s="43"/>
      <c r="AH181" s="44"/>
    </row>
    <row r="182" spans="1:34" ht="27.75" customHeight="1">
      <c r="A182" s="41">
        <v>179</v>
      </c>
      <c r="B182" s="66"/>
      <c r="C182" s="48"/>
      <c r="D182" s="48"/>
      <c r="E182" s="49"/>
      <c r="F182" s="49"/>
      <c r="G182" s="49">
        <f t="shared" si="9"/>
        <v>0</v>
      </c>
      <c r="H182" s="49" t="str">
        <f t="shared" si="8"/>
        <v>ครบ</v>
      </c>
      <c r="I182" s="49"/>
      <c r="J182" s="49" t="e">
        <f>VLOOKUP(I182,Sheet2!$B$10:$C$18,2,FALSE)</f>
        <v>#N/A</v>
      </c>
      <c r="K182" s="67"/>
      <c r="L182" s="49"/>
      <c r="M182" s="49" t="e">
        <f>VLOOKUP(L182,Sheet2!$B$10:$C$18,2,FALSE)</f>
        <v>#N/A</v>
      </c>
      <c r="N182" s="67"/>
      <c r="O182" s="49"/>
      <c r="P182" s="49" t="e">
        <f>VLOOKUP(O182,Sheet2!$B$10:$C$18,2,FALSE)</f>
        <v>#N/A</v>
      </c>
      <c r="Q182" s="67"/>
      <c r="R182" s="49"/>
      <c r="S182" s="49" t="e">
        <f>VLOOKUP(R182,Sheet2!$B$10:$C$18,2,FALSE)</f>
        <v>#N/A</v>
      </c>
      <c r="T182" s="67"/>
      <c r="U182" s="67">
        <f t="shared" si="10"/>
        <v>0</v>
      </c>
      <c r="V182" s="67"/>
      <c r="W182" s="67"/>
      <c r="X182" s="67"/>
      <c r="Y182" s="66"/>
      <c r="Z182" s="66"/>
      <c r="AA182" s="66"/>
      <c r="AB182" s="66"/>
      <c r="AC182" s="66"/>
      <c r="AD182" s="42" t="str">
        <f t="shared" si="11"/>
        <v>ทันกำหนด</v>
      </c>
      <c r="AE182" s="43"/>
      <c r="AF182" s="43"/>
      <c r="AG182" s="43"/>
      <c r="AH182" s="44"/>
    </row>
    <row r="183" spans="1:34" ht="27.75" customHeight="1">
      <c r="A183" s="41">
        <v>180</v>
      </c>
      <c r="B183" s="66"/>
      <c r="C183" s="48"/>
      <c r="D183" s="48"/>
      <c r="E183" s="49"/>
      <c r="F183" s="49"/>
      <c r="G183" s="49">
        <f t="shared" si="9"/>
        <v>0</v>
      </c>
      <c r="H183" s="49" t="str">
        <f t="shared" si="8"/>
        <v>ครบ</v>
      </c>
      <c r="I183" s="49"/>
      <c r="J183" s="49" t="e">
        <f>VLOOKUP(I183,Sheet2!$B$10:$C$18,2,FALSE)</f>
        <v>#N/A</v>
      </c>
      <c r="K183" s="67"/>
      <c r="L183" s="49"/>
      <c r="M183" s="49" t="e">
        <f>VLOOKUP(L183,Sheet2!$B$10:$C$18,2,FALSE)</f>
        <v>#N/A</v>
      </c>
      <c r="N183" s="67"/>
      <c r="O183" s="49"/>
      <c r="P183" s="49" t="e">
        <f>VLOOKUP(O183,Sheet2!$B$10:$C$18,2,FALSE)</f>
        <v>#N/A</v>
      </c>
      <c r="Q183" s="67"/>
      <c r="R183" s="49"/>
      <c r="S183" s="49" t="e">
        <f>VLOOKUP(R183,Sheet2!$B$10:$C$18,2,FALSE)</f>
        <v>#N/A</v>
      </c>
      <c r="T183" s="67"/>
      <c r="U183" s="67">
        <f t="shared" si="10"/>
        <v>0</v>
      </c>
      <c r="V183" s="67"/>
      <c r="W183" s="67"/>
      <c r="X183" s="67"/>
      <c r="Y183" s="66"/>
      <c r="Z183" s="66"/>
      <c r="AA183" s="66"/>
      <c r="AB183" s="66"/>
      <c r="AC183" s="66"/>
      <c r="AD183" s="42" t="str">
        <f t="shared" si="11"/>
        <v>ทันกำหนด</v>
      </c>
      <c r="AE183" s="43"/>
      <c r="AF183" s="43"/>
      <c r="AG183" s="43"/>
      <c r="AH183" s="44"/>
    </row>
    <row r="184" spans="1:34" ht="27.75" customHeight="1">
      <c r="A184" s="41">
        <v>181</v>
      </c>
      <c r="B184" s="66"/>
      <c r="C184" s="48"/>
      <c r="D184" s="48"/>
      <c r="E184" s="49"/>
      <c r="F184" s="49"/>
      <c r="G184" s="49">
        <f t="shared" si="9"/>
        <v>0</v>
      </c>
      <c r="H184" s="49" t="str">
        <f t="shared" si="8"/>
        <v>ครบ</v>
      </c>
      <c r="I184" s="49"/>
      <c r="J184" s="49" t="e">
        <f>VLOOKUP(I184,Sheet2!$B$10:$C$18,2,FALSE)</f>
        <v>#N/A</v>
      </c>
      <c r="K184" s="67"/>
      <c r="L184" s="49"/>
      <c r="M184" s="49" t="e">
        <f>VLOOKUP(L184,Sheet2!$B$10:$C$18,2,FALSE)</f>
        <v>#N/A</v>
      </c>
      <c r="N184" s="67"/>
      <c r="O184" s="49"/>
      <c r="P184" s="49" t="e">
        <f>VLOOKUP(O184,Sheet2!$B$10:$C$18,2,FALSE)</f>
        <v>#N/A</v>
      </c>
      <c r="Q184" s="67"/>
      <c r="R184" s="49"/>
      <c r="S184" s="49" t="e">
        <f>VLOOKUP(R184,Sheet2!$B$10:$C$18,2,FALSE)</f>
        <v>#N/A</v>
      </c>
      <c r="T184" s="67"/>
      <c r="U184" s="67">
        <f t="shared" si="10"/>
        <v>0</v>
      </c>
      <c r="V184" s="67"/>
      <c r="W184" s="67"/>
      <c r="X184" s="67"/>
      <c r="Y184" s="66"/>
      <c r="Z184" s="66"/>
      <c r="AA184" s="66"/>
      <c r="AB184" s="66"/>
      <c r="AC184" s="66"/>
      <c r="AD184" s="42" t="str">
        <f t="shared" si="11"/>
        <v>ทันกำหนด</v>
      </c>
      <c r="AE184" s="43"/>
      <c r="AF184" s="43"/>
      <c r="AG184" s="43"/>
      <c r="AH184" s="44"/>
    </row>
    <row r="185" spans="1:34" ht="27.75" customHeight="1">
      <c r="A185" s="41">
        <v>182</v>
      </c>
      <c r="B185" s="66"/>
      <c r="C185" s="48"/>
      <c r="D185" s="48"/>
      <c r="E185" s="49"/>
      <c r="F185" s="49"/>
      <c r="G185" s="49">
        <f t="shared" si="9"/>
        <v>0</v>
      </c>
      <c r="H185" s="49" t="str">
        <f t="shared" si="8"/>
        <v>ครบ</v>
      </c>
      <c r="I185" s="49"/>
      <c r="J185" s="49" t="e">
        <f>VLOOKUP(I185,Sheet2!$B$10:$C$18,2,FALSE)</f>
        <v>#N/A</v>
      </c>
      <c r="K185" s="67"/>
      <c r="L185" s="49"/>
      <c r="M185" s="49" t="e">
        <f>VLOOKUP(L185,Sheet2!$B$10:$C$18,2,FALSE)</f>
        <v>#N/A</v>
      </c>
      <c r="N185" s="67"/>
      <c r="O185" s="49"/>
      <c r="P185" s="49" t="e">
        <f>VLOOKUP(O185,Sheet2!$B$10:$C$18,2,FALSE)</f>
        <v>#N/A</v>
      </c>
      <c r="Q185" s="67"/>
      <c r="R185" s="49"/>
      <c r="S185" s="49" t="e">
        <f>VLOOKUP(R185,Sheet2!$B$10:$C$18,2,FALSE)</f>
        <v>#N/A</v>
      </c>
      <c r="T185" s="67"/>
      <c r="U185" s="67">
        <f t="shared" si="10"/>
        <v>0</v>
      </c>
      <c r="V185" s="67"/>
      <c r="W185" s="67"/>
      <c r="X185" s="67"/>
      <c r="Y185" s="66"/>
      <c r="Z185" s="66"/>
      <c r="AA185" s="66"/>
      <c r="AB185" s="66"/>
      <c r="AC185" s="66"/>
      <c r="AD185" s="42" t="str">
        <f t="shared" si="11"/>
        <v>ทันกำหนด</v>
      </c>
      <c r="AE185" s="43"/>
      <c r="AF185" s="43"/>
      <c r="AG185" s="43"/>
      <c r="AH185" s="44"/>
    </row>
    <row r="186" spans="1:34" ht="27.75" customHeight="1">
      <c r="A186" s="41">
        <v>183</v>
      </c>
      <c r="B186" s="66"/>
      <c r="C186" s="48"/>
      <c r="D186" s="48"/>
      <c r="E186" s="49"/>
      <c r="F186" s="49"/>
      <c r="G186" s="49">
        <f t="shared" si="9"/>
        <v>0</v>
      </c>
      <c r="H186" s="49" t="str">
        <f t="shared" si="8"/>
        <v>ครบ</v>
      </c>
      <c r="I186" s="49"/>
      <c r="J186" s="49" t="e">
        <f>VLOOKUP(I186,Sheet2!$B$10:$C$18,2,FALSE)</f>
        <v>#N/A</v>
      </c>
      <c r="K186" s="67"/>
      <c r="L186" s="49"/>
      <c r="M186" s="49" t="e">
        <f>VLOOKUP(L186,Sheet2!$B$10:$C$18,2,FALSE)</f>
        <v>#N/A</v>
      </c>
      <c r="N186" s="67"/>
      <c r="O186" s="49"/>
      <c r="P186" s="49" t="e">
        <f>VLOOKUP(O186,Sheet2!$B$10:$C$18,2,FALSE)</f>
        <v>#N/A</v>
      </c>
      <c r="Q186" s="67"/>
      <c r="R186" s="49"/>
      <c r="S186" s="49" t="e">
        <f>VLOOKUP(R186,Sheet2!$B$10:$C$18,2,FALSE)</f>
        <v>#N/A</v>
      </c>
      <c r="T186" s="67"/>
      <c r="U186" s="67">
        <f t="shared" si="10"/>
        <v>0</v>
      </c>
      <c r="V186" s="67"/>
      <c r="W186" s="67"/>
      <c r="X186" s="67"/>
      <c r="Y186" s="66"/>
      <c r="Z186" s="66"/>
      <c r="AA186" s="66"/>
      <c r="AB186" s="66"/>
      <c r="AC186" s="66"/>
      <c r="AD186" s="42" t="str">
        <f t="shared" si="11"/>
        <v>ทันกำหนด</v>
      </c>
      <c r="AE186" s="43"/>
      <c r="AF186" s="43"/>
      <c r="AG186" s="43"/>
      <c r="AH186" s="44"/>
    </row>
    <row r="187" spans="1:34" ht="27.75" customHeight="1">
      <c r="A187" s="41">
        <v>184</v>
      </c>
      <c r="B187" s="66"/>
      <c r="C187" s="48"/>
      <c r="D187" s="48"/>
      <c r="E187" s="49"/>
      <c r="F187" s="49"/>
      <c r="G187" s="49">
        <f t="shared" si="9"/>
        <v>0</v>
      </c>
      <c r="H187" s="49" t="str">
        <f t="shared" si="8"/>
        <v>ครบ</v>
      </c>
      <c r="I187" s="49"/>
      <c r="J187" s="49" t="e">
        <f>VLOOKUP(I187,Sheet2!$B$10:$C$18,2,FALSE)</f>
        <v>#N/A</v>
      </c>
      <c r="K187" s="67"/>
      <c r="L187" s="49"/>
      <c r="M187" s="49" t="e">
        <f>VLOOKUP(L187,Sheet2!$B$10:$C$18,2,FALSE)</f>
        <v>#N/A</v>
      </c>
      <c r="N187" s="67"/>
      <c r="O187" s="49"/>
      <c r="P187" s="49" t="e">
        <f>VLOOKUP(O187,Sheet2!$B$10:$C$18,2,FALSE)</f>
        <v>#N/A</v>
      </c>
      <c r="Q187" s="67"/>
      <c r="R187" s="49"/>
      <c r="S187" s="49" t="e">
        <f>VLOOKUP(R187,Sheet2!$B$10:$C$18,2,FALSE)</f>
        <v>#N/A</v>
      </c>
      <c r="T187" s="67"/>
      <c r="U187" s="67">
        <f t="shared" si="10"/>
        <v>0</v>
      </c>
      <c r="V187" s="67"/>
      <c r="W187" s="67"/>
      <c r="X187" s="67"/>
      <c r="Y187" s="66"/>
      <c r="Z187" s="66"/>
      <c r="AA187" s="66"/>
      <c r="AB187" s="66"/>
      <c r="AC187" s="66"/>
      <c r="AD187" s="42" t="str">
        <f t="shared" si="11"/>
        <v>ทันกำหนด</v>
      </c>
      <c r="AE187" s="43"/>
      <c r="AF187" s="43"/>
      <c r="AG187" s="43"/>
      <c r="AH187" s="44"/>
    </row>
    <row r="188" spans="1:34" ht="27.75" customHeight="1">
      <c r="A188" s="41">
        <v>185</v>
      </c>
      <c r="B188" s="66"/>
      <c r="C188" s="48"/>
      <c r="D188" s="48"/>
      <c r="E188" s="49"/>
      <c r="F188" s="49"/>
      <c r="G188" s="49">
        <f t="shared" si="9"/>
        <v>0</v>
      </c>
      <c r="H188" s="49" t="str">
        <f t="shared" si="8"/>
        <v>ครบ</v>
      </c>
      <c r="I188" s="49"/>
      <c r="J188" s="49" t="e">
        <f>VLOOKUP(I188,Sheet2!$B$10:$C$18,2,FALSE)</f>
        <v>#N/A</v>
      </c>
      <c r="K188" s="67"/>
      <c r="L188" s="49"/>
      <c r="M188" s="49" t="e">
        <f>VLOOKUP(L188,Sheet2!$B$10:$C$18,2,FALSE)</f>
        <v>#N/A</v>
      </c>
      <c r="N188" s="67"/>
      <c r="O188" s="49"/>
      <c r="P188" s="49" t="e">
        <f>VLOOKUP(O188,Sheet2!$B$10:$C$18,2,FALSE)</f>
        <v>#N/A</v>
      </c>
      <c r="Q188" s="67"/>
      <c r="R188" s="49"/>
      <c r="S188" s="49" t="e">
        <f>VLOOKUP(R188,Sheet2!$B$10:$C$18,2,FALSE)</f>
        <v>#N/A</v>
      </c>
      <c r="T188" s="67"/>
      <c r="U188" s="67">
        <f t="shared" si="10"/>
        <v>0</v>
      </c>
      <c r="V188" s="67"/>
      <c r="W188" s="67"/>
      <c r="X188" s="67"/>
      <c r="Y188" s="66"/>
      <c r="Z188" s="66"/>
      <c r="AA188" s="66"/>
      <c r="AB188" s="66"/>
      <c r="AC188" s="66"/>
      <c r="AD188" s="42" t="str">
        <f t="shared" si="11"/>
        <v>ทันกำหนด</v>
      </c>
      <c r="AE188" s="43"/>
      <c r="AF188" s="43"/>
      <c r="AG188" s="43"/>
      <c r="AH188" s="68"/>
    </row>
    <row r="189" spans="1:34" ht="27.75" customHeight="1">
      <c r="A189" s="41">
        <v>186</v>
      </c>
      <c r="B189" s="66"/>
      <c r="C189" s="48"/>
      <c r="D189" s="48"/>
      <c r="E189" s="49"/>
      <c r="F189" s="49"/>
      <c r="G189" s="49">
        <f t="shared" si="9"/>
        <v>0</v>
      </c>
      <c r="H189" s="49" t="str">
        <f t="shared" si="8"/>
        <v>ครบ</v>
      </c>
      <c r="I189" s="49"/>
      <c r="J189" s="49" t="e">
        <f>VLOOKUP(I189,Sheet2!$B$10:$C$18,2,FALSE)</f>
        <v>#N/A</v>
      </c>
      <c r="K189" s="67"/>
      <c r="L189" s="49"/>
      <c r="M189" s="49" t="e">
        <f>VLOOKUP(L189,Sheet2!$B$10:$C$18,2,FALSE)</f>
        <v>#N/A</v>
      </c>
      <c r="N189" s="67"/>
      <c r="O189" s="49"/>
      <c r="P189" s="49" t="e">
        <f>VLOOKUP(O189,Sheet2!$B$10:$C$18,2,FALSE)</f>
        <v>#N/A</v>
      </c>
      <c r="Q189" s="67"/>
      <c r="R189" s="49"/>
      <c r="S189" s="49" t="e">
        <f>VLOOKUP(R189,Sheet2!$B$10:$C$18,2,FALSE)</f>
        <v>#N/A</v>
      </c>
      <c r="T189" s="67"/>
      <c r="U189" s="67">
        <f t="shared" si="10"/>
        <v>0</v>
      </c>
      <c r="V189" s="67"/>
      <c r="W189" s="67"/>
      <c r="X189" s="67"/>
      <c r="Y189" s="66"/>
      <c r="Z189" s="66"/>
      <c r="AA189" s="66"/>
      <c r="AB189" s="66"/>
      <c r="AC189" s="66"/>
      <c r="AD189" s="42" t="str">
        <f t="shared" si="11"/>
        <v>ทันกำหนด</v>
      </c>
      <c r="AE189" s="43"/>
      <c r="AF189" s="43"/>
      <c r="AG189" s="43"/>
      <c r="AH189" s="44"/>
    </row>
    <row r="190" spans="1:34" ht="27.75" customHeight="1">
      <c r="A190" s="41">
        <v>187</v>
      </c>
      <c r="B190" s="66"/>
      <c r="C190" s="48"/>
      <c r="D190" s="48"/>
      <c r="E190" s="49"/>
      <c r="F190" s="49"/>
      <c r="G190" s="49">
        <f t="shared" si="9"/>
        <v>0</v>
      </c>
      <c r="H190" s="49" t="str">
        <f t="shared" si="8"/>
        <v>ครบ</v>
      </c>
      <c r="I190" s="49"/>
      <c r="J190" s="49" t="e">
        <f>VLOOKUP(I190,Sheet2!$B$10:$C$18,2,FALSE)</f>
        <v>#N/A</v>
      </c>
      <c r="K190" s="67"/>
      <c r="L190" s="49"/>
      <c r="M190" s="49" t="e">
        <f>VLOOKUP(L190,Sheet2!$B$10:$C$18,2,FALSE)</f>
        <v>#N/A</v>
      </c>
      <c r="N190" s="67"/>
      <c r="O190" s="49"/>
      <c r="P190" s="49" t="e">
        <f>VLOOKUP(O190,Sheet2!$B$10:$C$18,2,FALSE)</f>
        <v>#N/A</v>
      </c>
      <c r="Q190" s="67"/>
      <c r="R190" s="49"/>
      <c r="S190" s="49" t="e">
        <f>VLOOKUP(R190,Sheet2!$B$10:$C$18,2,FALSE)</f>
        <v>#N/A</v>
      </c>
      <c r="T190" s="67"/>
      <c r="U190" s="67">
        <f t="shared" si="10"/>
        <v>0</v>
      </c>
      <c r="V190" s="67"/>
      <c r="W190" s="67"/>
      <c r="X190" s="67"/>
      <c r="Y190" s="66"/>
      <c r="Z190" s="66"/>
      <c r="AA190" s="66"/>
      <c r="AB190" s="66"/>
      <c r="AC190" s="66"/>
      <c r="AD190" s="42" t="str">
        <f t="shared" si="11"/>
        <v>ทันกำหนด</v>
      </c>
      <c r="AE190" s="43"/>
      <c r="AF190" s="43"/>
      <c r="AG190" s="43"/>
      <c r="AH190" s="70"/>
    </row>
    <row r="191" spans="1:34" ht="27.75" customHeight="1">
      <c r="A191" s="41">
        <v>188</v>
      </c>
      <c r="B191" s="66"/>
      <c r="C191" s="48"/>
      <c r="D191" s="48"/>
      <c r="E191" s="49"/>
      <c r="F191" s="49"/>
      <c r="G191" s="49">
        <f t="shared" si="9"/>
        <v>0</v>
      </c>
      <c r="H191" s="49" t="str">
        <f t="shared" si="8"/>
        <v>ครบ</v>
      </c>
      <c r="I191" s="49"/>
      <c r="J191" s="49" t="e">
        <f>VLOOKUP(I191,Sheet2!$B$10:$C$18,2,FALSE)</f>
        <v>#N/A</v>
      </c>
      <c r="K191" s="67"/>
      <c r="L191" s="49"/>
      <c r="M191" s="49" t="e">
        <f>VLOOKUP(L191,Sheet2!$B$10:$C$18,2,FALSE)</f>
        <v>#N/A</v>
      </c>
      <c r="N191" s="67"/>
      <c r="O191" s="49"/>
      <c r="P191" s="49" t="e">
        <f>VLOOKUP(O191,Sheet2!$B$10:$C$18,2,FALSE)</f>
        <v>#N/A</v>
      </c>
      <c r="Q191" s="67"/>
      <c r="R191" s="49"/>
      <c r="S191" s="49" t="e">
        <f>VLOOKUP(R191,Sheet2!$B$10:$C$18,2,FALSE)</f>
        <v>#N/A</v>
      </c>
      <c r="T191" s="67"/>
      <c r="U191" s="67">
        <f t="shared" si="10"/>
        <v>0</v>
      </c>
      <c r="V191" s="67"/>
      <c r="W191" s="67"/>
      <c r="X191" s="67"/>
      <c r="Y191" s="66"/>
      <c r="Z191" s="66"/>
      <c r="AA191" s="66"/>
      <c r="AB191" s="66"/>
      <c r="AC191" s="66"/>
      <c r="AD191" s="42" t="str">
        <f t="shared" si="11"/>
        <v>ทันกำหนด</v>
      </c>
      <c r="AE191" s="43"/>
      <c r="AF191" s="43"/>
      <c r="AG191" s="43"/>
      <c r="AH191" s="70"/>
    </row>
    <row r="192" spans="1:34" ht="27.75" customHeight="1">
      <c r="A192" s="41">
        <v>189</v>
      </c>
      <c r="B192" s="66"/>
      <c r="C192" s="48"/>
      <c r="D192" s="48"/>
      <c r="E192" s="49"/>
      <c r="F192" s="49"/>
      <c r="G192" s="49">
        <f t="shared" si="9"/>
        <v>0</v>
      </c>
      <c r="H192" s="49" t="str">
        <f t="shared" si="8"/>
        <v>ครบ</v>
      </c>
      <c r="I192" s="49"/>
      <c r="J192" s="49" t="e">
        <f>VLOOKUP(I192,Sheet2!$B$10:$C$18,2,FALSE)</f>
        <v>#N/A</v>
      </c>
      <c r="K192" s="67"/>
      <c r="L192" s="49"/>
      <c r="M192" s="49" t="e">
        <f>VLOOKUP(L192,Sheet2!$B$10:$C$18,2,FALSE)</f>
        <v>#N/A</v>
      </c>
      <c r="N192" s="67"/>
      <c r="O192" s="49"/>
      <c r="P192" s="49" t="e">
        <f>VLOOKUP(O192,Sheet2!$B$10:$C$18,2,FALSE)</f>
        <v>#N/A</v>
      </c>
      <c r="Q192" s="67"/>
      <c r="R192" s="49"/>
      <c r="S192" s="49" t="e">
        <f>VLOOKUP(R192,Sheet2!$B$10:$C$18,2,FALSE)</f>
        <v>#N/A</v>
      </c>
      <c r="T192" s="67"/>
      <c r="U192" s="67">
        <f t="shared" si="10"/>
        <v>0</v>
      </c>
      <c r="V192" s="67"/>
      <c r="W192" s="67"/>
      <c r="X192" s="67"/>
      <c r="Y192" s="66"/>
      <c r="Z192" s="66"/>
      <c r="AA192" s="66"/>
      <c r="AB192" s="66"/>
      <c r="AC192" s="66"/>
      <c r="AD192" s="42" t="str">
        <f t="shared" si="11"/>
        <v>ทันกำหนด</v>
      </c>
      <c r="AE192" s="43"/>
      <c r="AF192" s="43"/>
      <c r="AG192" s="43"/>
      <c r="AH192" s="70"/>
    </row>
    <row r="193" spans="1:34" ht="27.75" customHeight="1">
      <c r="A193" s="41">
        <v>190</v>
      </c>
      <c r="B193" s="66"/>
      <c r="C193" s="48"/>
      <c r="D193" s="48"/>
      <c r="E193" s="49"/>
      <c r="F193" s="49"/>
      <c r="G193" s="49">
        <f t="shared" si="9"/>
        <v>0</v>
      </c>
      <c r="H193" s="49" t="str">
        <f t="shared" si="8"/>
        <v>ครบ</v>
      </c>
      <c r="I193" s="49"/>
      <c r="J193" s="49" t="e">
        <f>VLOOKUP(I193,Sheet2!$B$10:$C$18,2,FALSE)</f>
        <v>#N/A</v>
      </c>
      <c r="K193" s="67"/>
      <c r="L193" s="49"/>
      <c r="M193" s="49" t="e">
        <f>VLOOKUP(L193,Sheet2!$B$10:$C$18,2,FALSE)</f>
        <v>#N/A</v>
      </c>
      <c r="N193" s="67"/>
      <c r="O193" s="49"/>
      <c r="P193" s="49" t="e">
        <f>VLOOKUP(O193,Sheet2!$B$10:$C$18,2,FALSE)</f>
        <v>#N/A</v>
      </c>
      <c r="Q193" s="67"/>
      <c r="R193" s="49"/>
      <c r="S193" s="49" t="e">
        <f>VLOOKUP(R193,Sheet2!$B$10:$C$18,2,FALSE)</f>
        <v>#N/A</v>
      </c>
      <c r="T193" s="67"/>
      <c r="U193" s="67">
        <f t="shared" si="10"/>
        <v>0</v>
      </c>
      <c r="V193" s="67"/>
      <c r="W193" s="67"/>
      <c r="X193" s="67"/>
      <c r="Y193" s="66"/>
      <c r="Z193" s="66"/>
      <c r="AA193" s="66"/>
      <c r="AB193" s="66"/>
      <c r="AC193" s="66"/>
      <c r="AD193" s="42" t="str">
        <f t="shared" si="11"/>
        <v>ทันกำหนด</v>
      </c>
      <c r="AE193" s="43"/>
      <c r="AF193" s="43"/>
      <c r="AG193" s="43"/>
      <c r="AH193" s="70"/>
    </row>
    <row r="194" spans="1:34" ht="27.75" customHeight="1">
      <c r="A194" s="41">
        <v>191</v>
      </c>
      <c r="B194" s="66"/>
      <c r="C194" s="48"/>
      <c r="D194" s="48"/>
      <c r="E194" s="49"/>
      <c r="F194" s="49"/>
      <c r="G194" s="49">
        <f t="shared" si="9"/>
        <v>0</v>
      </c>
      <c r="H194" s="49" t="str">
        <f t="shared" si="8"/>
        <v>ครบ</v>
      </c>
      <c r="I194" s="49"/>
      <c r="J194" s="49" t="e">
        <f>VLOOKUP(I194,Sheet2!$B$10:$C$18,2,FALSE)</f>
        <v>#N/A</v>
      </c>
      <c r="K194" s="67"/>
      <c r="L194" s="49"/>
      <c r="M194" s="49" t="e">
        <f>VLOOKUP(L194,Sheet2!$B$10:$C$18,2,FALSE)</f>
        <v>#N/A</v>
      </c>
      <c r="N194" s="67"/>
      <c r="O194" s="49"/>
      <c r="P194" s="49" t="e">
        <f>VLOOKUP(O194,Sheet2!$B$10:$C$18,2,FALSE)</f>
        <v>#N/A</v>
      </c>
      <c r="Q194" s="67"/>
      <c r="R194" s="49"/>
      <c r="S194" s="49" t="e">
        <f>VLOOKUP(R194,Sheet2!$B$10:$C$18,2,FALSE)</f>
        <v>#N/A</v>
      </c>
      <c r="T194" s="67"/>
      <c r="U194" s="67">
        <f t="shared" si="10"/>
        <v>0</v>
      </c>
      <c r="V194" s="67"/>
      <c r="W194" s="67"/>
      <c r="X194" s="67"/>
      <c r="Y194" s="66"/>
      <c r="Z194" s="66"/>
      <c r="AA194" s="66"/>
      <c r="AB194" s="66"/>
      <c r="AC194" s="66"/>
      <c r="AD194" s="42" t="str">
        <f t="shared" si="11"/>
        <v>ทันกำหนด</v>
      </c>
      <c r="AE194" s="43"/>
      <c r="AF194" s="43"/>
      <c r="AG194" s="43"/>
      <c r="AH194" s="70"/>
    </row>
    <row r="195" spans="1:34" ht="27.75" customHeight="1">
      <c r="A195" s="41">
        <v>192</v>
      </c>
      <c r="B195" s="66"/>
      <c r="C195" s="48"/>
      <c r="D195" s="48"/>
      <c r="E195" s="49"/>
      <c r="F195" s="49"/>
      <c r="G195" s="49">
        <f t="shared" si="9"/>
        <v>0</v>
      </c>
      <c r="H195" s="49" t="str">
        <f t="shared" si="8"/>
        <v>ครบ</v>
      </c>
      <c r="I195" s="49"/>
      <c r="J195" s="49" t="e">
        <f>VLOOKUP(I195,Sheet2!$B$10:$C$18,2,FALSE)</f>
        <v>#N/A</v>
      </c>
      <c r="K195" s="67"/>
      <c r="L195" s="49"/>
      <c r="M195" s="49" t="e">
        <f>VLOOKUP(L195,Sheet2!$B$10:$C$18,2,FALSE)</f>
        <v>#N/A</v>
      </c>
      <c r="N195" s="67"/>
      <c r="O195" s="49"/>
      <c r="P195" s="49" t="e">
        <f>VLOOKUP(O195,Sheet2!$B$10:$C$18,2,FALSE)</f>
        <v>#N/A</v>
      </c>
      <c r="Q195" s="67"/>
      <c r="R195" s="49"/>
      <c r="S195" s="49" t="e">
        <f>VLOOKUP(R195,Sheet2!$B$10:$C$18,2,FALSE)</f>
        <v>#N/A</v>
      </c>
      <c r="T195" s="67"/>
      <c r="U195" s="67">
        <f t="shared" si="10"/>
        <v>0</v>
      </c>
      <c r="V195" s="67"/>
      <c r="W195" s="67"/>
      <c r="X195" s="67"/>
      <c r="Y195" s="66"/>
      <c r="Z195" s="66"/>
      <c r="AA195" s="66"/>
      <c r="AB195" s="66"/>
      <c r="AC195" s="66"/>
      <c r="AD195" s="42" t="str">
        <f t="shared" si="11"/>
        <v>ทันกำหนด</v>
      </c>
      <c r="AE195" s="43"/>
      <c r="AF195" s="43"/>
      <c r="AG195" s="43"/>
      <c r="AH195" s="70"/>
    </row>
    <row r="196" spans="1:34" ht="27.75" customHeight="1">
      <c r="A196" s="41">
        <v>193</v>
      </c>
      <c r="B196" s="66"/>
      <c r="C196" s="48"/>
      <c r="D196" s="48"/>
      <c r="E196" s="49"/>
      <c r="F196" s="49"/>
      <c r="G196" s="49">
        <f t="shared" si="9"/>
        <v>0</v>
      </c>
      <c r="H196" s="49" t="str">
        <f t="shared" si="8"/>
        <v>ครบ</v>
      </c>
      <c r="I196" s="49"/>
      <c r="J196" s="49" t="e">
        <f>VLOOKUP(I196,Sheet2!$B$10:$C$18,2,FALSE)</f>
        <v>#N/A</v>
      </c>
      <c r="K196" s="67"/>
      <c r="L196" s="49"/>
      <c r="M196" s="49" t="e">
        <f>VLOOKUP(L196,Sheet2!$B$10:$C$18,2,FALSE)</f>
        <v>#N/A</v>
      </c>
      <c r="N196" s="67"/>
      <c r="O196" s="49"/>
      <c r="P196" s="49" t="e">
        <f>VLOOKUP(O196,Sheet2!$B$10:$C$18,2,FALSE)</f>
        <v>#N/A</v>
      </c>
      <c r="Q196" s="67"/>
      <c r="R196" s="49"/>
      <c r="S196" s="49" t="e">
        <f>VLOOKUP(R196,Sheet2!$B$10:$C$18,2,FALSE)</f>
        <v>#N/A</v>
      </c>
      <c r="T196" s="67"/>
      <c r="U196" s="67">
        <f t="shared" si="10"/>
        <v>0</v>
      </c>
      <c r="V196" s="67"/>
      <c r="W196" s="67"/>
      <c r="X196" s="67"/>
      <c r="Y196" s="66"/>
      <c r="Z196" s="66"/>
      <c r="AA196" s="66"/>
      <c r="AB196" s="66"/>
      <c r="AC196" s="66"/>
      <c r="AD196" s="42" t="str">
        <f t="shared" si="11"/>
        <v>ทันกำหนด</v>
      </c>
      <c r="AE196" s="43"/>
      <c r="AF196" s="43"/>
      <c r="AG196" s="43"/>
      <c r="AH196" s="44"/>
    </row>
    <row r="197" spans="1:34" ht="27.75" customHeight="1">
      <c r="A197" s="41">
        <v>194</v>
      </c>
      <c r="B197" s="66"/>
      <c r="C197" s="48"/>
      <c r="D197" s="48"/>
      <c r="E197" s="49"/>
      <c r="F197" s="49"/>
      <c r="G197" s="49">
        <f t="shared" si="9"/>
        <v>0</v>
      </c>
      <c r="H197" s="49" t="str">
        <f t="shared" si="8"/>
        <v>ครบ</v>
      </c>
      <c r="I197" s="49"/>
      <c r="J197" s="49" t="e">
        <f>VLOOKUP(I197,Sheet2!$B$10:$C$18,2,FALSE)</f>
        <v>#N/A</v>
      </c>
      <c r="K197" s="67"/>
      <c r="L197" s="49"/>
      <c r="M197" s="49" t="e">
        <f>VLOOKUP(L197,Sheet2!$B$10:$C$18,2,FALSE)</f>
        <v>#N/A</v>
      </c>
      <c r="N197" s="67"/>
      <c r="O197" s="49"/>
      <c r="P197" s="49" t="e">
        <f>VLOOKUP(O197,Sheet2!$B$10:$C$18,2,FALSE)</f>
        <v>#N/A</v>
      </c>
      <c r="Q197" s="67"/>
      <c r="R197" s="49"/>
      <c r="S197" s="49" t="e">
        <f>VLOOKUP(R197,Sheet2!$B$10:$C$18,2,FALSE)</f>
        <v>#N/A</v>
      </c>
      <c r="T197" s="67"/>
      <c r="U197" s="67">
        <f t="shared" ref="U197:U260" si="12">$K197+$N197+$Q197+$T197</f>
        <v>0</v>
      </c>
      <c r="V197" s="67"/>
      <c r="W197" s="67"/>
      <c r="X197" s="67"/>
      <c r="Y197" s="66"/>
      <c r="Z197" s="66"/>
      <c r="AA197" s="66"/>
      <c r="AB197" s="66"/>
      <c r="AC197" s="66"/>
      <c r="AD197" s="42" t="str">
        <f t="shared" si="11"/>
        <v>ทันกำหนด</v>
      </c>
      <c r="AE197" s="43"/>
      <c r="AF197" s="43"/>
      <c r="AG197" s="43"/>
      <c r="AH197" s="44"/>
    </row>
    <row r="198" spans="1:34" ht="27.75" customHeight="1">
      <c r="A198" s="41">
        <v>195</v>
      </c>
      <c r="B198" s="66"/>
      <c r="C198" s="48"/>
      <c r="D198" s="48"/>
      <c r="E198" s="49"/>
      <c r="F198" s="49"/>
      <c r="G198" s="49">
        <f t="shared" ref="G198:G261" si="13">$E198-$F198</f>
        <v>0</v>
      </c>
      <c r="H198" s="49" t="str">
        <f t="shared" si="8"/>
        <v>ครบ</v>
      </c>
      <c r="I198" s="49"/>
      <c r="J198" s="49" t="e">
        <f>VLOOKUP(I198,Sheet2!$B$10:$C$18,2,FALSE)</f>
        <v>#N/A</v>
      </c>
      <c r="K198" s="67"/>
      <c r="L198" s="49"/>
      <c r="M198" s="49" t="e">
        <f>VLOOKUP(L198,Sheet2!$B$10:$C$18,2,FALSE)</f>
        <v>#N/A</v>
      </c>
      <c r="N198" s="67"/>
      <c r="O198" s="49"/>
      <c r="P198" s="49" t="e">
        <f>VLOOKUP(O198,Sheet2!$B$10:$C$18,2,FALSE)</f>
        <v>#N/A</v>
      </c>
      <c r="Q198" s="67"/>
      <c r="R198" s="49"/>
      <c r="S198" s="49" t="e">
        <f>VLOOKUP(R198,Sheet2!$B$10:$C$18,2,FALSE)</f>
        <v>#N/A</v>
      </c>
      <c r="T198" s="67"/>
      <c r="U198" s="67">
        <f t="shared" si="12"/>
        <v>0</v>
      </c>
      <c r="V198" s="67"/>
      <c r="W198" s="67"/>
      <c r="X198" s="67"/>
      <c r="Y198" s="66"/>
      <c r="Z198" s="66"/>
      <c r="AA198" s="66"/>
      <c r="AB198" s="66"/>
      <c r="AC198" s="66"/>
      <c r="AD198" s="42" t="str">
        <f t="shared" si="11"/>
        <v>ทันกำหนด</v>
      </c>
      <c r="AE198" s="43"/>
      <c r="AF198" s="43"/>
      <c r="AG198" s="43"/>
      <c r="AH198" s="44"/>
    </row>
    <row r="199" spans="1:34" ht="27.75" customHeight="1">
      <c r="A199" s="41">
        <v>196</v>
      </c>
      <c r="B199" s="66"/>
      <c r="C199" s="48"/>
      <c r="D199" s="48"/>
      <c r="E199" s="49"/>
      <c r="F199" s="49"/>
      <c r="G199" s="49">
        <f t="shared" si="13"/>
        <v>0</v>
      </c>
      <c r="H199" s="49" t="str">
        <f t="shared" si="8"/>
        <v>ครบ</v>
      </c>
      <c r="I199" s="49"/>
      <c r="J199" s="49" t="e">
        <f>VLOOKUP(I199,Sheet2!$B$10:$C$18,2,FALSE)</f>
        <v>#N/A</v>
      </c>
      <c r="K199" s="67"/>
      <c r="L199" s="49"/>
      <c r="M199" s="49" t="e">
        <f>VLOOKUP(L199,Sheet2!$B$10:$C$18,2,FALSE)</f>
        <v>#N/A</v>
      </c>
      <c r="N199" s="67"/>
      <c r="O199" s="49"/>
      <c r="P199" s="49" t="e">
        <f>VLOOKUP(O199,Sheet2!$B$10:$C$18,2,FALSE)</f>
        <v>#N/A</v>
      </c>
      <c r="Q199" s="67"/>
      <c r="R199" s="49"/>
      <c r="S199" s="49" t="e">
        <f>VLOOKUP(R199,Sheet2!$B$10:$C$18,2,FALSE)</f>
        <v>#N/A</v>
      </c>
      <c r="T199" s="67"/>
      <c r="U199" s="67">
        <f t="shared" si="12"/>
        <v>0</v>
      </c>
      <c r="V199" s="67"/>
      <c r="W199" s="67"/>
      <c r="X199" s="67"/>
      <c r="Y199" s="66"/>
      <c r="Z199" s="66"/>
      <c r="AA199" s="66"/>
      <c r="AB199" s="66"/>
      <c r="AC199" s="66"/>
      <c r="AD199" s="42" t="str">
        <f t="shared" si="11"/>
        <v>ทันกำหนด</v>
      </c>
      <c r="AE199" s="43"/>
      <c r="AF199" s="43"/>
      <c r="AG199" s="43"/>
      <c r="AH199" s="44"/>
    </row>
    <row r="200" spans="1:34" ht="27.75" customHeight="1">
      <c r="A200" s="41">
        <v>197</v>
      </c>
      <c r="B200" s="66"/>
      <c r="C200" s="48"/>
      <c r="D200" s="48"/>
      <c r="E200" s="49"/>
      <c r="F200" s="49"/>
      <c r="G200" s="49">
        <f t="shared" si="13"/>
        <v>0</v>
      </c>
      <c r="H200" s="49" t="str">
        <f t="shared" ref="H200:H263" si="14">IF($G200=0,"ครบ","ไม่ครบ")</f>
        <v>ครบ</v>
      </c>
      <c r="I200" s="49"/>
      <c r="J200" s="49" t="e">
        <f>VLOOKUP(I200,Sheet2!$B$10:$C$18,2,FALSE)</f>
        <v>#N/A</v>
      </c>
      <c r="K200" s="67"/>
      <c r="L200" s="49"/>
      <c r="M200" s="49" t="e">
        <f>VLOOKUP(L200,Sheet2!$B$10:$C$18,2,FALSE)</f>
        <v>#N/A</v>
      </c>
      <c r="N200" s="67"/>
      <c r="O200" s="49"/>
      <c r="P200" s="49" t="e">
        <f>VLOOKUP(O200,Sheet2!$B$10:$C$18,2,FALSE)</f>
        <v>#N/A</v>
      </c>
      <c r="Q200" s="67"/>
      <c r="R200" s="49"/>
      <c r="S200" s="49" t="e">
        <f>VLOOKUP(R200,Sheet2!$B$10:$C$18,2,FALSE)</f>
        <v>#N/A</v>
      </c>
      <c r="T200" s="67"/>
      <c r="U200" s="67">
        <f t="shared" si="12"/>
        <v>0</v>
      </c>
      <c r="V200" s="67"/>
      <c r="W200" s="67"/>
      <c r="X200" s="67"/>
      <c r="Y200" s="66"/>
      <c r="Z200" s="66"/>
      <c r="AA200" s="66"/>
      <c r="AB200" s="66"/>
      <c r="AC200" s="66"/>
      <c r="AD200" s="42" t="str">
        <f t="shared" si="11"/>
        <v>ทันกำหนด</v>
      </c>
      <c r="AE200" s="43"/>
      <c r="AF200" s="43"/>
      <c r="AG200" s="43"/>
      <c r="AH200" s="68"/>
    </row>
    <row r="201" spans="1:34" ht="27.75" customHeight="1">
      <c r="A201" s="41">
        <v>198</v>
      </c>
      <c r="B201" s="66"/>
      <c r="C201" s="48"/>
      <c r="D201" s="48"/>
      <c r="E201" s="49"/>
      <c r="F201" s="49"/>
      <c r="G201" s="49">
        <f t="shared" si="13"/>
        <v>0</v>
      </c>
      <c r="H201" s="49" t="str">
        <f t="shared" si="14"/>
        <v>ครบ</v>
      </c>
      <c r="I201" s="49"/>
      <c r="J201" s="49" t="e">
        <f>VLOOKUP(I201,Sheet2!$B$10:$C$18,2,FALSE)</f>
        <v>#N/A</v>
      </c>
      <c r="K201" s="67"/>
      <c r="L201" s="49"/>
      <c r="M201" s="49" t="e">
        <f>VLOOKUP(L201,Sheet2!$B$10:$C$18,2,FALSE)</f>
        <v>#N/A</v>
      </c>
      <c r="N201" s="67"/>
      <c r="O201" s="49"/>
      <c r="P201" s="49" t="e">
        <f>VLOOKUP(O201,Sheet2!$B$10:$C$18,2,FALSE)</f>
        <v>#N/A</v>
      </c>
      <c r="Q201" s="67"/>
      <c r="R201" s="49"/>
      <c r="S201" s="49" t="e">
        <f>VLOOKUP(R201,Sheet2!$B$10:$C$18,2,FALSE)</f>
        <v>#N/A</v>
      </c>
      <c r="T201" s="67"/>
      <c r="U201" s="67">
        <f t="shared" si="12"/>
        <v>0</v>
      </c>
      <c r="V201" s="67"/>
      <c r="W201" s="67"/>
      <c r="X201" s="67"/>
      <c r="Y201" s="66"/>
      <c r="Z201" s="66"/>
      <c r="AA201" s="66"/>
      <c r="AB201" s="66"/>
      <c r="AC201" s="66"/>
      <c r="AD201" s="42" t="str">
        <f t="shared" si="11"/>
        <v>ทันกำหนด</v>
      </c>
      <c r="AE201" s="43"/>
      <c r="AF201" s="43"/>
      <c r="AG201" s="43"/>
      <c r="AH201" s="44"/>
    </row>
    <row r="202" spans="1:34" ht="27.75" customHeight="1">
      <c r="A202" s="41">
        <v>199</v>
      </c>
      <c r="B202" s="66"/>
      <c r="C202" s="48"/>
      <c r="D202" s="48"/>
      <c r="E202" s="49"/>
      <c r="F202" s="49"/>
      <c r="G202" s="49">
        <f t="shared" si="13"/>
        <v>0</v>
      </c>
      <c r="H202" s="49" t="str">
        <f t="shared" si="14"/>
        <v>ครบ</v>
      </c>
      <c r="I202" s="49"/>
      <c r="J202" s="49" t="e">
        <f>VLOOKUP(I202,Sheet2!$B$10:$C$18,2,FALSE)</f>
        <v>#N/A</v>
      </c>
      <c r="K202" s="67"/>
      <c r="L202" s="49"/>
      <c r="M202" s="49" t="e">
        <f>VLOOKUP(L202,Sheet2!$B$10:$C$18,2,FALSE)</f>
        <v>#N/A</v>
      </c>
      <c r="N202" s="67"/>
      <c r="O202" s="49"/>
      <c r="P202" s="49" t="e">
        <f>VLOOKUP(O202,Sheet2!$B$10:$C$18,2,FALSE)</f>
        <v>#N/A</v>
      </c>
      <c r="Q202" s="67"/>
      <c r="R202" s="49"/>
      <c r="S202" s="49" t="e">
        <f>VLOOKUP(R202,Sheet2!$B$10:$C$18,2,FALSE)</f>
        <v>#N/A</v>
      </c>
      <c r="T202" s="67"/>
      <c r="U202" s="67">
        <f t="shared" si="12"/>
        <v>0</v>
      </c>
      <c r="V202" s="67"/>
      <c r="W202" s="67"/>
      <c r="X202" s="67"/>
      <c r="Y202" s="66"/>
      <c r="Z202" s="66"/>
      <c r="AA202" s="66"/>
      <c r="AB202" s="66"/>
      <c r="AC202" s="66"/>
      <c r="AD202" s="42" t="str">
        <f t="shared" ref="AD202:AD265" si="15">IF($AA202&gt;$Z202,"เกินกำหนด","ทันกำหนด")</f>
        <v>ทันกำหนด</v>
      </c>
      <c r="AE202" s="43"/>
      <c r="AF202" s="43"/>
      <c r="AG202" s="43"/>
      <c r="AH202" s="68"/>
    </row>
    <row r="203" spans="1:34" ht="27.75" customHeight="1">
      <c r="A203" s="41">
        <v>200</v>
      </c>
      <c r="B203" s="66"/>
      <c r="C203" s="48"/>
      <c r="D203" s="48"/>
      <c r="E203" s="49"/>
      <c r="F203" s="49"/>
      <c r="G203" s="49">
        <f t="shared" si="13"/>
        <v>0</v>
      </c>
      <c r="H203" s="49" t="str">
        <f t="shared" si="14"/>
        <v>ครบ</v>
      </c>
      <c r="I203" s="49"/>
      <c r="J203" s="49" t="e">
        <f>VLOOKUP(I203,Sheet2!$B$10:$C$18,2,FALSE)</f>
        <v>#N/A</v>
      </c>
      <c r="K203" s="67"/>
      <c r="L203" s="49"/>
      <c r="M203" s="49" t="e">
        <f>VLOOKUP(L203,Sheet2!$B$10:$C$18,2,FALSE)</f>
        <v>#N/A</v>
      </c>
      <c r="N203" s="67"/>
      <c r="O203" s="49"/>
      <c r="P203" s="49" t="e">
        <f>VLOOKUP(O203,Sheet2!$B$10:$C$18,2,FALSE)</f>
        <v>#N/A</v>
      </c>
      <c r="Q203" s="67"/>
      <c r="R203" s="49"/>
      <c r="S203" s="49" t="e">
        <f>VLOOKUP(R203,Sheet2!$B$10:$C$18,2,FALSE)</f>
        <v>#N/A</v>
      </c>
      <c r="T203" s="67"/>
      <c r="U203" s="67">
        <f t="shared" si="12"/>
        <v>0</v>
      </c>
      <c r="V203" s="67"/>
      <c r="W203" s="67"/>
      <c r="X203" s="67"/>
      <c r="Y203" s="66"/>
      <c r="Z203" s="66"/>
      <c r="AA203" s="66"/>
      <c r="AB203" s="66"/>
      <c r="AC203" s="66"/>
      <c r="AD203" s="42" t="str">
        <f t="shared" si="15"/>
        <v>ทันกำหนด</v>
      </c>
      <c r="AE203" s="43"/>
      <c r="AF203" s="43"/>
      <c r="AG203" s="43"/>
      <c r="AH203" s="44"/>
    </row>
    <row r="204" spans="1:34" ht="27.75" customHeight="1">
      <c r="A204" s="41">
        <v>201</v>
      </c>
      <c r="B204" s="66"/>
      <c r="C204" s="48"/>
      <c r="D204" s="48"/>
      <c r="E204" s="49"/>
      <c r="F204" s="49"/>
      <c r="G204" s="49">
        <f t="shared" si="13"/>
        <v>0</v>
      </c>
      <c r="H204" s="49" t="str">
        <f t="shared" si="14"/>
        <v>ครบ</v>
      </c>
      <c r="I204" s="49"/>
      <c r="J204" s="49" t="e">
        <f>VLOOKUP(I204,Sheet2!$B$10:$C$18,2,FALSE)</f>
        <v>#N/A</v>
      </c>
      <c r="K204" s="67"/>
      <c r="L204" s="49"/>
      <c r="M204" s="49" t="e">
        <f>VLOOKUP(L204,Sheet2!$B$10:$C$18,2,FALSE)</f>
        <v>#N/A</v>
      </c>
      <c r="N204" s="67"/>
      <c r="O204" s="49"/>
      <c r="P204" s="49" t="e">
        <f>VLOOKUP(O204,Sheet2!$B$10:$C$18,2,FALSE)</f>
        <v>#N/A</v>
      </c>
      <c r="Q204" s="67"/>
      <c r="R204" s="49"/>
      <c r="S204" s="49" t="e">
        <f>VLOOKUP(R204,Sheet2!$B$10:$C$18,2,FALSE)</f>
        <v>#N/A</v>
      </c>
      <c r="T204" s="67"/>
      <c r="U204" s="67">
        <f t="shared" si="12"/>
        <v>0</v>
      </c>
      <c r="V204" s="67"/>
      <c r="W204" s="67"/>
      <c r="X204" s="67"/>
      <c r="Y204" s="66"/>
      <c r="Z204" s="66"/>
      <c r="AA204" s="66"/>
      <c r="AB204" s="66"/>
      <c r="AC204" s="66"/>
      <c r="AD204" s="42" t="str">
        <f t="shared" si="15"/>
        <v>ทันกำหนด</v>
      </c>
      <c r="AE204" s="43"/>
      <c r="AF204" s="43"/>
      <c r="AG204" s="43"/>
      <c r="AH204" s="44"/>
    </row>
    <row r="205" spans="1:34" ht="27.75" customHeight="1">
      <c r="A205" s="41">
        <v>202</v>
      </c>
      <c r="B205" s="66"/>
      <c r="C205" s="48"/>
      <c r="D205" s="48"/>
      <c r="E205" s="49"/>
      <c r="F205" s="49"/>
      <c r="G205" s="49">
        <f t="shared" si="13"/>
        <v>0</v>
      </c>
      <c r="H205" s="49" t="str">
        <f t="shared" si="14"/>
        <v>ครบ</v>
      </c>
      <c r="I205" s="49"/>
      <c r="J205" s="49" t="e">
        <f>VLOOKUP(I205,Sheet2!$B$10:$C$18,2,FALSE)</f>
        <v>#N/A</v>
      </c>
      <c r="K205" s="67"/>
      <c r="L205" s="49"/>
      <c r="M205" s="49" t="e">
        <f>VLOOKUP(L205,Sheet2!$B$10:$C$18,2,FALSE)</f>
        <v>#N/A</v>
      </c>
      <c r="N205" s="67"/>
      <c r="O205" s="49"/>
      <c r="P205" s="49" t="e">
        <f>VLOOKUP(O205,Sheet2!$B$10:$C$18,2,FALSE)</f>
        <v>#N/A</v>
      </c>
      <c r="Q205" s="67"/>
      <c r="R205" s="49"/>
      <c r="S205" s="49" t="e">
        <f>VLOOKUP(R205,Sheet2!$B$10:$C$18,2,FALSE)</f>
        <v>#N/A</v>
      </c>
      <c r="T205" s="67"/>
      <c r="U205" s="67">
        <f t="shared" si="12"/>
        <v>0</v>
      </c>
      <c r="V205" s="67"/>
      <c r="W205" s="67"/>
      <c r="X205" s="67"/>
      <c r="Y205" s="66"/>
      <c r="Z205" s="66"/>
      <c r="AA205" s="66"/>
      <c r="AB205" s="66"/>
      <c r="AC205" s="66"/>
      <c r="AD205" s="42" t="str">
        <f t="shared" si="15"/>
        <v>ทันกำหนด</v>
      </c>
      <c r="AE205" s="43"/>
      <c r="AF205" s="43"/>
      <c r="AG205" s="43"/>
      <c r="AH205" s="44"/>
    </row>
    <row r="206" spans="1:34" ht="27.75" customHeight="1">
      <c r="A206" s="41">
        <v>203</v>
      </c>
      <c r="B206" s="66"/>
      <c r="C206" s="48"/>
      <c r="D206" s="48"/>
      <c r="E206" s="49"/>
      <c r="F206" s="49"/>
      <c r="G206" s="49">
        <f t="shared" si="13"/>
        <v>0</v>
      </c>
      <c r="H206" s="49" t="str">
        <f t="shared" si="14"/>
        <v>ครบ</v>
      </c>
      <c r="I206" s="49"/>
      <c r="J206" s="49" t="e">
        <f>VLOOKUP(I206,Sheet2!$B$10:$C$18,2,FALSE)</f>
        <v>#N/A</v>
      </c>
      <c r="K206" s="67"/>
      <c r="L206" s="49"/>
      <c r="M206" s="49" t="e">
        <f>VLOOKUP(L206,Sheet2!$B$10:$C$18,2,FALSE)</f>
        <v>#N/A</v>
      </c>
      <c r="N206" s="67"/>
      <c r="O206" s="49"/>
      <c r="P206" s="49" t="e">
        <f>VLOOKUP(O206,Sheet2!$B$10:$C$18,2,FALSE)</f>
        <v>#N/A</v>
      </c>
      <c r="Q206" s="67"/>
      <c r="R206" s="49"/>
      <c r="S206" s="49" t="e">
        <f>VLOOKUP(R206,Sheet2!$B$10:$C$18,2,FALSE)</f>
        <v>#N/A</v>
      </c>
      <c r="T206" s="67"/>
      <c r="U206" s="67">
        <f t="shared" si="12"/>
        <v>0</v>
      </c>
      <c r="V206" s="67"/>
      <c r="W206" s="67"/>
      <c r="X206" s="67"/>
      <c r="Y206" s="66"/>
      <c r="Z206" s="66"/>
      <c r="AA206" s="66"/>
      <c r="AB206" s="66"/>
      <c r="AC206" s="66"/>
      <c r="AD206" s="42" t="str">
        <f t="shared" si="15"/>
        <v>ทันกำหนด</v>
      </c>
      <c r="AE206" s="43"/>
      <c r="AF206" s="43"/>
      <c r="AG206" s="43"/>
      <c r="AH206" s="44"/>
    </row>
    <row r="207" spans="1:34" ht="27.75" customHeight="1">
      <c r="A207" s="41">
        <v>204</v>
      </c>
      <c r="B207" s="66"/>
      <c r="C207" s="48"/>
      <c r="D207" s="48"/>
      <c r="E207" s="49"/>
      <c r="F207" s="49"/>
      <c r="G207" s="49">
        <f t="shared" si="13"/>
        <v>0</v>
      </c>
      <c r="H207" s="49" t="str">
        <f t="shared" si="14"/>
        <v>ครบ</v>
      </c>
      <c r="I207" s="49"/>
      <c r="J207" s="49" t="e">
        <f>VLOOKUP(I207,Sheet2!$B$10:$C$18,2,FALSE)</f>
        <v>#N/A</v>
      </c>
      <c r="K207" s="67"/>
      <c r="L207" s="49"/>
      <c r="M207" s="49" t="e">
        <f>VLOOKUP(L207,Sheet2!$B$10:$C$18,2,FALSE)</f>
        <v>#N/A</v>
      </c>
      <c r="N207" s="67"/>
      <c r="O207" s="49"/>
      <c r="P207" s="49" t="e">
        <f>VLOOKUP(O207,Sheet2!$B$10:$C$18,2,FALSE)</f>
        <v>#N/A</v>
      </c>
      <c r="Q207" s="67"/>
      <c r="R207" s="49"/>
      <c r="S207" s="49" t="e">
        <f>VLOOKUP(R207,Sheet2!$B$10:$C$18,2,FALSE)</f>
        <v>#N/A</v>
      </c>
      <c r="T207" s="67"/>
      <c r="U207" s="67">
        <f t="shared" si="12"/>
        <v>0</v>
      </c>
      <c r="V207" s="67"/>
      <c r="W207" s="67"/>
      <c r="X207" s="67"/>
      <c r="Y207" s="66"/>
      <c r="Z207" s="66"/>
      <c r="AA207" s="66"/>
      <c r="AB207" s="66"/>
      <c r="AC207" s="66"/>
      <c r="AD207" s="42" t="str">
        <f t="shared" si="15"/>
        <v>ทันกำหนด</v>
      </c>
      <c r="AE207" s="43"/>
      <c r="AF207" s="43"/>
      <c r="AG207" s="43"/>
      <c r="AH207" s="44"/>
    </row>
    <row r="208" spans="1:34" ht="27.75" customHeight="1">
      <c r="A208" s="41">
        <v>205</v>
      </c>
      <c r="B208" s="66"/>
      <c r="C208" s="48"/>
      <c r="D208" s="48"/>
      <c r="E208" s="49"/>
      <c r="F208" s="49"/>
      <c r="G208" s="49">
        <f t="shared" si="13"/>
        <v>0</v>
      </c>
      <c r="H208" s="49" t="str">
        <f t="shared" si="14"/>
        <v>ครบ</v>
      </c>
      <c r="I208" s="49"/>
      <c r="J208" s="49" t="e">
        <f>VLOOKUP(I208,Sheet2!$B$10:$C$18,2,FALSE)</f>
        <v>#N/A</v>
      </c>
      <c r="K208" s="67"/>
      <c r="L208" s="49"/>
      <c r="M208" s="49" t="e">
        <f>VLOOKUP(L208,Sheet2!$B$10:$C$18,2,FALSE)</f>
        <v>#N/A</v>
      </c>
      <c r="N208" s="67"/>
      <c r="O208" s="49"/>
      <c r="P208" s="49" t="e">
        <f>VLOOKUP(O208,Sheet2!$B$10:$C$18,2,FALSE)</f>
        <v>#N/A</v>
      </c>
      <c r="Q208" s="67"/>
      <c r="R208" s="49"/>
      <c r="S208" s="49" t="e">
        <f>VLOOKUP(R208,Sheet2!$B$10:$C$18,2,FALSE)</f>
        <v>#N/A</v>
      </c>
      <c r="T208" s="67"/>
      <c r="U208" s="67">
        <f t="shared" si="12"/>
        <v>0</v>
      </c>
      <c r="V208" s="67"/>
      <c r="W208" s="67"/>
      <c r="X208" s="67"/>
      <c r="Y208" s="66"/>
      <c r="Z208" s="66"/>
      <c r="AA208" s="66"/>
      <c r="AB208" s="66"/>
      <c r="AC208" s="66"/>
      <c r="AD208" s="42" t="str">
        <f t="shared" si="15"/>
        <v>ทันกำหนด</v>
      </c>
      <c r="AE208" s="43"/>
      <c r="AF208" s="43"/>
      <c r="AG208" s="43"/>
      <c r="AH208" s="44"/>
    </row>
    <row r="209" spans="1:34" ht="27.75" customHeight="1">
      <c r="A209" s="41">
        <v>206</v>
      </c>
      <c r="B209" s="66"/>
      <c r="C209" s="48"/>
      <c r="D209" s="48"/>
      <c r="E209" s="49"/>
      <c r="F209" s="49"/>
      <c r="G209" s="49">
        <f t="shared" si="13"/>
        <v>0</v>
      </c>
      <c r="H209" s="49" t="str">
        <f t="shared" si="14"/>
        <v>ครบ</v>
      </c>
      <c r="I209" s="49"/>
      <c r="J209" s="49" t="e">
        <f>VLOOKUP(I209,Sheet2!$B$10:$C$18,2,FALSE)</f>
        <v>#N/A</v>
      </c>
      <c r="K209" s="67"/>
      <c r="L209" s="49"/>
      <c r="M209" s="49" t="e">
        <f>VLOOKUP(L209,Sheet2!$B$10:$C$18,2,FALSE)</f>
        <v>#N/A</v>
      </c>
      <c r="N209" s="67"/>
      <c r="O209" s="49"/>
      <c r="P209" s="49" t="e">
        <f>VLOOKUP(O209,Sheet2!$B$10:$C$18,2,FALSE)</f>
        <v>#N/A</v>
      </c>
      <c r="Q209" s="67"/>
      <c r="R209" s="49"/>
      <c r="S209" s="49" t="e">
        <f>VLOOKUP(R209,Sheet2!$B$10:$C$18,2,FALSE)</f>
        <v>#N/A</v>
      </c>
      <c r="T209" s="67"/>
      <c r="U209" s="67">
        <f t="shared" si="12"/>
        <v>0</v>
      </c>
      <c r="V209" s="67"/>
      <c r="W209" s="67"/>
      <c r="X209" s="67"/>
      <c r="Y209" s="66"/>
      <c r="Z209" s="66"/>
      <c r="AA209" s="66"/>
      <c r="AB209" s="66"/>
      <c r="AC209" s="66"/>
      <c r="AD209" s="42" t="str">
        <f t="shared" si="15"/>
        <v>ทันกำหนด</v>
      </c>
      <c r="AE209" s="43"/>
      <c r="AF209" s="43"/>
      <c r="AG209" s="43"/>
      <c r="AH209" s="44"/>
    </row>
    <row r="210" spans="1:34" ht="27.75" customHeight="1">
      <c r="A210" s="41">
        <v>207</v>
      </c>
      <c r="B210" s="66"/>
      <c r="C210" s="48"/>
      <c r="D210" s="48"/>
      <c r="E210" s="49"/>
      <c r="F210" s="49"/>
      <c r="G210" s="49">
        <f t="shared" si="13"/>
        <v>0</v>
      </c>
      <c r="H210" s="49" t="str">
        <f t="shared" si="14"/>
        <v>ครบ</v>
      </c>
      <c r="I210" s="49"/>
      <c r="J210" s="49" t="e">
        <f>VLOOKUP(I210,Sheet2!$B$10:$C$18,2,FALSE)</f>
        <v>#N/A</v>
      </c>
      <c r="K210" s="67"/>
      <c r="L210" s="49"/>
      <c r="M210" s="49" t="e">
        <f>VLOOKUP(L210,Sheet2!$B$10:$C$18,2,FALSE)</f>
        <v>#N/A</v>
      </c>
      <c r="N210" s="67"/>
      <c r="O210" s="49"/>
      <c r="P210" s="49" t="e">
        <f>VLOOKUP(O210,Sheet2!$B$10:$C$18,2,FALSE)</f>
        <v>#N/A</v>
      </c>
      <c r="Q210" s="67"/>
      <c r="R210" s="49"/>
      <c r="S210" s="49" t="e">
        <f>VLOOKUP(R210,Sheet2!$B$10:$C$18,2,FALSE)</f>
        <v>#N/A</v>
      </c>
      <c r="T210" s="67"/>
      <c r="U210" s="67">
        <f t="shared" si="12"/>
        <v>0</v>
      </c>
      <c r="V210" s="67"/>
      <c r="W210" s="67"/>
      <c r="X210" s="67"/>
      <c r="Y210" s="66"/>
      <c r="Z210" s="66"/>
      <c r="AA210" s="66"/>
      <c r="AB210" s="66"/>
      <c r="AC210" s="66"/>
      <c r="AD210" s="42" t="str">
        <f t="shared" si="15"/>
        <v>ทันกำหนด</v>
      </c>
      <c r="AE210" s="43"/>
      <c r="AF210" s="43"/>
      <c r="AG210" s="43"/>
      <c r="AH210" s="44"/>
    </row>
    <row r="211" spans="1:34" ht="27.75" customHeight="1">
      <c r="A211" s="41">
        <v>208</v>
      </c>
      <c r="B211" s="66"/>
      <c r="C211" s="48"/>
      <c r="D211" s="48"/>
      <c r="E211" s="49"/>
      <c r="F211" s="49"/>
      <c r="G211" s="49">
        <f t="shared" si="13"/>
        <v>0</v>
      </c>
      <c r="H211" s="49" t="str">
        <f t="shared" si="14"/>
        <v>ครบ</v>
      </c>
      <c r="I211" s="49"/>
      <c r="J211" s="49" t="e">
        <f>VLOOKUP(I211,Sheet2!$B$10:$C$18,2,FALSE)</f>
        <v>#N/A</v>
      </c>
      <c r="K211" s="67"/>
      <c r="L211" s="49"/>
      <c r="M211" s="49" t="e">
        <f>VLOOKUP(L211,Sheet2!$B$10:$C$18,2,FALSE)</f>
        <v>#N/A</v>
      </c>
      <c r="N211" s="67"/>
      <c r="O211" s="49"/>
      <c r="P211" s="49" t="e">
        <f>VLOOKUP(O211,Sheet2!$B$10:$C$18,2,FALSE)</f>
        <v>#N/A</v>
      </c>
      <c r="Q211" s="67"/>
      <c r="R211" s="49"/>
      <c r="S211" s="49" t="e">
        <f>VLOOKUP(R211,Sheet2!$B$10:$C$18,2,FALSE)</f>
        <v>#N/A</v>
      </c>
      <c r="T211" s="67"/>
      <c r="U211" s="67">
        <f t="shared" si="12"/>
        <v>0</v>
      </c>
      <c r="V211" s="67"/>
      <c r="W211" s="67"/>
      <c r="X211" s="67"/>
      <c r="Y211" s="66"/>
      <c r="Z211" s="66"/>
      <c r="AA211" s="66"/>
      <c r="AB211" s="66"/>
      <c r="AC211" s="66"/>
      <c r="AD211" s="42" t="str">
        <f t="shared" si="15"/>
        <v>ทันกำหนด</v>
      </c>
      <c r="AE211" s="43"/>
      <c r="AF211" s="43"/>
      <c r="AG211" s="43"/>
      <c r="AH211" s="44"/>
    </row>
    <row r="212" spans="1:34" ht="27.75" customHeight="1">
      <c r="A212" s="41">
        <v>209</v>
      </c>
      <c r="B212" s="66"/>
      <c r="C212" s="48"/>
      <c r="D212" s="48"/>
      <c r="E212" s="49"/>
      <c r="F212" s="49"/>
      <c r="G212" s="49">
        <f t="shared" si="13"/>
        <v>0</v>
      </c>
      <c r="H212" s="49" t="str">
        <f t="shared" si="14"/>
        <v>ครบ</v>
      </c>
      <c r="I212" s="49"/>
      <c r="J212" s="49" t="e">
        <f>VLOOKUP(I212,Sheet2!$B$10:$C$18,2,FALSE)</f>
        <v>#N/A</v>
      </c>
      <c r="K212" s="67"/>
      <c r="L212" s="49"/>
      <c r="M212" s="49" t="e">
        <f>VLOOKUP(L212,Sheet2!$B$10:$C$18,2,FALSE)</f>
        <v>#N/A</v>
      </c>
      <c r="N212" s="67"/>
      <c r="O212" s="49"/>
      <c r="P212" s="49" t="e">
        <f>VLOOKUP(O212,Sheet2!$B$10:$C$18,2,FALSE)</f>
        <v>#N/A</v>
      </c>
      <c r="Q212" s="67"/>
      <c r="R212" s="49"/>
      <c r="S212" s="49" t="e">
        <f>VLOOKUP(R212,Sheet2!$B$10:$C$18,2,FALSE)</f>
        <v>#N/A</v>
      </c>
      <c r="T212" s="67"/>
      <c r="U212" s="67">
        <f t="shared" si="12"/>
        <v>0</v>
      </c>
      <c r="V212" s="67"/>
      <c r="W212" s="67"/>
      <c r="X212" s="67"/>
      <c r="Y212" s="66"/>
      <c r="Z212" s="66"/>
      <c r="AA212" s="66"/>
      <c r="AB212" s="66"/>
      <c r="AC212" s="66"/>
      <c r="AD212" s="42" t="str">
        <f t="shared" si="15"/>
        <v>ทันกำหนด</v>
      </c>
      <c r="AE212" s="43"/>
      <c r="AF212" s="43"/>
      <c r="AG212" s="43"/>
      <c r="AH212" s="44"/>
    </row>
    <row r="213" spans="1:34" ht="27.75" customHeight="1">
      <c r="A213" s="41">
        <v>210</v>
      </c>
      <c r="B213" s="66"/>
      <c r="C213" s="48"/>
      <c r="D213" s="48"/>
      <c r="E213" s="49"/>
      <c r="F213" s="49"/>
      <c r="G213" s="49">
        <f t="shared" si="13"/>
        <v>0</v>
      </c>
      <c r="H213" s="49" t="str">
        <f t="shared" si="14"/>
        <v>ครบ</v>
      </c>
      <c r="I213" s="49"/>
      <c r="J213" s="49" t="e">
        <f>VLOOKUP(I213,Sheet2!$B$10:$C$18,2,FALSE)</f>
        <v>#N/A</v>
      </c>
      <c r="K213" s="67"/>
      <c r="L213" s="49"/>
      <c r="M213" s="49" t="e">
        <f>VLOOKUP(L213,Sheet2!$B$10:$C$18,2,FALSE)</f>
        <v>#N/A</v>
      </c>
      <c r="N213" s="67"/>
      <c r="O213" s="49"/>
      <c r="P213" s="49" t="e">
        <f>VLOOKUP(O213,Sheet2!$B$10:$C$18,2,FALSE)</f>
        <v>#N/A</v>
      </c>
      <c r="Q213" s="67"/>
      <c r="R213" s="49"/>
      <c r="S213" s="49" t="e">
        <f>VLOOKUP(R213,Sheet2!$B$10:$C$18,2,FALSE)</f>
        <v>#N/A</v>
      </c>
      <c r="T213" s="67"/>
      <c r="U213" s="67">
        <f t="shared" si="12"/>
        <v>0</v>
      </c>
      <c r="V213" s="67"/>
      <c r="W213" s="67"/>
      <c r="X213" s="67"/>
      <c r="Y213" s="66"/>
      <c r="Z213" s="66"/>
      <c r="AA213" s="66"/>
      <c r="AB213" s="66"/>
      <c r="AC213" s="66"/>
      <c r="AD213" s="42" t="str">
        <f t="shared" si="15"/>
        <v>ทันกำหนด</v>
      </c>
      <c r="AE213" s="43"/>
      <c r="AF213" s="43"/>
      <c r="AG213" s="43"/>
      <c r="AH213" s="44"/>
    </row>
    <row r="214" spans="1:34" ht="27.75" customHeight="1">
      <c r="A214" s="41">
        <v>211</v>
      </c>
      <c r="B214" s="66"/>
      <c r="C214" s="48"/>
      <c r="D214" s="48"/>
      <c r="E214" s="49"/>
      <c r="F214" s="49"/>
      <c r="G214" s="49">
        <f t="shared" si="13"/>
        <v>0</v>
      </c>
      <c r="H214" s="49" t="str">
        <f t="shared" si="14"/>
        <v>ครบ</v>
      </c>
      <c r="I214" s="49"/>
      <c r="J214" s="49" t="e">
        <f>VLOOKUP(I214,Sheet2!$B$10:$C$18,2,FALSE)</f>
        <v>#N/A</v>
      </c>
      <c r="K214" s="67"/>
      <c r="L214" s="49"/>
      <c r="M214" s="49" t="e">
        <f>VLOOKUP(L214,Sheet2!$B$10:$C$18,2,FALSE)</f>
        <v>#N/A</v>
      </c>
      <c r="N214" s="67"/>
      <c r="O214" s="49"/>
      <c r="P214" s="49" t="e">
        <f>VLOOKUP(O214,Sheet2!$B$10:$C$18,2,FALSE)</f>
        <v>#N/A</v>
      </c>
      <c r="Q214" s="67"/>
      <c r="R214" s="49"/>
      <c r="S214" s="49" t="e">
        <f>VLOOKUP(R214,Sheet2!$B$10:$C$18,2,FALSE)</f>
        <v>#N/A</v>
      </c>
      <c r="T214" s="67"/>
      <c r="U214" s="67">
        <f t="shared" si="12"/>
        <v>0</v>
      </c>
      <c r="V214" s="67"/>
      <c r="W214" s="67"/>
      <c r="X214" s="67"/>
      <c r="Y214" s="66"/>
      <c r="Z214" s="66"/>
      <c r="AA214" s="66"/>
      <c r="AB214" s="66"/>
      <c r="AC214" s="66"/>
      <c r="AD214" s="42" t="str">
        <f t="shared" si="15"/>
        <v>ทันกำหนด</v>
      </c>
      <c r="AE214" s="43"/>
      <c r="AF214" s="43"/>
      <c r="AG214" s="43"/>
      <c r="AH214" s="44"/>
    </row>
    <row r="215" spans="1:34" ht="27.75" customHeight="1">
      <c r="A215" s="41">
        <v>212</v>
      </c>
      <c r="B215" s="66"/>
      <c r="C215" s="48"/>
      <c r="D215" s="48"/>
      <c r="E215" s="49"/>
      <c r="F215" s="49"/>
      <c r="G215" s="49">
        <f t="shared" si="13"/>
        <v>0</v>
      </c>
      <c r="H215" s="49" t="str">
        <f t="shared" si="14"/>
        <v>ครบ</v>
      </c>
      <c r="I215" s="49"/>
      <c r="J215" s="49" t="e">
        <f>VLOOKUP(I215,Sheet2!$B$10:$C$18,2,FALSE)</f>
        <v>#N/A</v>
      </c>
      <c r="K215" s="67"/>
      <c r="L215" s="49"/>
      <c r="M215" s="49" t="e">
        <f>VLOOKUP(L215,Sheet2!$B$10:$C$18,2,FALSE)</f>
        <v>#N/A</v>
      </c>
      <c r="N215" s="67"/>
      <c r="O215" s="49"/>
      <c r="P215" s="49" t="e">
        <f>VLOOKUP(O215,Sheet2!$B$10:$C$18,2,FALSE)</f>
        <v>#N/A</v>
      </c>
      <c r="Q215" s="67"/>
      <c r="R215" s="49"/>
      <c r="S215" s="49" t="e">
        <f>VLOOKUP(R215,Sheet2!$B$10:$C$18,2,FALSE)</f>
        <v>#N/A</v>
      </c>
      <c r="T215" s="67"/>
      <c r="U215" s="67">
        <f t="shared" si="12"/>
        <v>0</v>
      </c>
      <c r="V215" s="67"/>
      <c r="W215" s="67"/>
      <c r="X215" s="67"/>
      <c r="Y215" s="66"/>
      <c r="Z215" s="66"/>
      <c r="AA215" s="66"/>
      <c r="AB215" s="66"/>
      <c r="AC215" s="66"/>
      <c r="AD215" s="42" t="str">
        <f t="shared" si="15"/>
        <v>ทันกำหนด</v>
      </c>
      <c r="AE215" s="43"/>
      <c r="AF215" s="43"/>
      <c r="AG215" s="43"/>
      <c r="AH215" s="44"/>
    </row>
    <row r="216" spans="1:34" ht="27.75" customHeight="1">
      <c r="A216" s="41">
        <v>213</v>
      </c>
      <c r="B216" s="66"/>
      <c r="C216" s="48"/>
      <c r="D216" s="48"/>
      <c r="E216" s="49"/>
      <c r="F216" s="49"/>
      <c r="G216" s="49">
        <f t="shared" si="13"/>
        <v>0</v>
      </c>
      <c r="H216" s="49" t="str">
        <f t="shared" si="14"/>
        <v>ครบ</v>
      </c>
      <c r="I216" s="49"/>
      <c r="J216" s="49" t="e">
        <f>VLOOKUP(I216,Sheet2!$B$10:$C$18,2,FALSE)</f>
        <v>#N/A</v>
      </c>
      <c r="K216" s="67"/>
      <c r="L216" s="49"/>
      <c r="M216" s="49" t="e">
        <f>VLOOKUP(L216,Sheet2!$B$10:$C$18,2,FALSE)</f>
        <v>#N/A</v>
      </c>
      <c r="N216" s="67"/>
      <c r="O216" s="49"/>
      <c r="P216" s="49" t="e">
        <f>VLOOKUP(O216,Sheet2!$B$10:$C$18,2,FALSE)</f>
        <v>#N/A</v>
      </c>
      <c r="Q216" s="67"/>
      <c r="R216" s="49"/>
      <c r="S216" s="49" t="e">
        <f>VLOOKUP(R216,Sheet2!$B$10:$C$18,2,FALSE)</f>
        <v>#N/A</v>
      </c>
      <c r="T216" s="67"/>
      <c r="U216" s="67">
        <f t="shared" si="12"/>
        <v>0</v>
      </c>
      <c r="V216" s="67"/>
      <c r="W216" s="67"/>
      <c r="X216" s="67"/>
      <c r="Y216" s="66"/>
      <c r="Z216" s="66"/>
      <c r="AA216" s="66"/>
      <c r="AB216" s="66"/>
      <c r="AC216" s="66"/>
      <c r="AD216" s="42" t="str">
        <f t="shared" si="15"/>
        <v>ทันกำหนด</v>
      </c>
      <c r="AE216" s="43"/>
      <c r="AF216" s="43"/>
      <c r="AG216" s="43"/>
      <c r="AH216" s="44"/>
    </row>
    <row r="217" spans="1:34" ht="27.75" customHeight="1">
      <c r="A217" s="41">
        <v>214</v>
      </c>
      <c r="B217" s="66"/>
      <c r="C217" s="48"/>
      <c r="D217" s="48"/>
      <c r="E217" s="49"/>
      <c r="F217" s="49"/>
      <c r="G217" s="49">
        <f t="shared" si="13"/>
        <v>0</v>
      </c>
      <c r="H217" s="49" t="str">
        <f t="shared" si="14"/>
        <v>ครบ</v>
      </c>
      <c r="I217" s="49"/>
      <c r="J217" s="49" t="e">
        <f>VLOOKUP(I217,Sheet2!$B$10:$C$18,2,FALSE)</f>
        <v>#N/A</v>
      </c>
      <c r="K217" s="67"/>
      <c r="L217" s="49"/>
      <c r="M217" s="49" t="e">
        <f>VLOOKUP(L217,Sheet2!$B$10:$C$18,2,FALSE)</f>
        <v>#N/A</v>
      </c>
      <c r="N217" s="67"/>
      <c r="O217" s="49"/>
      <c r="P217" s="49" t="e">
        <f>VLOOKUP(O217,Sheet2!$B$10:$C$18,2,FALSE)</f>
        <v>#N/A</v>
      </c>
      <c r="Q217" s="67"/>
      <c r="R217" s="49"/>
      <c r="S217" s="49" t="e">
        <f>VLOOKUP(R217,Sheet2!$B$10:$C$18,2,FALSE)</f>
        <v>#N/A</v>
      </c>
      <c r="T217" s="67"/>
      <c r="U217" s="67">
        <f t="shared" si="12"/>
        <v>0</v>
      </c>
      <c r="V217" s="67"/>
      <c r="W217" s="67"/>
      <c r="X217" s="67"/>
      <c r="Y217" s="66"/>
      <c r="Z217" s="66"/>
      <c r="AA217" s="66"/>
      <c r="AB217" s="66"/>
      <c r="AC217" s="66"/>
      <c r="AD217" s="42" t="str">
        <f t="shared" si="15"/>
        <v>ทันกำหนด</v>
      </c>
      <c r="AE217" s="43"/>
      <c r="AF217" s="43"/>
      <c r="AG217" s="43"/>
      <c r="AH217" s="44"/>
    </row>
    <row r="218" spans="1:34" ht="27.75" customHeight="1">
      <c r="A218" s="41">
        <v>215</v>
      </c>
      <c r="B218" s="66"/>
      <c r="C218" s="48"/>
      <c r="D218" s="48"/>
      <c r="E218" s="49"/>
      <c r="F218" s="49"/>
      <c r="G218" s="49">
        <f t="shared" si="13"/>
        <v>0</v>
      </c>
      <c r="H218" s="49" t="str">
        <f t="shared" si="14"/>
        <v>ครบ</v>
      </c>
      <c r="I218" s="49"/>
      <c r="J218" s="49" t="e">
        <f>VLOOKUP(I218,Sheet2!$B$10:$C$18,2,FALSE)</f>
        <v>#N/A</v>
      </c>
      <c r="K218" s="67"/>
      <c r="L218" s="49"/>
      <c r="M218" s="49" t="e">
        <f>VLOOKUP(L218,Sheet2!$B$10:$C$18,2,FALSE)</f>
        <v>#N/A</v>
      </c>
      <c r="N218" s="67"/>
      <c r="O218" s="49"/>
      <c r="P218" s="49" t="e">
        <f>VLOOKUP(O218,Sheet2!$B$10:$C$18,2,FALSE)</f>
        <v>#N/A</v>
      </c>
      <c r="Q218" s="67"/>
      <c r="R218" s="49"/>
      <c r="S218" s="49" t="e">
        <f>VLOOKUP(R218,Sheet2!$B$10:$C$18,2,FALSE)</f>
        <v>#N/A</v>
      </c>
      <c r="T218" s="67"/>
      <c r="U218" s="67">
        <f t="shared" si="12"/>
        <v>0</v>
      </c>
      <c r="V218" s="67"/>
      <c r="W218" s="67"/>
      <c r="X218" s="67"/>
      <c r="Y218" s="66"/>
      <c r="Z218" s="66"/>
      <c r="AA218" s="66"/>
      <c r="AB218" s="66"/>
      <c r="AC218" s="66"/>
      <c r="AD218" s="42" t="str">
        <f t="shared" si="15"/>
        <v>ทันกำหนด</v>
      </c>
      <c r="AE218" s="43"/>
      <c r="AF218" s="43"/>
      <c r="AG218" s="43"/>
      <c r="AH218" s="44"/>
    </row>
    <row r="219" spans="1:34" ht="30" customHeight="1">
      <c r="A219" s="41">
        <v>216</v>
      </c>
      <c r="B219" s="66"/>
      <c r="C219" s="48"/>
      <c r="D219" s="48"/>
      <c r="E219" s="49"/>
      <c r="F219" s="49"/>
      <c r="G219" s="49">
        <f t="shared" si="13"/>
        <v>0</v>
      </c>
      <c r="H219" s="49" t="str">
        <f t="shared" si="14"/>
        <v>ครบ</v>
      </c>
      <c r="I219" s="49"/>
      <c r="J219" s="49" t="e">
        <f>VLOOKUP(I219,Sheet2!$B$10:$C$18,2,FALSE)</f>
        <v>#N/A</v>
      </c>
      <c r="K219" s="67"/>
      <c r="L219" s="49"/>
      <c r="M219" s="49" t="e">
        <f>VLOOKUP(L219,Sheet2!$B$10:$C$18,2,FALSE)</f>
        <v>#N/A</v>
      </c>
      <c r="N219" s="67"/>
      <c r="O219" s="49"/>
      <c r="P219" s="49" t="e">
        <f>VLOOKUP(O219,Sheet2!$B$10:$C$18,2,FALSE)</f>
        <v>#N/A</v>
      </c>
      <c r="Q219" s="67"/>
      <c r="R219" s="49"/>
      <c r="S219" s="49" t="e">
        <f>VLOOKUP(R219,Sheet2!$B$10:$C$18,2,FALSE)</f>
        <v>#N/A</v>
      </c>
      <c r="T219" s="67"/>
      <c r="U219" s="67">
        <f t="shared" si="12"/>
        <v>0</v>
      </c>
      <c r="V219" s="67"/>
      <c r="W219" s="67"/>
      <c r="X219" s="67"/>
      <c r="Y219" s="66"/>
      <c r="Z219" s="66"/>
      <c r="AA219" s="66"/>
      <c r="AB219" s="66"/>
      <c r="AC219" s="66"/>
      <c r="AD219" s="42" t="str">
        <f t="shared" si="15"/>
        <v>ทันกำหนด</v>
      </c>
      <c r="AE219" s="43"/>
      <c r="AF219" s="43"/>
      <c r="AG219" s="43"/>
      <c r="AH219" s="68"/>
    </row>
    <row r="220" spans="1:34" ht="27.75" customHeight="1">
      <c r="A220" s="41">
        <v>217</v>
      </c>
      <c r="B220" s="66"/>
      <c r="C220" s="48"/>
      <c r="D220" s="48"/>
      <c r="E220" s="49"/>
      <c r="F220" s="49"/>
      <c r="G220" s="49">
        <f t="shared" si="13"/>
        <v>0</v>
      </c>
      <c r="H220" s="49" t="str">
        <f t="shared" si="14"/>
        <v>ครบ</v>
      </c>
      <c r="I220" s="49"/>
      <c r="J220" s="49" t="e">
        <f>VLOOKUP(I220,Sheet2!$B$10:$C$18,2,FALSE)</f>
        <v>#N/A</v>
      </c>
      <c r="K220" s="67"/>
      <c r="L220" s="49"/>
      <c r="M220" s="49" t="e">
        <f>VLOOKUP(L220,Sheet2!$B$10:$C$18,2,FALSE)</f>
        <v>#N/A</v>
      </c>
      <c r="N220" s="67"/>
      <c r="O220" s="49"/>
      <c r="P220" s="49" t="e">
        <f>VLOOKUP(O220,Sheet2!$B$10:$C$18,2,FALSE)</f>
        <v>#N/A</v>
      </c>
      <c r="Q220" s="67"/>
      <c r="R220" s="49"/>
      <c r="S220" s="49" t="e">
        <f>VLOOKUP(R220,Sheet2!$B$10:$C$18,2,FALSE)</f>
        <v>#N/A</v>
      </c>
      <c r="T220" s="67"/>
      <c r="U220" s="67">
        <f t="shared" si="12"/>
        <v>0</v>
      </c>
      <c r="V220" s="67"/>
      <c r="W220" s="67"/>
      <c r="X220" s="67"/>
      <c r="Y220" s="66"/>
      <c r="Z220" s="66"/>
      <c r="AA220" s="66"/>
      <c r="AB220" s="66"/>
      <c r="AC220" s="66"/>
      <c r="AD220" s="42" t="str">
        <f t="shared" si="15"/>
        <v>ทันกำหนด</v>
      </c>
      <c r="AE220" s="43"/>
      <c r="AF220" s="43"/>
      <c r="AG220" s="43"/>
      <c r="AH220" s="44"/>
    </row>
    <row r="221" spans="1:34" ht="27.75" customHeight="1">
      <c r="A221" s="41">
        <v>218</v>
      </c>
      <c r="B221" s="66"/>
      <c r="C221" s="48"/>
      <c r="D221" s="48"/>
      <c r="E221" s="49"/>
      <c r="F221" s="49"/>
      <c r="G221" s="49">
        <f t="shared" si="13"/>
        <v>0</v>
      </c>
      <c r="H221" s="49" t="str">
        <f t="shared" si="14"/>
        <v>ครบ</v>
      </c>
      <c r="I221" s="49"/>
      <c r="J221" s="49" t="e">
        <f>VLOOKUP(I221,Sheet2!$B$10:$C$18,2,FALSE)</f>
        <v>#N/A</v>
      </c>
      <c r="K221" s="67"/>
      <c r="L221" s="49"/>
      <c r="M221" s="49" t="e">
        <f>VLOOKUP(L221,Sheet2!$B$10:$C$18,2,FALSE)</f>
        <v>#N/A</v>
      </c>
      <c r="N221" s="67"/>
      <c r="O221" s="49"/>
      <c r="P221" s="49" t="e">
        <f>VLOOKUP(O221,Sheet2!$B$10:$C$18,2,FALSE)</f>
        <v>#N/A</v>
      </c>
      <c r="Q221" s="67"/>
      <c r="R221" s="49"/>
      <c r="S221" s="49" t="e">
        <f>VLOOKUP(R221,Sheet2!$B$10:$C$18,2,FALSE)</f>
        <v>#N/A</v>
      </c>
      <c r="T221" s="67"/>
      <c r="U221" s="67">
        <f t="shared" si="12"/>
        <v>0</v>
      </c>
      <c r="V221" s="67"/>
      <c r="W221" s="67"/>
      <c r="X221" s="67"/>
      <c r="Y221" s="66"/>
      <c r="Z221" s="66"/>
      <c r="AA221" s="66"/>
      <c r="AB221" s="66"/>
      <c r="AC221" s="66"/>
      <c r="AD221" s="42" t="str">
        <f t="shared" si="15"/>
        <v>ทันกำหนด</v>
      </c>
      <c r="AE221" s="43"/>
      <c r="AF221" s="43"/>
      <c r="AG221" s="43"/>
      <c r="AH221" s="44"/>
    </row>
    <row r="222" spans="1:34" ht="27.75" customHeight="1">
      <c r="A222" s="41">
        <v>219</v>
      </c>
      <c r="B222" s="66"/>
      <c r="C222" s="48"/>
      <c r="D222" s="48"/>
      <c r="E222" s="49"/>
      <c r="F222" s="49"/>
      <c r="G222" s="49">
        <f t="shared" si="13"/>
        <v>0</v>
      </c>
      <c r="H222" s="49" t="str">
        <f t="shared" si="14"/>
        <v>ครบ</v>
      </c>
      <c r="I222" s="49"/>
      <c r="J222" s="49" t="e">
        <f>VLOOKUP(I222,Sheet2!$B$10:$C$18,2,FALSE)</f>
        <v>#N/A</v>
      </c>
      <c r="K222" s="67"/>
      <c r="L222" s="49"/>
      <c r="M222" s="49" t="e">
        <f>VLOOKUP(L222,Sheet2!$B$10:$C$18,2,FALSE)</f>
        <v>#N/A</v>
      </c>
      <c r="N222" s="67"/>
      <c r="O222" s="49"/>
      <c r="P222" s="49" t="e">
        <f>VLOOKUP(O222,Sheet2!$B$10:$C$18,2,FALSE)</f>
        <v>#N/A</v>
      </c>
      <c r="Q222" s="67"/>
      <c r="R222" s="49"/>
      <c r="S222" s="49" t="e">
        <f>VLOOKUP(R222,Sheet2!$B$10:$C$18,2,FALSE)</f>
        <v>#N/A</v>
      </c>
      <c r="T222" s="67"/>
      <c r="U222" s="67">
        <f t="shared" si="12"/>
        <v>0</v>
      </c>
      <c r="V222" s="67"/>
      <c r="W222" s="67"/>
      <c r="X222" s="67"/>
      <c r="Y222" s="66"/>
      <c r="Z222" s="66"/>
      <c r="AA222" s="66"/>
      <c r="AB222" s="66"/>
      <c r="AC222" s="66"/>
      <c r="AD222" s="42" t="str">
        <f t="shared" si="15"/>
        <v>ทันกำหนด</v>
      </c>
      <c r="AE222" s="43"/>
      <c r="AF222" s="43"/>
      <c r="AG222" s="43"/>
      <c r="AH222" s="44"/>
    </row>
    <row r="223" spans="1:34" ht="27.75" customHeight="1">
      <c r="A223" s="41">
        <v>220</v>
      </c>
      <c r="B223" s="66"/>
      <c r="C223" s="48"/>
      <c r="D223" s="48"/>
      <c r="E223" s="49"/>
      <c r="F223" s="49"/>
      <c r="G223" s="49">
        <f t="shared" si="13"/>
        <v>0</v>
      </c>
      <c r="H223" s="49" t="str">
        <f t="shared" si="14"/>
        <v>ครบ</v>
      </c>
      <c r="I223" s="49"/>
      <c r="J223" s="49" t="e">
        <f>VLOOKUP(I223,Sheet2!$B$10:$C$18,2,FALSE)</f>
        <v>#N/A</v>
      </c>
      <c r="K223" s="67"/>
      <c r="L223" s="49"/>
      <c r="M223" s="49" t="e">
        <f>VLOOKUP(L223,Sheet2!$B$10:$C$18,2,FALSE)</f>
        <v>#N/A</v>
      </c>
      <c r="N223" s="67"/>
      <c r="O223" s="49"/>
      <c r="P223" s="49" t="e">
        <f>VLOOKUP(O223,Sheet2!$B$10:$C$18,2,FALSE)</f>
        <v>#N/A</v>
      </c>
      <c r="Q223" s="67"/>
      <c r="R223" s="49"/>
      <c r="S223" s="49" t="e">
        <f>VLOOKUP(R223,Sheet2!$B$10:$C$18,2,FALSE)</f>
        <v>#N/A</v>
      </c>
      <c r="T223" s="67"/>
      <c r="U223" s="67">
        <f t="shared" si="12"/>
        <v>0</v>
      </c>
      <c r="V223" s="67"/>
      <c r="W223" s="67"/>
      <c r="X223" s="67"/>
      <c r="Y223" s="66"/>
      <c r="Z223" s="66"/>
      <c r="AA223" s="66"/>
      <c r="AB223" s="66"/>
      <c r="AC223" s="66"/>
      <c r="AD223" s="42" t="str">
        <f t="shared" si="15"/>
        <v>ทันกำหนด</v>
      </c>
      <c r="AE223" s="43"/>
      <c r="AF223" s="43"/>
      <c r="AG223" s="43"/>
      <c r="AH223" s="44"/>
    </row>
    <row r="224" spans="1:34" ht="27.75" customHeight="1">
      <c r="A224" s="41">
        <v>221</v>
      </c>
      <c r="B224" s="66"/>
      <c r="C224" s="48"/>
      <c r="D224" s="48"/>
      <c r="E224" s="49"/>
      <c r="F224" s="49"/>
      <c r="G224" s="49">
        <f t="shared" si="13"/>
        <v>0</v>
      </c>
      <c r="H224" s="49" t="str">
        <f t="shared" si="14"/>
        <v>ครบ</v>
      </c>
      <c r="I224" s="49"/>
      <c r="J224" s="49" t="e">
        <f>VLOOKUP(I224,Sheet2!$B$10:$C$18,2,FALSE)</f>
        <v>#N/A</v>
      </c>
      <c r="K224" s="67"/>
      <c r="L224" s="49"/>
      <c r="M224" s="49" t="e">
        <f>VLOOKUP(L224,Sheet2!$B$10:$C$18,2,FALSE)</f>
        <v>#N/A</v>
      </c>
      <c r="N224" s="67"/>
      <c r="O224" s="49"/>
      <c r="P224" s="49" t="e">
        <f>VLOOKUP(O224,Sheet2!$B$10:$C$18,2,FALSE)</f>
        <v>#N/A</v>
      </c>
      <c r="Q224" s="67"/>
      <c r="R224" s="49"/>
      <c r="S224" s="49" t="e">
        <f>VLOOKUP(R224,Sheet2!$B$10:$C$18,2,FALSE)</f>
        <v>#N/A</v>
      </c>
      <c r="T224" s="67"/>
      <c r="U224" s="67">
        <f t="shared" si="12"/>
        <v>0</v>
      </c>
      <c r="V224" s="67"/>
      <c r="W224" s="67"/>
      <c r="X224" s="67"/>
      <c r="Y224" s="66"/>
      <c r="Z224" s="66"/>
      <c r="AA224" s="66"/>
      <c r="AB224" s="66"/>
      <c r="AC224" s="66"/>
      <c r="AD224" s="42" t="str">
        <f t="shared" si="15"/>
        <v>ทันกำหนด</v>
      </c>
      <c r="AE224" s="43"/>
      <c r="AF224" s="43"/>
      <c r="AG224" s="43"/>
      <c r="AH224" s="44"/>
    </row>
    <row r="225" spans="1:34" ht="27.75" customHeight="1">
      <c r="A225" s="41">
        <v>222</v>
      </c>
      <c r="B225" s="66"/>
      <c r="C225" s="48"/>
      <c r="D225" s="48"/>
      <c r="E225" s="49"/>
      <c r="F225" s="49"/>
      <c r="G225" s="49">
        <f t="shared" si="13"/>
        <v>0</v>
      </c>
      <c r="H225" s="49" t="str">
        <f t="shared" si="14"/>
        <v>ครบ</v>
      </c>
      <c r="I225" s="49"/>
      <c r="J225" s="49" t="e">
        <f>VLOOKUP(I225,Sheet2!$B$10:$C$18,2,FALSE)</f>
        <v>#N/A</v>
      </c>
      <c r="K225" s="67"/>
      <c r="L225" s="49"/>
      <c r="M225" s="49" t="e">
        <f>VLOOKUP(L225,Sheet2!$B$10:$C$18,2,FALSE)</f>
        <v>#N/A</v>
      </c>
      <c r="N225" s="67"/>
      <c r="O225" s="49"/>
      <c r="P225" s="49" t="e">
        <f>VLOOKUP(O225,Sheet2!$B$10:$C$18,2,FALSE)</f>
        <v>#N/A</v>
      </c>
      <c r="Q225" s="67"/>
      <c r="R225" s="49"/>
      <c r="S225" s="49" t="e">
        <f>VLOOKUP(R225,Sheet2!$B$10:$C$18,2,FALSE)</f>
        <v>#N/A</v>
      </c>
      <c r="T225" s="67"/>
      <c r="U225" s="67">
        <f t="shared" si="12"/>
        <v>0</v>
      </c>
      <c r="V225" s="67"/>
      <c r="W225" s="67"/>
      <c r="X225" s="67"/>
      <c r="Y225" s="66"/>
      <c r="Z225" s="66"/>
      <c r="AA225" s="66"/>
      <c r="AB225" s="66"/>
      <c r="AC225" s="66"/>
      <c r="AD225" s="42" t="str">
        <f t="shared" si="15"/>
        <v>ทันกำหนด</v>
      </c>
      <c r="AE225" s="43"/>
      <c r="AF225" s="43"/>
      <c r="AG225" s="43"/>
      <c r="AH225" s="44"/>
    </row>
    <row r="226" spans="1:34" ht="27.75" customHeight="1">
      <c r="A226" s="41">
        <v>223</v>
      </c>
      <c r="B226" s="66"/>
      <c r="C226" s="48"/>
      <c r="D226" s="48"/>
      <c r="E226" s="49"/>
      <c r="F226" s="49"/>
      <c r="G226" s="49">
        <f t="shared" si="13"/>
        <v>0</v>
      </c>
      <c r="H226" s="49" t="str">
        <f t="shared" si="14"/>
        <v>ครบ</v>
      </c>
      <c r="I226" s="49"/>
      <c r="J226" s="49" t="e">
        <f>VLOOKUP(I226,Sheet2!$B$10:$C$18,2,FALSE)</f>
        <v>#N/A</v>
      </c>
      <c r="K226" s="67"/>
      <c r="L226" s="49"/>
      <c r="M226" s="49" t="e">
        <f>VLOOKUP(L226,Sheet2!$B$10:$C$18,2,FALSE)</f>
        <v>#N/A</v>
      </c>
      <c r="N226" s="67"/>
      <c r="O226" s="49"/>
      <c r="P226" s="49" t="e">
        <f>VLOOKUP(O226,Sheet2!$B$10:$C$18,2,FALSE)</f>
        <v>#N/A</v>
      </c>
      <c r="Q226" s="67"/>
      <c r="R226" s="49"/>
      <c r="S226" s="49" t="e">
        <f>VLOOKUP(R226,Sheet2!$B$10:$C$18,2,FALSE)</f>
        <v>#N/A</v>
      </c>
      <c r="T226" s="67"/>
      <c r="U226" s="67">
        <f t="shared" si="12"/>
        <v>0</v>
      </c>
      <c r="V226" s="67"/>
      <c r="W226" s="67"/>
      <c r="X226" s="67"/>
      <c r="Y226" s="66"/>
      <c r="Z226" s="66"/>
      <c r="AA226" s="66"/>
      <c r="AB226" s="66"/>
      <c r="AC226" s="66"/>
      <c r="AD226" s="42" t="str">
        <f t="shared" si="15"/>
        <v>ทันกำหนด</v>
      </c>
      <c r="AE226" s="43"/>
      <c r="AF226" s="43"/>
      <c r="AG226" s="43"/>
      <c r="AH226" s="44"/>
    </row>
    <row r="227" spans="1:34" ht="27.75" customHeight="1">
      <c r="A227" s="41">
        <v>224</v>
      </c>
      <c r="B227" s="66"/>
      <c r="C227" s="48"/>
      <c r="D227" s="48"/>
      <c r="E227" s="49"/>
      <c r="F227" s="49"/>
      <c r="G227" s="49">
        <f t="shared" si="13"/>
        <v>0</v>
      </c>
      <c r="H227" s="49" t="str">
        <f t="shared" si="14"/>
        <v>ครบ</v>
      </c>
      <c r="I227" s="49"/>
      <c r="J227" s="49" t="e">
        <f>VLOOKUP(I227,Sheet2!$B$10:$C$18,2,FALSE)</f>
        <v>#N/A</v>
      </c>
      <c r="K227" s="67"/>
      <c r="L227" s="49"/>
      <c r="M227" s="49" t="e">
        <f>VLOOKUP(L227,Sheet2!$B$10:$C$18,2,FALSE)</f>
        <v>#N/A</v>
      </c>
      <c r="N227" s="67"/>
      <c r="O227" s="49"/>
      <c r="P227" s="49" t="e">
        <f>VLOOKUP(O227,Sheet2!$B$10:$C$18,2,FALSE)</f>
        <v>#N/A</v>
      </c>
      <c r="Q227" s="67"/>
      <c r="R227" s="49"/>
      <c r="S227" s="49" t="e">
        <f>VLOOKUP(R227,Sheet2!$B$10:$C$18,2,FALSE)</f>
        <v>#N/A</v>
      </c>
      <c r="T227" s="67"/>
      <c r="U227" s="67">
        <f t="shared" si="12"/>
        <v>0</v>
      </c>
      <c r="V227" s="67"/>
      <c r="W227" s="67"/>
      <c r="X227" s="67"/>
      <c r="Y227" s="66"/>
      <c r="Z227" s="66"/>
      <c r="AA227" s="66"/>
      <c r="AB227" s="66"/>
      <c r="AC227" s="66"/>
      <c r="AD227" s="42" t="str">
        <f t="shared" si="15"/>
        <v>ทันกำหนด</v>
      </c>
      <c r="AE227" s="43"/>
      <c r="AF227" s="43"/>
      <c r="AG227" s="43"/>
      <c r="AH227" s="44"/>
    </row>
    <row r="228" spans="1:34" ht="27.75" customHeight="1">
      <c r="A228" s="41">
        <v>225</v>
      </c>
      <c r="B228" s="66"/>
      <c r="C228" s="48"/>
      <c r="D228" s="48"/>
      <c r="E228" s="49"/>
      <c r="F228" s="49"/>
      <c r="G228" s="49">
        <f t="shared" si="13"/>
        <v>0</v>
      </c>
      <c r="H228" s="49" t="str">
        <f t="shared" si="14"/>
        <v>ครบ</v>
      </c>
      <c r="I228" s="49"/>
      <c r="J228" s="49" t="e">
        <f>VLOOKUP(I228,Sheet2!$B$10:$C$18,2,FALSE)</f>
        <v>#N/A</v>
      </c>
      <c r="K228" s="67"/>
      <c r="L228" s="49"/>
      <c r="M228" s="49" t="e">
        <f>VLOOKUP(L228,Sheet2!$B$10:$C$18,2,FALSE)</f>
        <v>#N/A</v>
      </c>
      <c r="N228" s="67"/>
      <c r="O228" s="49"/>
      <c r="P228" s="49" t="e">
        <f>VLOOKUP(O228,Sheet2!$B$10:$C$18,2,FALSE)</f>
        <v>#N/A</v>
      </c>
      <c r="Q228" s="67"/>
      <c r="R228" s="49"/>
      <c r="S228" s="49" t="e">
        <f>VLOOKUP(R228,Sheet2!$B$10:$C$18,2,FALSE)</f>
        <v>#N/A</v>
      </c>
      <c r="T228" s="67"/>
      <c r="U228" s="67">
        <f t="shared" si="12"/>
        <v>0</v>
      </c>
      <c r="V228" s="67"/>
      <c r="W228" s="67"/>
      <c r="X228" s="67"/>
      <c r="Y228" s="66"/>
      <c r="Z228" s="66"/>
      <c r="AA228" s="66"/>
      <c r="AB228" s="66"/>
      <c r="AC228" s="66"/>
      <c r="AD228" s="42" t="str">
        <f t="shared" si="15"/>
        <v>ทันกำหนด</v>
      </c>
      <c r="AE228" s="43"/>
      <c r="AF228" s="43"/>
      <c r="AG228" s="43"/>
      <c r="AH228" s="44"/>
    </row>
    <row r="229" spans="1:34" ht="27.75" customHeight="1">
      <c r="A229" s="41">
        <v>226</v>
      </c>
      <c r="B229" s="66"/>
      <c r="C229" s="48"/>
      <c r="D229" s="48"/>
      <c r="E229" s="49"/>
      <c r="F229" s="49"/>
      <c r="G229" s="49">
        <f t="shared" si="13"/>
        <v>0</v>
      </c>
      <c r="H229" s="49" t="str">
        <f t="shared" si="14"/>
        <v>ครบ</v>
      </c>
      <c r="I229" s="49"/>
      <c r="J229" s="49" t="e">
        <f>VLOOKUP(I229,Sheet2!$B$10:$C$18,2,FALSE)</f>
        <v>#N/A</v>
      </c>
      <c r="K229" s="67"/>
      <c r="L229" s="49"/>
      <c r="M229" s="49" t="e">
        <f>VLOOKUP(L229,Sheet2!$B$10:$C$18,2,FALSE)</f>
        <v>#N/A</v>
      </c>
      <c r="N229" s="67"/>
      <c r="O229" s="49"/>
      <c r="P229" s="49" t="e">
        <f>VLOOKUP(O229,Sheet2!$B$10:$C$18,2,FALSE)</f>
        <v>#N/A</v>
      </c>
      <c r="Q229" s="67"/>
      <c r="R229" s="49"/>
      <c r="S229" s="49" t="e">
        <f>VLOOKUP(R229,Sheet2!$B$10:$C$18,2,FALSE)</f>
        <v>#N/A</v>
      </c>
      <c r="T229" s="67"/>
      <c r="U229" s="67">
        <f t="shared" si="12"/>
        <v>0</v>
      </c>
      <c r="V229" s="67"/>
      <c r="W229" s="67"/>
      <c r="X229" s="67"/>
      <c r="Y229" s="66"/>
      <c r="Z229" s="66"/>
      <c r="AA229" s="66"/>
      <c r="AB229" s="66"/>
      <c r="AC229" s="66"/>
      <c r="AD229" s="42" t="str">
        <f t="shared" si="15"/>
        <v>ทันกำหนด</v>
      </c>
      <c r="AE229" s="43"/>
      <c r="AF229" s="43"/>
      <c r="AG229" s="43"/>
      <c r="AH229" s="44"/>
    </row>
    <row r="230" spans="1:34" ht="27.75" customHeight="1">
      <c r="A230" s="41">
        <v>227</v>
      </c>
      <c r="B230" s="66"/>
      <c r="C230" s="48"/>
      <c r="D230" s="48"/>
      <c r="E230" s="49"/>
      <c r="F230" s="49"/>
      <c r="G230" s="49">
        <f t="shared" si="13"/>
        <v>0</v>
      </c>
      <c r="H230" s="49" t="str">
        <f t="shared" si="14"/>
        <v>ครบ</v>
      </c>
      <c r="I230" s="49"/>
      <c r="J230" s="49" t="e">
        <f>VLOOKUP(I230,Sheet2!$B$10:$C$18,2,FALSE)</f>
        <v>#N/A</v>
      </c>
      <c r="K230" s="67"/>
      <c r="L230" s="49"/>
      <c r="M230" s="49" t="e">
        <f>VLOOKUP(L230,Sheet2!$B$10:$C$18,2,FALSE)</f>
        <v>#N/A</v>
      </c>
      <c r="N230" s="67"/>
      <c r="O230" s="49"/>
      <c r="P230" s="49" t="e">
        <f>VLOOKUP(O230,Sheet2!$B$10:$C$18,2,FALSE)</f>
        <v>#N/A</v>
      </c>
      <c r="Q230" s="67"/>
      <c r="R230" s="49"/>
      <c r="S230" s="49" t="e">
        <f>VLOOKUP(R230,Sheet2!$B$10:$C$18,2,FALSE)</f>
        <v>#N/A</v>
      </c>
      <c r="T230" s="67"/>
      <c r="U230" s="67">
        <f t="shared" si="12"/>
        <v>0</v>
      </c>
      <c r="V230" s="67"/>
      <c r="W230" s="67"/>
      <c r="X230" s="67"/>
      <c r="Y230" s="66"/>
      <c r="Z230" s="66"/>
      <c r="AA230" s="66"/>
      <c r="AB230" s="66"/>
      <c r="AC230" s="66"/>
      <c r="AD230" s="42" t="str">
        <f t="shared" si="15"/>
        <v>ทันกำหนด</v>
      </c>
      <c r="AE230" s="43"/>
      <c r="AF230" s="43"/>
      <c r="AG230" s="43"/>
      <c r="AH230" s="44"/>
    </row>
    <row r="231" spans="1:34" ht="27.75" customHeight="1">
      <c r="A231" s="41">
        <v>228</v>
      </c>
      <c r="B231" s="66"/>
      <c r="C231" s="48"/>
      <c r="D231" s="48"/>
      <c r="E231" s="49"/>
      <c r="F231" s="49"/>
      <c r="G231" s="49">
        <f t="shared" si="13"/>
        <v>0</v>
      </c>
      <c r="H231" s="49" t="str">
        <f t="shared" si="14"/>
        <v>ครบ</v>
      </c>
      <c r="I231" s="49"/>
      <c r="J231" s="49" t="e">
        <f>VLOOKUP(I231,Sheet2!$B$10:$C$18,2,FALSE)</f>
        <v>#N/A</v>
      </c>
      <c r="K231" s="67"/>
      <c r="L231" s="49"/>
      <c r="M231" s="49" t="e">
        <f>VLOOKUP(L231,Sheet2!$B$10:$C$18,2,FALSE)</f>
        <v>#N/A</v>
      </c>
      <c r="N231" s="67"/>
      <c r="O231" s="49"/>
      <c r="P231" s="49" t="e">
        <f>VLOOKUP(O231,Sheet2!$B$10:$C$18,2,FALSE)</f>
        <v>#N/A</v>
      </c>
      <c r="Q231" s="67"/>
      <c r="R231" s="49"/>
      <c r="S231" s="49" t="e">
        <f>VLOOKUP(R231,Sheet2!$B$10:$C$18,2,FALSE)</f>
        <v>#N/A</v>
      </c>
      <c r="T231" s="67"/>
      <c r="U231" s="67">
        <f t="shared" si="12"/>
        <v>0</v>
      </c>
      <c r="V231" s="67"/>
      <c r="W231" s="67"/>
      <c r="X231" s="67"/>
      <c r="Y231" s="66"/>
      <c r="Z231" s="66"/>
      <c r="AA231" s="66"/>
      <c r="AB231" s="66"/>
      <c r="AC231" s="66"/>
      <c r="AD231" s="42" t="str">
        <f t="shared" si="15"/>
        <v>ทันกำหนด</v>
      </c>
      <c r="AE231" s="43"/>
      <c r="AF231" s="43"/>
      <c r="AG231" s="43"/>
      <c r="AH231" s="44"/>
    </row>
    <row r="232" spans="1:34" ht="27.75" customHeight="1">
      <c r="A232" s="41">
        <v>229</v>
      </c>
      <c r="B232" s="66"/>
      <c r="C232" s="48"/>
      <c r="D232" s="48"/>
      <c r="E232" s="49"/>
      <c r="F232" s="49"/>
      <c r="G232" s="49">
        <f t="shared" si="13"/>
        <v>0</v>
      </c>
      <c r="H232" s="49" t="str">
        <f t="shared" si="14"/>
        <v>ครบ</v>
      </c>
      <c r="I232" s="49"/>
      <c r="J232" s="49" t="e">
        <f>VLOOKUP(I232,Sheet2!$B$10:$C$18,2,FALSE)</f>
        <v>#N/A</v>
      </c>
      <c r="K232" s="67"/>
      <c r="L232" s="49"/>
      <c r="M232" s="49" t="e">
        <f>VLOOKUP(L232,Sheet2!$B$10:$C$18,2,FALSE)</f>
        <v>#N/A</v>
      </c>
      <c r="N232" s="67"/>
      <c r="O232" s="49"/>
      <c r="P232" s="49" t="e">
        <f>VLOOKUP(O232,Sheet2!$B$10:$C$18,2,FALSE)</f>
        <v>#N/A</v>
      </c>
      <c r="Q232" s="67"/>
      <c r="R232" s="49"/>
      <c r="S232" s="49" t="e">
        <f>VLOOKUP(R232,Sheet2!$B$10:$C$18,2,FALSE)</f>
        <v>#N/A</v>
      </c>
      <c r="T232" s="67"/>
      <c r="U232" s="67">
        <f t="shared" si="12"/>
        <v>0</v>
      </c>
      <c r="V232" s="67"/>
      <c r="W232" s="67"/>
      <c r="X232" s="67"/>
      <c r="Y232" s="66"/>
      <c r="Z232" s="66"/>
      <c r="AA232" s="66"/>
      <c r="AB232" s="66"/>
      <c r="AC232" s="66"/>
      <c r="AD232" s="42" t="str">
        <f t="shared" si="15"/>
        <v>ทันกำหนด</v>
      </c>
      <c r="AE232" s="43"/>
      <c r="AF232" s="43"/>
      <c r="AG232" s="43"/>
      <c r="AH232" s="44"/>
    </row>
    <row r="233" spans="1:34" ht="27.75" customHeight="1">
      <c r="A233" s="41">
        <v>230</v>
      </c>
      <c r="B233" s="66"/>
      <c r="C233" s="48"/>
      <c r="D233" s="48"/>
      <c r="E233" s="49"/>
      <c r="F233" s="49"/>
      <c r="G233" s="49">
        <f t="shared" si="13"/>
        <v>0</v>
      </c>
      <c r="H233" s="49" t="str">
        <f t="shared" si="14"/>
        <v>ครบ</v>
      </c>
      <c r="I233" s="49"/>
      <c r="J233" s="49" t="e">
        <f>VLOOKUP(I233,Sheet2!$B$10:$C$18,2,FALSE)</f>
        <v>#N/A</v>
      </c>
      <c r="K233" s="67"/>
      <c r="L233" s="49"/>
      <c r="M233" s="49" t="e">
        <f>VLOOKUP(L233,Sheet2!$B$10:$C$18,2,FALSE)</f>
        <v>#N/A</v>
      </c>
      <c r="N233" s="67"/>
      <c r="O233" s="49"/>
      <c r="P233" s="49" t="e">
        <f>VLOOKUP(O233,Sheet2!$B$10:$C$18,2,FALSE)</f>
        <v>#N/A</v>
      </c>
      <c r="Q233" s="67"/>
      <c r="R233" s="49"/>
      <c r="S233" s="49" t="e">
        <f>VLOOKUP(R233,Sheet2!$B$10:$C$18,2,FALSE)</f>
        <v>#N/A</v>
      </c>
      <c r="T233" s="67"/>
      <c r="U233" s="67">
        <f t="shared" si="12"/>
        <v>0</v>
      </c>
      <c r="V233" s="67"/>
      <c r="W233" s="67"/>
      <c r="X233" s="67"/>
      <c r="Y233" s="66"/>
      <c r="Z233" s="66"/>
      <c r="AA233" s="66"/>
      <c r="AB233" s="66"/>
      <c r="AC233" s="66"/>
      <c r="AD233" s="42" t="str">
        <f t="shared" si="15"/>
        <v>ทันกำหนด</v>
      </c>
      <c r="AE233" s="43"/>
      <c r="AF233" s="43"/>
      <c r="AG233" s="43"/>
      <c r="AH233" s="44"/>
    </row>
    <row r="234" spans="1:34" ht="27.75" customHeight="1">
      <c r="A234" s="41">
        <v>231</v>
      </c>
      <c r="B234" s="66"/>
      <c r="C234" s="48"/>
      <c r="D234" s="48"/>
      <c r="E234" s="49"/>
      <c r="F234" s="49"/>
      <c r="G234" s="49">
        <f t="shared" si="13"/>
        <v>0</v>
      </c>
      <c r="H234" s="49" t="str">
        <f t="shared" si="14"/>
        <v>ครบ</v>
      </c>
      <c r="I234" s="49"/>
      <c r="J234" s="49" t="e">
        <f>VLOOKUP(I234,Sheet2!$B$10:$C$18,2,FALSE)</f>
        <v>#N/A</v>
      </c>
      <c r="K234" s="67"/>
      <c r="L234" s="49"/>
      <c r="M234" s="49" t="e">
        <f>VLOOKUP(L234,Sheet2!$B$10:$C$18,2,FALSE)</f>
        <v>#N/A</v>
      </c>
      <c r="N234" s="67"/>
      <c r="O234" s="49"/>
      <c r="P234" s="49" t="e">
        <f>VLOOKUP(O234,Sheet2!$B$10:$C$18,2,FALSE)</f>
        <v>#N/A</v>
      </c>
      <c r="Q234" s="67"/>
      <c r="R234" s="49"/>
      <c r="S234" s="49" t="e">
        <f>VLOOKUP(R234,Sheet2!$B$10:$C$18,2,FALSE)</f>
        <v>#N/A</v>
      </c>
      <c r="T234" s="67"/>
      <c r="U234" s="67">
        <f t="shared" si="12"/>
        <v>0</v>
      </c>
      <c r="V234" s="67"/>
      <c r="W234" s="67"/>
      <c r="X234" s="67"/>
      <c r="Y234" s="66"/>
      <c r="Z234" s="66"/>
      <c r="AA234" s="66"/>
      <c r="AB234" s="66"/>
      <c r="AC234" s="66"/>
      <c r="AD234" s="42" t="str">
        <f t="shared" si="15"/>
        <v>ทันกำหนด</v>
      </c>
      <c r="AE234" s="43"/>
      <c r="AF234" s="43"/>
      <c r="AG234" s="43"/>
      <c r="AH234" s="44"/>
    </row>
    <row r="235" spans="1:34" ht="27.75" customHeight="1">
      <c r="A235" s="41">
        <v>232</v>
      </c>
      <c r="B235" s="66"/>
      <c r="C235" s="48"/>
      <c r="D235" s="48"/>
      <c r="E235" s="49"/>
      <c r="F235" s="49"/>
      <c r="G235" s="49">
        <f t="shared" si="13"/>
        <v>0</v>
      </c>
      <c r="H235" s="49" t="str">
        <f t="shared" si="14"/>
        <v>ครบ</v>
      </c>
      <c r="I235" s="49"/>
      <c r="J235" s="49" t="e">
        <f>VLOOKUP(I235,Sheet2!$B$10:$C$18,2,FALSE)</f>
        <v>#N/A</v>
      </c>
      <c r="K235" s="67"/>
      <c r="L235" s="49"/>
      <c r="M235" s="49" t="e">
        <f>VLOOKUP(L235,Sheet2!$B$10:$C$18,2,FALSE)</f>
        <v>#N/A</v>
      </c>
      <c r="N235" s="67"/>
      <c r="O235" s="49"/>
      <c r="P235" s="49" t="e">
        <f>VLOOKUP(O235,Sheet2!$B$10:$C$18,2,FALSE)</f>
        <v>#N/A</v>
      </c>
      <c r="Q235" s="67"/>
      <c r="R235" s="49"/>
      <c r="S235" s="49" t="e">
        <f>VLOOKUP(R235,Sheet2!$B$10:$C$18,2,FALSE)</f>
        <v>#N/A</v>
      </c>
      <c r="T235" s="67"/>
      <c r="U235" s="67">
        <f t="shared" si="12"/>
        <v>0</v>
      </c>
      <c r="V235" s="67"/>
      <c r="W235" s="67"/>
      <c r="X235" s="67"/>
      <c r="Y235" s="66"/>
      <c r="Z235" s="66"/>
      <c r="AA235" s="66"/>
      <c r="AB235" s="66"/>
      <c r="AC235" s="66"/>
      <c r="AD235" s="42" t="str">
        <f t="shared" si="15"/>
        <v>ทันกำหนด</v>
      </c>
      <c r="AE235" s="43"/>
      <c r="AF235" s="43"/>
      <c r="AG235" s="43"/>
      <c r="AH235" s="44"/>
    </row>
    <row r="236" spans="1:34" ht="27.75" customHeight="1">
      <c r="A236" s="41">
        <v>233</v>
      </c>
      <c r="B236" s="66"/>
      <c r="C236" s="48"/>
      <c r="D236" s="48"/>
      <c r="E236" s="49"/>
      <c r="F236" s="49"/>
      <c r="G236" s="49">
        <f t="shared" si="13"/>
        <v>0</v>
      </c>
      <c r="H236" s="49" t="str">
        <f t="shared" si="14"/>
        <v>ครบ</v>
      </c>
      <c r="I236" s="49"/>
      <c r="J236" s="49" t="e">
        <f>VLOOKUP(I236,Sheet2!$B$10:$C$18,2,FALSE)</f>
        <v>#N/A</v>
      </c>
      <c r="K236" s="67"/>
      <c r="L236" s="49"/>
      <c r="M236" s="49" t="e">
        <f>VLOOKUP(L236,Sheet2!$B$10:$C$18,2,FALSE)</f>
        <v>#N/A</v>
      </c>
      <c r="N236" s="67"/>
      <c r="O236" s="49"/>
      <c r="P236" s="49" t="e">
        <f>VLOOKUP(O236,Sheet2!$B$10:$C$18,2,FALSE)</f>
        <v>#N/A</v>
      </c>
      <c r="Q236" s="67"/>
      <c r="R236" s="49"/>
      <c r="S236" s="49" t="e">
        <f>VLOOKUP(R236,Sheet2!$B$10:$C$18,2,FALSE)</f>
        <v>#N/A</v>
      </c>
      <c r="T236" s="67"/>
      <c r="U236" s="67">
        <f t="shared" si="12"/>
        <v>0</v>
      </c>
      <c r="V236" s="67"/>
      <c r="W236" s="67"/>
      <c r="X236" s="67"/>
      <c r="Y236" s="66"/>
      <c r="Z236" s="66"/>
      <c r="AA236" s="66"/>
      <c r="AB236" s="66"/>
      <c r="AC236" s="66"/>
      <c r="AD236" s="42" t="str">
        <f t="shared" si="15"/>
        <v>ทันกำหนด</v>
      </c>
      <c r="AE236" s="43"/>
      <c r="AF236" s="43"/>
      <c r="AG236" s="43"/>
      <c r="AH236" s="44"/>
    </row>
    <row r="237" spans="1:34" ht="27.75" customHeight="1">
      <c r="A237" s="41">
        <v>234</v>
      </c>
      <c r="B237" s="66"/>
      <c r="C237" s="48"/>
      <c r="D237" s="48"/>
      <c r="E237" s="49"/>
      <c r="F237" s="49"/>
      <c r="G237" s="49">
        <f t="shared" si="13"/>
        <v>0</v>
      </c>
      <c r="H237" s="49" t="str">
        <f t="shared" si="14"/>
        <v>ครบ</v>
      </c>
      <c r="I237" s="49"/>
      <c r="J237" s="49" t="e">
        <f>VLOOKUP(I237,Sheet2!$B$10:$C$18,2,FALSE)</f>
        <v>#N/A</v>
      </c>
      <c r="K237" s="67"/>
      <c r="L237" s="49"/>
      <c r="M237" s="49" t="e">
        <f>VLOOKUP(L237,Sheet2!$B$10:$C$18,2,FALSE)</f>
        <v>#N/A</v>
      </c>
      <c r="N237" s="67"/>
      <c r="O237" s="49"/>
      <c r="P237" s="49" t="e">
        <f>VLOOKUP(O237,Sheet2!$B$10:$C$18,2,FALSE)</f>
        <v>#N/A</v>
      </c>
      <c r="Q237" s="67"/>
      <c r="R237" s="49"/>
      <c r="S237" s="49" t="e">
        <f>VLOOKUP(R237,Sheet2!$B$10:$C$18,2,FALSE)</f>
        <v>#N/A</v>
      </c>
      <c r="T237" s="67"/>
      <c r="U237" s="67">
        <f t="shared" si="12"/>
        <v>0</v>
      </c>
      <c r="V237" s="67"/>
      <c r="W237" s="67"/>
      <c r="X237" s="67"/>
      <c r="Y237" s="66"/>
      <c r="Z237" s="66"/>
      <c r="AA237" s="66"/>
      <c r="AB237" s="66"/>
      <c r="AC237" s="66"/>
      <c r="AD237" s="42" t="str">
        <f t="shared" si="15"/>
        <v>ทันกำหนด</v>
      </c>
      <c r="AE237" s="43"/>
      <c r="AF237" s="43"/>
      <c r="AG237" s="43"/>
      <c r="AH237" s="44"/>
    </row>
    <row r="238" spans="1:34" ht="27.75" customHeight="1">
      <c r="A238" s="41">
        <v>235</v>
      </c>
      <c r="B238" s="66"/>
      <c r="C238" s="48"/>
      <c r="D238" s="48"/>
      <c r="E238" s="49"/>
      <c r="F238" s="49"/>
      <c r="G238" s="49">
        <f t="shared" si="13"/>
        <v>0</v>
      </c>
      <c r="H238" s="49" t="str">
        <f t="shared" si="14"/>
        <v>ครบ</v>
      </c>
      <c r="I238" s="49"/>
      <c r="J238" s="49" t="e">
        <f>VLOOKUP(I238,Sheet2!$B$10:$C$18,2,FALSE)</f>
        <v>#N/A</v>
      </c>
      <c r="K238" s="67"/>
      <c r="L238" s="49"/>
      <c r="M238" s="49" t="e">
        <f>VLOOKUP(L238,Sheet2!$B$10:$C$18,2,FALSE)</f>
        <v>#N/A</v>
      </c>
      <c r="N238" s="67"/>
      <c r="O238" s="49"/>
      <c r="P238" s="49" t="e">
        <f>VLOOKUP(O238,Sheet2!$B$10:$C$18,2,FALSE)</f>
        <v>#N/A</v>
      </c>
      <c r="Q238" s="67"/>
      <c r="R238" s="49"/>
      <c r="S238" s="49" t="e">
        <f>VLOOKUP(R238,Sheet2!$B$10:$C$18,2,FALSE)</f>
        <v>#N/A</v>
      </c>
      <c r="T238" s="67"/>
      <c r="U238" s="67">
        <f t="shared" si="12"/>
        <v>0</v>
      </c>
      <c r="V238" s="67"/>
      <c r="W238" s="67"/>
      <c r="X238" s="67"/>
      <c r="Y238" s="66"/>
      <c r="Z238" s="66"/>
      <c r="AA238" s="66"/>
      <c r="AB238" s="66"/>
      <c r="AC238" s="66"/>
      <c r="AD238" s="42" t="str">
        <f t="shared" si="15"/>
        <v>ทันกำหนด</v>
      </c>
      <c r="AE238" s="43"/>
      <c r="AF238" s="43"/>
      <c r="AG238" s="43"/>
      <c r="AH238" s="44"/>
    </row>
    <row r="239" spans="1:34" ht="27.75" customHeight="1">
      <c r="A239" s="41">
        <v>236</v>
      </c>
      <c r="B239" s="66"/>
      <c r="C239" s="48"/>
      <c r="D239" s="48"/>
      <c r="E239" s="49"/>
      <c r="F239" s="49"/>
      <c r="G239" s="49">
        <f t="shared" si="13"/>
        <v>0</v>
      </c>
      <c r="H239" s="49" t="str">
        <f t="shared" si="14"/>
        <v>ครบ</v>
      </c>
      <c r="I239" s="49"/>
      <c r="J239" s="49" t="e">
        <f>VLOOKUP(I239,Sheet2!$B$10:$C$18,2,FALSE)</f>
        <v>#N/A</v>
      </c>
      <c r="K239" s="67"/>
      <c r="L239" s="49"/>
      <c r="M239" s="49" t="e">
        <f>VLOOKUP(L239,Sheet2!$B$10:$C$18,2,FALSE)</f>
        <v>#N/A</v>
      </c>
      <c r="N239" s="67"/>
      <c r="O239" s="49"/>
      <c r="P239" s="49" t="e">
        <f>VLOOKUP(O239,Sheet2!$B$10:$C$18,2,FALSE)</f>
        <v>#N/A</v>
      </c>
      <c r="Q239" s="67"/>
      <c r="R239" s="49"/>
      <c r="S239" s="49" t="e">
        <f>VLOOKUP(R239,Sheet2!$B$10:$C$18,2,FALSE)</f>
        <v>#N/A</v>
      </c>
      <c r="T239" s="67"/>
      <c r="U239" s="67">
        <f t="shared" si="12"/>
        <v>0</v>
      </c>
      <c r="V239" s="67"/>
      <c r="W239" s="67"/>
      <c r="X239" s="67"/>
      <c r="Y239" s="66"/>
      <c r="Z239" s="66"/>
      <c r="AA239" s="66"/>
      <c r="AB239" s="66"/>
      <c r="AC239" s="66"/>
      <c r="AD239" s="42" t="str">
        <f t="shared" si="15"/>
        <v>ทันกำหนด</v>
      </c>
      <c r="AE239" s="43"/>
      <c r="AF239" s="43"/>
      <c r="AG239" s="43"/>
      <c r="AH239" s="44"/>
    </row>
    <row r="240" spans="1:34" ht="27.75" customHeight="1">
      <c r="A240" s="41">
        <v>237</v>
      </c>
      <c r="B240" s="66"/>
      <c r="C240" s="48"/>
      <c r="D240" s="48"/>
      <c r="E240" s="49"/>
      <c r="F240" s="49"/>
      <c r="G240" s="49">
        <f t="shared" si="13"/>
        <v>0</v>
      </c>
      <c r="H240" s="49" t="str">
        <f t="shared" si="14"/>
        <v>ครบ</v>
      </c>
      <c r="I240" s="49"/>
      <c r="J240" s="49" t="e">
        <f>VLOOKUP(I240,Sheet2!$B$10:$C$18,2,FALSE)</f>
        <v>#N/A</v>
      </c>
      <c r="K240" s="67"/>
      <c r="L240" s="49"/>
      <c r="M240" s="49" t="e">
        <f>VLOOKUP(L240,Sheet2!$B$10:$C$18,2,FALSE)</f>
        <v>#N/A</v>
      </c>
      <c r="N240" s="67"/>
      <c r="O240" s="49"/>
      <c r="P240" s="49" t="e">
        <f>VLOOKUP(O240,Sheet2!$B$10:$C$18,2,FALSE)</f>
        <v>#N/A</v>
      </c>
      <c r="Q240" s="67"/>
      <c r="R240" s="49"/>
      <c r="S240" s="49" t="e">
        <f>VLOOKUP(R240,Sheet2!$B$10:$C$18,2,FALSE)</f>
        <v>#N/A</v>
      </c>
      <c r="T240" s="67"/>
      <c r="U240" s="67">
        <f t="shared" si="12"/>
        <v>0</v>
      </c>
      <c r="V240" s="67"/>
      <c r="W240" s="67"/>
      <c r="X240" s="67"/>
      <c r="Y240" s="66"/>
      <c r="Z240" s="66"/>
      <c r="AA240" s="66"/>
      <c r="AB240" s="66"/>
      <c r="AC240" s="66"/>
      <c r="AD240" s="42" t="str">
        <f t="shared" si="15"/>
        <v>ทันกำหนด</v>
      </c>
      <c r="AE240" s="43"/>
      <c r="AF240" s="43"/>
      <c r="AG240" s="43"/>
      <c r="AH240" s="44"/>
    </row>
    <row r="241" spans="1:34" ht="27.75" customHeight="1">
      <c r="A241" s="41">
        <v>238</v>
      </c>
      <c r="B241" s="66"/>
      <c r="C241" s="48"/>
      <c r="D241" s="48"/>
      <c r="E241" s="49"/>
      <c r="F241" s="49"/>
      <c r="G241" s="49">
        <f t="shared" si="13"/>
        <v>0</v>
      </c>
      <c r="H241" s="49" t="str">
        <f t="shared" si="14"/>
        <v>ครบ</v>
      </c>
      <c r="I241" s="49"/>
      <c r="J241" s="49" t="e">
        <f>VLOOKUP(I241,Sheet2!$B$10:$C$18,2,FALSE)</f>
        <v>#N/A</v>
      </c>
      <c r="K241" s="67"/>
      <c r="L241" s="49"/>
      <c r="M241" s="49" t="e">
        <f>VLOOKUP(L241,Sheet2!$B$10:$C$18,2,FALSE)</f>
        <v>#N/A</v>
      </c>
      <c r="N241" s="67"/>
      <c r="O241" s="49"/>
      <c r="P241" s="49" t="e">
        <f>VLOOKUP(O241,Sheet2!$B$10:$C$18,2,FALSE)</f>
        <v>#N/A</v>
      </c>
      <c r="Q241" s="67"/>
      <c r="R241" s="49"/>
      <c r="S241" s="49" t="e">
        <f>VLOOKUP(R241,Sheet2!$B$10:$C$18,2,FALSE)</f>
        <v>#N/A</v>
      </c>
      <c r="T241" s="67"/>
      <c r="U241" s="67">
        <f t="shared" si="12"/>
        <v>0</v>
      </c>
      <c r="V241" s="67"/>
      <c r="W241" s="67"/>
      <c r="X241" s="67"/>
      <c r="Y241" s="66"/>
      <c r="Z241" s="66"/>
      <c r="AA241" s="66"/>
      <c r="AB241" s="66"/>
      <c r="AC241" s="66"/>
      <c r="AD241" s="42" t="str">
        <f t="shared" si="15"/>
        <v>ทันกำหนด</v>
      </c>
      <c r="AE241" s="43"/>
      <c r="AF241" s="43"/>
      <c r="AG241" s="43"/>
      <c r="AH241" s="44"/>
    </row>
    <row r="242" spans="1:34" ht="27.75" customHeight="1">
      <c r="A242" s="41">
        <v>239</v>
      </c>
      <c r="B242" s="66"/>
      <c r="C242" s="48"/>
      <c r="D242" s="48"/>
      <c r="E242" s="49"/>
      <c r="F242" s="49"/>
      <c r="G242" s="49">
        <f t="shared" si="13"/>
        <v>0</v>
      </c>
      <c r="H242" s="49" t="str">
        <f t="shared" si="14"/>
        <v>ครบ</v>
      </c>
      <c r="I242" s="49"/>
      <c r="J242" s="49" t="e">
        <f>VLOOKUP(I242,Sheet2!$B$10:$C$18,2,FALSE)</f>
        <v>#N/A</v>
      </c>
      <c r="K242" s="67"/>
      <c r="L242" s="49"/>
      <c r="M242" s="49" t="e">
        <f>VLOOKUP(L242,Sheet2!$B$10:$C$18,2,FALSE)</f>
        <v>#N/A</v>
      </c>
      <c r="N242" s="67"/>
      <c r="O242" s="49"/>
      <c r="P242" s="49" t="e">
        <f>VLOOKUP(O242,Sheet2!$B$10:$C$18,2,FALSE)</f>
        <v>#N/A</v>
      </c>
      <c r="Q242" s="67"/>
      <c r="R242" s="49"/>
      <c r="S242" s="49" t="e">
        <f>VLOOKUP(R242,Sheet2!$B$10:$C$18,2,FALSE)</f>
        <v>#N/A</v>
      </c>
      <c r="T242" s="67"/>
      <c r="U242" s="67">
        <f t="shared" si="12"/>
        <v>0</v>
      </c>
      <c r="V242" s="67"/>
      <c r="W242" s="67"/>
      <c r="X242" s="67"/>
      <c r="Y242" s="66"/>
      <c r="Z242" s="66"/>
      <c r="AA242" s="66"/>
      <c r="AB242" s="66"/>
      <c r="AC242" s="66"/>
      <c r="AD242" s="42" t="str">
        <f t="shared" si="15"/>
        <v>ทันกำหนด</v>
      </c>
      <c r="AE242" s="43"/>
      <c r="AF242" s="43"/>
      <c r="AG242" s="43"/>
      <c r="AH242" s="44"/>
    </row>
    <row r="243" spans="1:34" ht="27.75" customHeight="1">
      <c r="A243" s="41">
        <v>240</v>
      </c>
      <c r="B243" s="66"/>
      <c r="C243" s="48"/>
      <c r="D243" s="71"/>
      <c r="E243" s="49"/>
      <c r="F243" s="49"/>
      <c r="G243" s="49">
        <f t="shared" si="13"/>
        <v>0</v>
      </c>
      <c r="H243" s="49" t="str">
        <f t="shared" si="14"/>
        <v>ครบ</v>
      </c>
      <c r="I243" s="49"/>
      <c r="J243" s="49" t="e">
        <f>VLOOKUP(I243,Sheet2!$B$10:$C$18,2,FALSE)</f>
        <v>#N/A</v>
      </c>
      <c r="K243" s="67"/>
      <c r="L243" s="49"/>
      <c r="M243" s="49" t="e">
        <f>VLOOKUP(L243,Sheet2!$B$10:$C$18,2,FALSE)</f>
        <v>#N/A</v>
      </c>
      <c r="N243" s="67"/>
      <c r="O243" s="49"/>
      <c r="P243" s="49" t="e">
        <f>VLOOKUP(O243,Sheet2!$B$10:$C$18,2,FALSE)</f>
        <v>#N/A</v>
      </c>
      <c r="Q243" s="67"/>
      <c r="R243" s="49"/>
      <c r="S243" s="49" t="e">
        <f>VLOOKUP(R243,Sheet2!$B$10:$C$18,2,FALSE)</f>
        <v>#N/A</v>
      </c>
      <c r="T243" s="67"/>
      <c r="U243" s="67">
        <f t="shared" si="12"/>
        <v>0</v>
      </c>
      <c r="V243" s="67"/>
      <c r="W243" s="67"/>
      <c r="X243" s="67"/>
      <c r="Y243" s="66"/>
      <c r="Z243" s="66"/>
      <c r="AA243" s="66"/>
      <c r="AB243" s="66"/>
      <c r="AC243" s="66"/>
      <c r="AD243" s="42" t="str">
        <f t="shared" si="15"/>
        <v>ทันกำหนด</v>
      </c>
      <c r="AE243" s="43"/>
      <c r="AF243" s="43"/>
      <c r="AG243" s="43"/>
      <c r="AH243" s="44"/>
    </row>
    <row r="244" spans="1:34" ht="27.75" customHeight="1">
      <c r="A244" s="41">
        <v>241</v>
      </c>
      <c r="B244" s="66"/>
      <c r="C244" s="48"/>
      <c r="D244" s="71"/>
      <c r="E244" s="49"/>
      <c r="F244" s="49"/>
      <c r="G244" s="49">
        <f t="shared" si="13"/>
        <v>0</v>
      </c>
      <c r="H244" s="49" t="str">
        <f t="shared" si="14"/>
        <v>ครบ</v>
      </c>
      <c r="I244" s="49"/>
      <c r="J244" s="49" t="e">
        <f>VLOOKUP(I244,Sheet2!$B$10:$C$18,2,FALSE)</f>
        <v>#N/A</v>
      </c>
      <c r="K244" s="67"/>
      <c r="L244" s="49"/>
      <c r="M244" s="49" t="e">
        <f>VLOOKUP(L244,Sheet2!$B$10:$C$18,2,FALSE)</f>
        <v>#N/A</v>
      </c>
      <c r="N244" s="67"/>
      <c r="O244" s="49"/>
      <c r="P244" s="49" t="e">
        <f>VLOOKUP(O244,Sheet2!$B$10:$C$18,2,FALSE)</f>
        <v>#N/A</v>
      </c>
      <c r="Q244" s="67"/>
      <c r="R244" s="49"/>
      <c r="S244" s="49" t="e">
        <f>VLOOKUP(R244,Sheet2!$B$10:$C$18,2,FALSE)</f>
        <v>#N/A</v>
      </c>
      <c r="T244" s="67"/>
      <c r="U244" s="67">
        <f t="shared" si="12"/>
        <v>0</v>
      </c>
      <c r="V244" s="67"/>
      <c r="W244" s="67"/>
      <c r="X244" s="67"/>
      <c r="Y244" s="66"/>
      <c r="Z244" s="66"/>
      <c r="AA244" s="66"/>
      <c r="AB244" s="66"/>
      <c r="AC244" s="66"/>
      <c r="AD244" s="42" t="str">
        <f t="shared" si="15"/>
        <v>ทันกำหนด</v>
      </c>
      <c r="AE244" s="43"/>
      <c r="AF244" s="43"/>
      <c r="AG244" s="43"/>
      <c r="AH244" s="44"/>
    </row>
    <row r="245" spans="1:34" ht="27.75" customHeight="1">
      <c r="A245" s="41">
        <v>242</v>
      </c>
      <c r="B245" s="66"/>
      <c r="C245" s="48"/>
      <c r="D245" s="48"/>
      <c r="E245" s="49"/>
      <c r="F245" s="49"/>
      <c r="G245" s="49">
        <f t="shared" si="13"/>
        <v>0</v>
      </c>
      <c r="H245" s="49" t="str">
        <f t="shared" si="14"/>
        <v>ครบ</v>
      </c>
      <c r="I245" s="49"/>
      <c r="J245" s="49" t="e">
        <f>VLOOKUP(I245,Sheet2!$B$10:$C$18,2,FALSE)</f>
        <v>#N/A</v>
      </c>
      <c r="K245" s="67"/>
      <c r="L245" s="49"/>
      <c r="M245" s="49" t="e">
        <f>VLOOKUP(L245,Sheet2!$B$10:$C$18,2,FALSE)</f>
        <v>#N/A</v>
      </c>
      <c r="N245" s="67"/>
      <c r="O245" s="49"/>
      <c r="P245" s="49" t="e">
        <f>VLOOKUP(O245,Sheet2!$B$10:$C$18,2,FALSE)</f>
        <v>#N/A</v>
      </c>
      <c r="Q245" s="67"/>
      <c r="R245" s="49"/>
      <c r="S245" s="49" t="e">
        <f>VLOOKUP(R245,Sheet2!$B$10:$C$18,2,FALSE)</f>
        <v>#N/A</v>
      </c>
      <c r="T245" s="67"/>
      <c r="U245" s="67">
        <f t="shared" si="12"/>
        <v>0</v>
      </c>
      <c r="V245" s="67"/>
      <c r="W245" s="67"/>
      <c r="X245" s="67"/>
      <c r="Y245" s="66"/>
      <c r="Z245" s="66"/>
      <c r="AA245" s="66"/>
      <c r="AB245" s="66"/>
      <c r="AC245" s="66"/>
      <c r="AD245" s="42" t="str">
        <f t="shared" si="15"/>
        <v>ทันกำหนด</v>
      </c>
      <c r="AE245" s="43"/>
      <c r="AF245" s="43"/>
      <c r="AG245" s="43"/>
      <c r="AH245" s="72"/>
    </row>
    <row r="246" spans="1:34" ht="27.75" customHeight="1">
      <c r="A246" s="41">
        <v>243</v>
      </c>
      <c r="B246" s="66"/>
      <c r="C246" s="48"/>
      <c r="D246" s="48"/>
      <c r="E246" s="49"/>
      <c r="F246" s="49"/>
      <c r="G246" s="49">
        <f t="shared" si="13"/>
        <v>0</v>
      </c>
      <c r="H246" s="49" t="str">
        <f t="shared" si="14"/>
        <v>ครบ</v>
      </c>
      <c r="I246" s="49"/>
      <c r="J246" s="49" t="e">
        <f>VLOOKUP(I246,Sheet2!$B$10:$C$18,2,FALSE)</f>
        <v>#N/A</v>
      </c>
      <c r="K246" s="67"/>
      <c r="L246" s="49"/>
      <c r="M246" s="49" t="e">
        <f>VLOOKUP(L246,Sheet2!$B$10:$C$18,2,FALSE)</f>
        <v>#N/A</v>
      </c>
      <c r="N246" s="67"/>
      <c r="O246" s="49"/>
      <c r="P246" s="49" t="e">
        <f>VLOOKUP(O246,Sheet2!$B$10:$C$18,2,FALSE)</f>
        <v>#N/A</v>
      </c>
      <c r="Q246" s="67"/>
      <c r="R246" s="49"/>
      <c r="S246" s="49" t="e">
        <f>VLOOKUP(R246,Sheet2!$B$10:$C$18,2,FALSE)</f>
        <v>#N/A</v>
      </c>
      <c r="T246" s="67"/>
      <c r="U246" s="67">
        <f t="shared" si="12"/>
        <v>0</v>
      </c>
      <c r="V246" s="67"/>
      <c r="W246" s="67"/>
      <c r="X246" s="67"/>
      <c r="Y246" s="66"/>
      <c r="Z246" s="66"/>
      <c r="AA246" s="66"/>
      <c r="AB246" s="66"/>
      <c r="AC246" s="66"/>
      <c r="AD246" s="42" t="str">
        <f t="shared" si="15"/>
        <v>ทันกำหนด</v>
      </c>
      <c r="AE246" s="43"/>
      <c r="AF246" s="43"/>
      <c r="AG246" s="43"/>
      <c r="AH246" s="44"/>
    </row>
    <row r="247" spans="1:34" ht="27.75" customHeight="1">
      <c r="A247" s="41">
        <v>244</v>
      </c>
      <c r="B247" s="66"/>
      <c r="C247" s="48"/>
      <c r="D247" s="48"/>
      <c r="E247" s="49"/>
      <c r="F247" s="49"/>
      <c r="G247" s="49">
        <f t="shared" si="13"/>
        <v>0</v>
      </c>
      <c r="H247" s="49" t="str">
        <f t="shared" si="14"/>
        <v>ครบ</v>
      </c>
      <c r="I247" s="49"/>
      <c r="J247" s="49" t="e">
        <f>VLOOKUP(I247,Sheet2!$B$10:$C$18,2,FALSE)</f>
        <v>#N/A</v>
      </c>
      <c r="K247" s="67"/>
      <c r="L247" s="49"/>
      <c r="M247" s="49" t="e">
        <f>VLOOKUP(L247,Sheet2!$B$10:$C$18,2,FALSE)</f>
        <v>#N/A</v>
      </c>
      <c r="N247" s="67"/>
      <c r="O247" s="49"/>
      <c r="P247" s="49" t="e">
        <f>VLOOKUP(O247,Sheet2!$B$10:$C$18,2,FALSE)</f>
        <v>#N/A</v>
      </c>
      <c r="Q247" s="67"/>
      <c r="R247" s="49"/>
      <c r="S247" s="49" t="e">
        <f>VLOOKUP(R247,Sheet2!$B$10:$C$18,2,FALSE)</f>
        <v>#N/A</v>
      </c>
      <c r="T247" s="67"/>
      <c r="U247" s="67">
        <f t="shared" si="12"/>
        <v>0</v>
      </c>
      <c r="V247" s="67"/>
      <c r="W247" s="67"/>
      <c r="X247" s="67"/>
      <c r="Y247" s="66"/>
      <c r="Z247" s="66"/>
      <c r="AA247" s="66"/>
      <c r="AB247" s="66"/>
      <c r="AC247" s="66"/>
      <c r="AD247" s="42" t="str">
        <f t="shared" si="15"/>
        <v>ทันกำหนด</v>
      </c>
      <c r="AE247" s="43"/>
      <c r="AF247" s="43"/>
      <c r="AG247" s="43"/>
      <c r="AH247" s="44"/>
    </row>
    <row r="248" spans="1:34" ht="27.75" customHeight="1">
      <c r="A248" s="41">
        <v>245</v>
      </c>
      <c r="B248" s="66"/>
      <c r="C248" s="48"/>
      <c r="D248" s="48"/>
      <c r="E248" s="49"/>
      <c r="F248" s="49"/>
      <c r="G248" s="49">
        <f t="shared" si="13"/>
        <v>0</v>
      </c>
      <c r="H248" s="49" t="str">
        <f t="shared" si="14"/>
        <v>ครบ</v>
      </c>
      <c r="I248" s="49"/>
      <c r="J248" s="49" t="e">
        <f>VLOOKUP(I248,Sheet2!$B$10:$C$18,2,FALSE)</f>
        <v>#N/A</v>
      </c>
      <c r="K248" s="67"/>
      <c r="L248" s="49"/>
      <c r="M248" s="49" t="e">
        <f>VLOOKUP(L248,Sheet2!$B$10:$C$18,2,FALSE)</f>
        <v>#N/A</v>
      </c>
      <c r="N248" s="67"/>
      <c r="O248" s="49"/>
      <c r="P248" s="49" t="e">
        <f>VLOOKUP(O248,Sheet2!$B$10:$C$18,2,FALSE)</f>
        <v>#N/A</v>
      </c>
      <c r="Q248" s="67"/>
      <c r="R248" s="49"/>
      <c r="S248" s="49" t="e">
        <f>VLOOKUP(R248,Sheet2!$B$10:$C$18,2,FALSE)</f>
        <v>#N/A</v>
      </c>
      <c r="T248" s="67"/>
      <c r="U248" s="67">
        <f t="shared" si="12"/>
        <v>0</v>
      </c>
      <c r="V248" s="67"/>
      <c r="W248" s="67"/>
      <c r="X248" s="67"/>
      <c r="Y248" s="66"/>
      <c r="Z248" s="66"/>
      <c r="AA248" s="66"/>
      <c r="AB248" s="66"/>
      <c r="AC248" s="66"/>
      <c r="AD248" s="42" t="str">
        <f t="shared" si="15"/>
        <v>ทันกำหนด</v>
      </c>
      <c r="AE248" s="43"/>
      <c r="AF248" s="43"/>
      <c r="AG248" s="43"/>
      <c r="AH248" s="44"/>
    </row>
    <row r="249" spans="1:34" ht="27.75" customHeight="1">
      <c r="A249" s="41">
        <v>246</v>
      </c>
      <c r="B249" s="66"/>
      <c r="C249" s="48"/>
      <c r="D249" s="48"/>
      <c r="E249" s="49"/>
      <c r="F249" s="49"/>
      <c r="G249" s="49">
        <f t="shared" si="13"/>
        <v>0</v>
      </c>
      <c r="H249" s="49" t="str">
        <f t="shared" si="14"/>
        <v>ครบ</v>
      </c>
      <c r="I249" s="49"/>
      <c r="J249" s="49" t="e">
        <f>VLOOKUP(I249,Sheet2!$B$10:$C$18,2,FALSE)</f>
        <v>#N/A</v>
      </c>
      <c r="K249" s="67"/>
      <c r="L249" s="49"/>
      <c r="M249" s="49" t="e">
        <f>VLOOKUP(L249,Sheet2!$B$10:$C$18,2,FALSE)</f>
        <v>#N/A</v>
      </c>
      <c r="N249" s="67"/>
      <c r="O249" s="49"/>
      <c r="P249" s="49" t="e">
        <f>VLOOKUP(O249,Sheet2!$B$10:$C$18,2,FALSE)</f>
        <v>#N/A</v>
      </c>
      <c r="Q249" s="67"/>
      <c r="R249" s="49"/>
      <c r="S249" s="49" t="e">
        <f>VLOOKUP(R249,Sheet2!$B$10:$C$18,2,FALSE)</f>
        <v>#N/A</v>
      </c>
      <c r="T249" s="67"/>
      <c r="U249" s="67">
        <f t="shared" si="12"/>
        <v>0</v>
      </c>
      <c r="V249" s="67"/>
      <c r="W249" s="67"/>
      <c r="X249" s="67"/>
      <c r="Y249" s="66"/>
      <c r="Z249" s="66"/>
      <c r="AA249" s="66"/>
      <c r="AB249" s="66"/>
      <c r="AC249" s="66"/>
      <c r="AD249" s="42" t="str">
        <f t="shared" si="15"/>
        <v>ทันกำหนด</v>
      </c>
      <c r="AE249" s="43"/>
      <c r="AF249" s="43"/>
      <c r="AG249" s="43"/>
      <c r="AH249" s="44"/>
    </row>
    <row r="250" spans="1:34" ht="27.75" customHeight="1">
      <c r="A250" s="41">
        <v>247</v>
      </c>
      <c r="B250" s="66"/>
      <c r="C250" s="48"/>
      <c r="D250" s="48"/>
      <c r="E250" s="49"/>
      <c r="F250" s="49"/>
      <c r="G250" s="49">
        <f t="shared" si="13"/>
        <v>0</v>
      </c>
      <c r="H250" s="49" t="str">
        <f t="shared" si="14"/>
        <v>ครบ</v>
      </c>
      <c r="I250" s="49"/>
      <c r="J250" s="49" t="e">
        <f>VLOOKUP(I250,Sheet2!$B$10:$C$18,2,FALSE)</f>
        <v>#N/A</v>
      </c>
      <c r="K250" s="67"/>
      <c r="L250" s="49"/>
      <c r="M250" s="49" t="e">
        <f>VLOOKUP(L250,Sheet2!$B$10:$C$18,2,FALSE)</f>
        <v>#N/A</v>
      </c>
      <c r="N250" s="67"/>
      <c r="O250" s="49"/>
      <c r="P250" s="49" t="e">
        <f>VLOOKUP(O250,Sheet2!$B$10:$C$18,2,FALSE)</f>
        <v>#N/A</v>
      </c>
      <c r="Q250" s="67"/>
      <c r="R250" s="49"/>
      <c r="S250" s="49" t="e">
        <f>VLOOKUP(R250,Sheet2!$B$10:$C$18,2,FALSE)</f>
        <v>#N/A</v>
      </c>
      <c r="T250" s="67"/>
      <c r="U250" s="67">
        <f t="shared" si="12"/>
        <v>0</v>
      </c>
      <c r="V250" s="67"/>
      <c r="W250" s="67"/>
      <c r="X250" s="67"/>
      <c r="Y250" s="66"/>
      <c r="Z250" s="66"/>
      <c r="AA250" s="66"/>
      <c r="AB250" s="66"/>
      <c r="AC250" s="66"/>
      <c r="AD250" s="42" t="str">
        <f t="shared" si="15"/>
        <v>ทันกำหนด</v>
      </c>
      <c r="AE250" s="43"/>
      <c r="AF250" s="43"/>
      <c r="AG250" s="43"/>
      <c r="AH250" s="44"/>
    </row>
    <row r="251" spans="1:34" ht="27.75" customHeight="1">
      <c r="A251" s="41">
        <v>248</v>
      </c>
      <c r="B251" s="66"/>
      <c r="C251" s="48"/>
      <c r="D251" s="48"/>
      <c r="E251" s="49"/>
      <c r="F251" s="49"/>
      <c r="G251" s="49">
        <f t="shared" si="13"/>
        <v>0</v>
      </c>
      <c r="H251" s="49" t="str">
        <f t="shared" si="14"/>
        <v>ครบ</v>
      </c>
      <c r="I251" s="49"/>
      <c r="J251" s="49" t="e">
        <f>VLOOKUP(I251,Sheet2!$B$10:$C$18,2,FALSE)</f>
        <v>#N/A</v>
      </c>
      <c r="K251" s="67"/>
      <c r="L251" s="49"/>
      <c r="M251" s="49" t="e">
        <f>VLOOKUP(L251,Sheet2!$B$10:$C$18,2,FALSE)</f>
        <v>#N/A</v>
      </c>
      <c r="N251" s="67"/>
      <c r="O251" s="49"/>
      <c r="P251" s="49" t="e">
        <f>VLOOKUP(O251,Sheet2!$B$10:$C$18,2,FALSE)</f>
        <v>#N/A</v>
      </c>
      <c r="Q251" s="67"/>
      <c r="R251" s="49"/>
      <c r="S251" s="49" t="e">
        <f>VLOOKUP(R251,Sheet2!$B$10:$C$18,2,FALSE)</f>
        <v>#N/A</v>
      </c>
      <c r="T251" s="67"/>
      <c r="U251" s="67">
        <f t="shared" si="12"/>
        <v>0</v>
      </c>
      <c r="V251" s="67"/>
      <c r="W251" s="67"/>
      <c r="X251" s="67"/>
      <c r="Y251" s="66"/>
      <c r="Z251" s="66"/>
      <c r="AA251" s="66"/>
      <c r="AB251" s="66"/>
      <c r="AC251" s="66"/>
      <c r="AD251" s="42" t="str">
        <f t="shared" si="15"/>
        <v>ทันกำหนด</v>
      </c>
      <c r="AE251" s="43"/>
      <c r="AF251" s="43"/>
      <c r="AG251" s="43"/>
      <c r="AH251" s="44"/>
    </row>
    <row r="252" spans="1:34" ht="27.75" customHeight="1">
      <c r="A252" s="41">
        <v>249</v>
      </c>
      <c r="B252" s="66"/>
      <c r="C252" s="48"/>
      <c r="D252" s="48"/>
      <c r="E252" s="49"/>
      <c r="F252" s="49"/>
      <c r="G252" s="49">
        <f t="shared" si="13"/>
        <v>0</v>
      </c>
      <c r="H252" s="49" t="str">
        <f t="shared" si="14"/>
        <v>ครบ</v>
      </c>
      <c r="I252" s="49"/>
      <c r="J252" s="49" t="e">
        <f>VLOOKUP(I252,Sheet2!$B$10:$C$18,2,FALSE)</f>
        <v>#N/A</v>
      </c>
      <c r="K252" s="67"/>
      <c r="L252" s="49"/>
      <c r="M252" s="49" t="e">
        <f>VLOOKUP(L252,Sheet2!$B$10:$C$18,2,FALSE)</f>
        <v>#N/A</v>
      </c>
      <c r="N252" s="67"/>
      <c r="O252" s="49"/>
      <c r="P252" s="49" t="e">
        <f>VLOOKUP(O252,Sheet2!$B$10:$C$18,2,FALSE)</f>
        <v>#N/A</v>
      </c>
      <c r="Q252" s="67"/>
      <c r="R252" s="49"/>
      <c r="S252" s="49" t="e">
        <f>VLOOKUP(R252,Sheet2!$B$10:$C$18,2,FALSE)</f>
        <v>#N/A</v>
      </c>
      <c r="T252" s="67"/>
      <c r="U252" s="67">
        <f t="shared" si="12"/>
        <v>0</v>
      </c>
      <c r="V252" s="67"/>
      <c r="W252" s="67"/>
      <c r="X252" s="67"/>
      <c r="Y252" s="66"/>
      <c r="Z252" s="66"/>
      <c r="AA252" s="66"/>
      <c r="AB252" s="66"/>
      <c r="AC252" s="66"/>
      <c r="AD252" s="42" t="str">
        <f t="shared" si="15"/>
        <v>ทันกำหนด</v>
      </c>
      <c r="AE252" s="43"/>
      <c r="AF252" s="43"/>
      <c r="AG252" s="43"/>
      <c r="AH252" s="44"/>
    </row>
    <row r="253" spans="1:34" ht="27.75" customHeight="1">
      <c r="A253" s="41">
        <v>250</v>
      </c>
      <c r="B253" s="66"/>
      <c r="C253" s="48"/>
      <c r="D253" s="48"/>
      <c r="E253" s="49"/>
      <c r="F253" s="49"/>
      <c r="G253" s="49">
        <f t="shared" si="13"/>
        <v>0</v>
      </c>
      <c r="H253" s="49" t="str">
        <f t="shared" si="14"/>
        <v>ครบ</v>
      </c>
      <c r="I253" s="49"/>
      <c r="J253" s="49" t="e">
        <f>VLOOKUP(I253,Sheet2!$B$10:$C$18,2,FALSE)</f>
        <v>#N/A</v>
      </c>
      <c r="K253" s="67"/>
      <c r="L253" s="49"/>
      <c r="M253" s="49" t="e">
        <f>VLOOKUP(L253,Sheet2!$B$10:$C$18,2,FALSE)</f>
        <v>#N/A</v>
      </c>
      <c r="N253" s="67"/>
      <c r="O253" s="49"/>
      <c r="P253" s="49" t="e">
        <f>VLOOKUP(O253,Sheet2!$B$10:$C$18,2,FALSE)</f>
        <v>#N/A</v>
      </c>
      <c r="Q253" s="67"/>
      <c r="R253" s="49"/>
      <c r="S253" s="49" t="e">
        <f>VLOOKUP(R253,Sheet2!$B$10:$C$18,2,FALSE)</f>
        <v>#N/A</v>
      </c>
      <c r="T253" s="67"/>
      <c r="U253" s="67">
        <f t="shared" si="12"/>
        <v>0</v>
      </c>
      <c r="V253" s="67"/>
      <c r="W253" s="67"/>
      <c r="X253" s="67"/>
      <c r="Y253" s="66"/>
      <c r="Z253" s="66"/>
      <c r="AA253" s="66"/>
      <c r="AB253" s="66"/>
      <c r="AC253" s="66"/>
      <c r="AD253" s="42" t="str">
        <f t="shared" si="15"/>
        <v>ทันกำหนด</v>
      </c>
      <c r="AE253" s="43"/>
      <c r="AF253" s="43"/>
      <c r="AG253" s="43"/>
      <c r="AH253" s="44"/>
    </row>
    <row r="254" spans="1:34" ht="27.75" customHeight="1">
      <c r="A254" s="41">
        <v>251</v>
      </c>
      <c r="B254" s="66"/>
      <c r="C254" s="48"/>
      <c r="D254" s="48"/>
      <c r="E254" s="49"/>
      <c r="F254" s="49"/>
      <c r="G254" s="49">
        <f t="shared" si="13"/>
        <v>0</v>
      </c>
      <c r="H254" s="49" t="str">
        <f t="shared" si="14"/>
        <v>ครบ</v>
      </c>
      <c r="I254" s="49"/>
      <c r="J254" s="49" t="e">
        <f>VLOOKUP(I254,Sheet2!$B$10:$C$18,2,FALSE)</f>
        <v>#N/A</v>
      </c>
      <c r="K254" s="67"/>
      <c r="L254" s="49"/>
      <c r="M254" s="49" t="e">
        <f>VLOOKUP(L254,Sheet2!$B$10:$C$18,2,FALSE)</f>
        <v>#N/A</v>
      </c>
      <c r="N254" s="67"/>
      <c r="O254" s="49"/>
      <c r="P254" s="49" t="e">
        <f>VLOOKUP(O254,Sheet2!$B$10:$C$18,2,FALSE)</f>
        <v>#N/A</v>
      </c>
      <c r="Q254" s="67"/>
      <c r="R254" s="49"/>
      <c r="S254" s="49" t="e">
        <f>VLOOKUP(R254,Sheet2!$B$10:$C$18,2,FALSE)</f>
        <v>#N/A</v>
      </c>
      <c r="T254" s="67"/>
      <c r="U254" s="67">
        <f t="shared" si="12"/>
        <v>0</v>
      </c>
      <c r="V254" s="67"/>
      <c r="W254" s="67"/>
      <c r="X254" s="67"/>
      <c r="Y254" s="66"/>
      <c r="Z254" s="66"/>
      <c r="AA254" s="66"/>
      <c r="AB254" s="66"/>
      <c r="AC254" s="66"/>
      <c r="AD254" s="42" t="str">
        <f t="shared" si="15"/>
        <v>ทันกำหนด</v>
      </c>
      <c r="AE254" s="43"/>
      <c r="AF254" s="43"/>
      <c r="AG254" s="43"/>
      <c r="AH254" s="44"/>
    </row>
    <row r="255" spans="1:34" ht="27.75" customHeight="1">
      <c r="A255" s="41">
        <v>252</v>
      </c>
      <c r="B255" s="66"/>
      <c r="C255" s="48"/>
      <c r="D255" s="48"/>
      <c r="E255" s="49"/>
      <c r="F255" s="49"/>
      <c r="G255" s="49">
        <f t="shared" si="13"/>
        <v>0</v>
      </c>
      <c r="H255" s="49" t="str">
        <f t="shared" si="14"/>
        <v>ครบ</v>
      </c>
      <c r="I255" s="49"/>
      <c r="J255" s="49" t="e">
        <f>VLOOKUP(I255,Sheet2!$B$10:$C$18,2,FALSE)</f>
        <v>#N/A</v>
      </c>
      <c r="K255" s="67"/>
      <c r="L255" s="49"/>
      <c r="M255" s="49" t="e">
        <f>VLOOKUP(L255,Sheet2!$B$10:$C$18,2,FALSE)</f>
        <v>#N/A</v>
      </c>
      <c r="N255" s="67"/>
      <c r="O255" s="49"/>
      <c r="P255" s="49" t="e">
        <f>VLOOKUP(O255,Sheet2!$B$10:$C$18,2,FALSE)</f>
        <v>#N/A</v>
      </c>
      <c r="Q255" s="67"/>
      <c r="R255" s="49"/>
      <c r="S255" s="49" t="e">
        <f>VLOOKUP(R255,Sheet2!$B$10:$C$18,2,FALSE)</f>
        <v>#N/A</v>
      </c>
      <c r="T255" s="67"/>
      <c r="U255" s="67">
        <f t="shared" si="12"/>
        <v>0</v>
      </c>
      <c r="V255" s="67"/>
      <c r="W255" s="67"/>
      <c r="X255" s="67"/>
      <c r="Y255" s="66"/>
      <c r="Z255" s="66"/>
      <c r="AA255" s="66"/>
      <c r="AB255" s="66"/>
      <c r="AC255" s="66"/>
      <c r="AD255" s="42" t="str">
        <f t="shared" si="15"/>
        <v>ทันกำหนด</v>
      </c>
      <c r="AE255" s="43"/>
      <c r="AF255" s="43"/>
      <c r="AG255" s="43"/>
      <c r="AH255" s="69"/>
    </row>
    <row r="256" spans="1:34" ht="27.75" customHeight="1">
      <c r="A256" s="41">
        <v>253</v>
      </c>
      <c r="B256" s="66"/>
      <c r="C256" s="48"/>
      <c r="D256" s="48"/>
      <c r="E256" s="49"/>
      <c r="F256" s="49"/>
      <c r="G256" s="49">
        <f t="shared" si="13"/>
        <v>0</v>
      </c>
      <c r="H256" s="49" t="str">
        <f>IF($G256=0,"ครบ","ไม่ครบ")</f>
        <v>ครบ</v>
      </c>
      <c r="I256" s="49"/>
      <c r="J256" s="49" t="e">
        <f>VLOOKUP(I256,Sheet2!$B$10:$C$18,2,FALSE)</f>
        <v>#N/A</v>
      </c>
      <c r="K256" s="67"/>
      <c r="L256" s="49"/>
      <c r="M256" s="49" t="e">
        <f>VLOOKUP(L256,Sheet2!$B$10:$C$18,2,FALSE)</f>
        <v>#N/A</v>
      </c>
      <c r="N256" s="67"/>
      <c r="O256" s="49"/>
      <c r="P256" s="49" t="e">
        <f>VLOOKUP(O256,Sheet2!$B$10:$C$18,2,FALSE)</f>
        <v>#N/A</v>
      </c>
      <c r="Q256" s="67"/>
      <c r="R256" s="49"/>
      <c r="S256" s="49" t="e">
        <f>VLOOKUP(R256,Sheet2!$B$10:$C$18,2,FALSE)</f>
        <v>#N/A</v>
      </c>
      <c r="T256" s="67"/>
      <c r="U256" s="67">
        <f t="shared" si="12"/>
        <v>0</v>
      </c>
      <c r="V256" s="67"/>
      <c r="W256" s="67"/>
      <c r="X256" s="67"/>
      <c r="Y256" s="66"/>
      <c r="Z256" s="66"/>
      <c r="AA256" s="66"/>
      <c r="AB256" s="66"/>
      <c r="AC256" s="66"/>
      <c r="AD256" s="42" t="str">
        <f>IF($AA256&gt;$Z256,"เกินกำหนด","ทันกำหนด")</f>
        <v>ทันกำหนด</v>
      </c>
      <c r="AE256" s="43"/>
      <c r="AF256" s="43"/>
      <c r="AG256" s="43"/>
      <c r="AH256" s="44"/>
    </row>
    <row r="257" spans="1:34" ht="27.75" customHeight="1">
      <c r="A257" s="41">
        <v>254</v>
      </c>
      <c r="B257" s="66"/>
      <c r="C257" s="48"/>
      <c r="D257" s="48"/>
      <c r="E257" s="49"/>
      <c r="F257" s="49"/>
      <c r="G257" s="49">
        <f t="shared" si="13"/>
        <v>0</v>
      </c>
      <c r="H257" s="49" t="str">
        <f t="shared" si="14"/>
        <v>ครบ</v>
      </c>
      <c r="I257" s="49"/>
      <c r="J257" s="49" t="e">
        <f>VLOOKUP(I257,Sheet2!$B$10:$C$18,2,FALSE)</f>
        <v>#N/A</v>
      </c>
      <c r="K257" s="67"/>
      <c r="L257" s="49"/>
      <c r="M257" s="49" t="e">
        <f>VLOOKUP(L257,Sheet2!$B$10:$C$18,2,FALSE)</f>
        <v>#N/A</v>
      </c>
      <c r="N257" s="67"/>
      <c r="O257" s="49"/>
      <c r="P257" s="49" t="e">
        <f>VLOOKUP(O257,Sheet2!$B$10:$C$18,2,FALSE)</f>
        <v>#N/A</v>
      </c>
      <c r="Q257" s="67"/>
      <c r="R257" s="49"/>
      <c r="S257" s="49" t="e">
        <f>VLOOKUP(R257,Sheet2!$B$10:$C$18,2,FALSE)</f>
        <v>#N/A</v>
      </c>
      <c r="T257" s="67"/>
      <c r="U257" s="67">
        <f t="shared" si="12"/>
        <v>0</v>
      </c>
      <c r="V257" s="67"/>
      <c r="W257" s="67"/>
      <c r="X257" s="67"/>
      <c r="Y257" s="66"/>
      <c r="Z257" s="66"/>
      <c r="AA257" s="66"/>
      <c r="AB257" s="66"/>
      <c r="AC257" s="66"/>
      <c r="AD257" s="42" t="str">
        <f t="shared" si="15"/>
        <v>ทันกำหนด</v>
      </c>
      <c r="AE257" s="43"/>
      <c r="AF257" s="43"/>
      <c r="AG257" s="43"/>
      <c r="AH257" s="44"/>
    </row>
    <row r="258" spans="1:34" ht="27.75" customHeight="1">
      <c r="A258" s="41">
        <v>255</v>
      </c>
      <c r="B258" s="66"/>
      <c r="C258" s="48"/>
      <c r="D258" s="48"/>
      <c r="E258" s="49"/>
      <c r="F258" s="49"/>
      <c r="G258" s="49">
        <f t="shared" si="13"/>
        <v>0</v>
      </c>
      <c r="H258" s="49" t="str">
        <f t="shared" si="14"/>
        <v>ครบ</v>
      </c>
      <c r="I258" s="49"/>
      <c r="J258" s="49" t="e">
        <f>VLOOKUP(I258,Sheet2!$B$10:$C$18,2,FALSE)</f>
        <v>#N/A</v>
      </c>
      <c r="K258" s="67"/>
      <c r="L258" s="49"/>
      <c r="M258" s="49" t="e">
        <f>VLOOKUP(L258,Sheet2!$B$10:$C$18,2,FALSE)</f>
        <v>#N/A</v>
      </c>
      <c r="N258" s="67"/>
      <c r="O258" s="49"/>
      <c r="P258" s="49" t="e">
        <f>VLOOKUP(O258,Sheet2!$B$10:$C$18,2,FALSE)</f>
        <v>#N/A</v>
      </c>
      <c r="Q258" s="67"/>
      <c r="R258" s="49"/>
      <c r="S258" s="49" t="e">
        <f>VLOOKUP(R258,Sheet2!$B$10:$C$18,2,FALSE)</f>
        <v>#N/A</v>
      </c>
      <c r="T258" s="67"/>
      <c r="U258" s="67">
        <f t="shared" si="12"/>
        <v>0</v>
      </c>
      <c r="V258" s="67"/>
      <c r="W258" s="67"/>
      <c r="X258" s="67"/>
      <c r="Y258" s="66"/>
      <c r="Z258" s="66"/>
      <c r="AA258" s="66"/>
      <c r="AB258" s="66"/>
      <c r="AC258" s="66"/>
      <c r="AD258" s="42" t="str">
        <f t="shared" si="15"/>
        <v>ทันกำหนด</v>
      </c>
      <c r="AE258" s="43"/>
      <c r="AF258" s="43"/>
      <c r="AG258" s="43"/>
      <c r="AH258" s="44"/>
    </row>
    <row r="259" spans="1:34" ht="27.75" customHeight="1">
      <c r="A259" s="41">
        <v>256</v>
      </c>
      <c r="B259" s="66"/>
      <c r="C259" s="48"/>
      <c r="D259" s="48"/>
      <c r="E259" s="49"/>
      <c r="F259" s="49"/>
      <c r="G259" s="49">
        <f t="shared" si="13"/>
        <v>0</v>
      </c>
      <c r="H259" s="49" t="str">
        <f t="shared" si="14"/>
        <v>ครบ</v>
      </c>
      <c r="I259" s="49"/>
      <c r="J259" s="49" t="e">
        <f>VLOOKUP(I259,Sheet2!$B$10:$C$18,2,FALSE)</f>
        <v>#N/A</v>
      </c>
      <c r="K259" s="67"/>
      <c r="L259" s="49"/>
      <c r="M259" s="49" t="e">
        <f>VLOOKUP(L259,Sheet2!$B$10:$C$18,2,FALSE)</f>
        <v>#N/A</v>
      </c>
      <c r="N259" s="67"/>
      <c r="O259" s="49"/>
      <c r="P259" s="49" t="e">
        <f>VLOOKUP(O259,Sheet2!$B$10:$C$18,2,FALSE)</f>
        <v>#N/A</v>
      </c>
      <c r="Q259" s="67"/>
      <c r="R259" s="49"/>
      <c r="S259" s="49" t="e">
        <f>VLOOKUP(R259,Sheet2!$B$10:$C$18,2,FALSE)</f>
        <v>#N/A</v>
      </c>
      <c r="T259" s="67"/>
      <c r="U259" s="67">
        <f t="shared" si="12"/>
        <v>0</v>
      </c>
      <c r="V259" s="67"/>
      <c r="W259" s="67"/>
      <c r="X259" s="67"/>
      <c r="Y259" s="66"/>
      <c r="Z259" s="66"/>
      <c r="AA259" s="66"/>
      <c r="AB259" s="66"/>
      <c r="AC259" s="66"/>
      <c r="AD259" s="42" t="str">
        <f t="shared" si="15"/>
        <v>ทันกำหนด</v>
      </c>
      <c r="AE259" s="43"/>
      <c r="AF259" s="43"/>
      <c r="AG259" s="43"/>
      <c r="AH259" s="44"/>
    </row>
    <row r="260" spans="1:34" ht="27.75" customHeight="1">
      <c r="A260" s="41">
        <v>257</v>
      </c>
      <c r="B260" s="66"/>
      <c r="C260" s="48"/>
      <c r="D260" s="48"/>
      <c r="E260" s="49"/>
      <c r="F260" s="49"/>
      <c r="G260" s="49">
        <f t="shared" si="13"/>
        <v>0</v>
      </c>
      <c r="H260" s="49" t="str">
        <f t="shared" si="14"/>
        <v>ครบ</v>
      </c>
      <c r="I260" s="49"/>
      <c r="J260" s="49" t="e">
        <f>VLOOKUP(I260,Sheet2!$B$10:$C$18,2,FALSE)</f>
        <v>#N/A</v>
      </c>
      <c r="K260" s="67"/>
      <c r="L260" s="49"/>
      <c r="M260" s="49" t="e">
        <f>VLOOKUP(L260,Sheet2!$B$10:$C$18,2,FALSE)</f>
        <v>#N/A</v>
      </c>
      <c r="N260" s="67"/>
      <c r="O260" s="49"/>
      <c r="P260" s="49" t="e">
        <f>VLOOKUP(O260,Sheet2!$B$10:$C$18,2,FALSE)</f>
        <v>#N/A</v>
      </c>
      <c r="Q260" s="67"/>
      <c r="R260" s="49"/>
      <c r="S260" s="49" t="e">
        <f>VLOOKUP(R260,Sheet2!$B$10:$C$18,2,FALSE)</f>
        <v>#N/A</v>
      </c>
      <c r="T260" s="67"/>
      <c r="U260" s="67">
        <f t="shared" si="12"/>
        <v>0</v>
      </c>
      <c r="V260" s="67"/>
      <c r="W260" s="67"/>
      <c r="X260" s="67"/>
      <c r="Y260" s="66"/>
      <c r="Z260" s="66"/>
      <c r="AA260" s="66"/>
      <c r="AB260" s="66"/>
      <c r="AC260" s="66"/>
      <c r="AD260" s="42" t="str">
        <f t="shared" si="15"/>
        <v>ทันกำหนด</v>
      </c>
      <c r="AE260" s="43"/>
      <c r="AF260" s="43"/>
      <c r="AG260" s="43"/>
      <c r="AH260" s="44"/>
    </row>
    <row r="261" spans="1:34" ht="27.75" customHeight="1">
      <c r="A261" s="41">
        <v>258</v>
      </c>
      <c r="B261" s="66"/>
      <c r="C261" s="48"/>
      <c r="D261" s="48"/>
      <c r="E261" s="49"/>
      <c r="F261" s="49"/>
      <c r="G261" s="49">
        <f t="shared" si="13"/>
        <v>0</v>
      </c>
      <c r="H261" s="49" t="str">
        <f t="shared" si="14"/>
        <v>ครบ</v>
      </c>
      <c r="I261" s="49"/>
      <c r="J261" s="49" t="e">
        <f>VLOOKUP(I261,Sheet2!$B$10:$C$18,2,FALSE)</f>
        <v>#N/A</v>
      </c>
      <c r="K261" s="67"/>
      <c r="L261" s="49"/>
      <c r="M261" s="49" t="e">
        <f>VLOOKUP(L261,Sheet2!$B$10:$C$18,2,FALSE)</f>
        <v>#N/A</v>
      </c>
      <c r="N261" s="67"/>
      <c r="O261" s="49"/>
      <c r="P261" s="49" t="e">
        <f>VLOOKUP(O261,Sheet2!$B$10:$C$18,2,FALSE)</f>
        <v>#N/A</v>
      </c>
      <c r="Q261" s="67"/>
      <c r="R261" s="49"/>
      <c r="S261" s="49" t="e">
        <f>VLOOKUP(R261,Sheet2!$B$10:$C$18,2,FALSE)</f>
        <v>#N/A</v>
      </c>
      <c r="T261" s="67"/>
      <c r="U261" s="67">
        <f t="shared" ref="U261:U324" si="16">$K261+$N261+$Q261+$T261</f>
        <v>0</v>
      </c>
      <c r="V261" s="67"/>
      <c r="W261" s="67"/>
      <c r="X261" s="67"/>
      <c r="Y261" s="66"/>
      <c r="Z261" s="66"/>
      <c r="AA261" s="66"/>
      <c r="AB261" s="66"/>
      <c r="AC261" s="66"/>
      <c r="AD261" s="42" t="str">
        <f t="shared" si="15"/>
        <v>ทันกำหนด</v>
      </c>
      <c r="AE261" s="43"/>
      <c r="AF261" s="43"/>
      <c r="AG261" s="43"/>
      <c r="AH261" s="44"/>
    </row>
    <row r="262" spans="1:34" ht="27.75" customHeight="1">
      <c r="A262" s="41">
        <v>259</v>
      </c>
      <c r="B262" s="66"/>
      <c r="C262" s="48"/>
      <c r="D262" s="48"/>
      <c r="E262" s="49"/>
      <c r="F262" s="49"/>
      <c r="G262" s="49">
        <f t="shared" ref="G262:G325" si="17">$E262-$F262</f>
        <v>0</v>
      </c>
      <c r="H262" s="49" t="str">
        <f t="shared" si="14"/>
        <v>ครบ</v>
      </c>
      <c r="I262" s="49"/>
      <c r="J262" s="49" t="e">
        <f>VLOOKUP(I262,Sheet2!$B$10:$C$18,2,FALSE)</f>
        <v>#N/A</v>
      </c>
      <c r="K262" s="67"/>
      <c r="L262" s="49"/>
      <c r="M262" s="49" t="e">
        <f>VLOOKUP(L262,Sheet2!$B$10:$C$18,2,FALSE)</f>
        <v>#N/A</v>
      </c>
      <c r="N262" s="67"/>
      <c r="O262" s="49"/>
      <c r="P262" s="49" t="e">
        <f>VLOOKUP(O262,Sheet2!$B$10:$C$18,2,FALSE)</f>
        <v>#N/A</v>
      </c>
      <c r="Q262" s="67"/>
      <c r="R262" s="49"/>
      <c r="S262" s="49" t="e">
        <f>VLOOKUP(R262,Sheet2!$B$10:$C$18,2,FALSE)</f>
        <v>#N/A</v>
      </c>
      <c r="T262" s="67"/>
      <c r="U262" s="67">
        <f t="shared" si="16"/>
        <v>0</v>
      </c>
      <c r="V262" s="67"/>
      <c r="W262" s="67"/>
      <c r="X262" s="67"/>
      <c r="Y262" s="66"/>
      <c r="Z262" s="66"/>
      <c r="AA262" s="66"/>
      <c r="AB262" s="66"/>
      <c r="AC262" s="66"/>
      <c r="AD262" s="42" t="str">
        <f t="shared" si="15"/>
        <v>ทันกำหนด</v>
      </c>
      <c r="AE262" s="43"/>
      <c r="AF262" s="43"/>
      <c r="AG262" s="43"/>
      <c r="AH262" s="69"/>
    </row>
    <row r="263" spans="1:34" ht="27.75" customHeight="1">
      <c r="A263" s="41">
        <v>260</v>
      </c>
      <c r="B263" s="66"/>
      <c r="C263" s="48"/>
      <c r="D263" s="48"/>
      <c r="E263" s="49"/>
      <c r="F263" s="49"/>
      <c r="G263" s="49">
        <f t="shared" si="17"/>
        <v>0</v>
      </c>
      <c r="H263" s="49" t="str">
        <f t="shared" si="14"/>
        <v>ครบ</v>
      </c>
      <c r="I263" s="49"/>
      <c r="J263" s="49" t="e">
        <f>VLOOKUP(I263,Sheet2!$B$10:$C$18,2,FALSE)</f>
        <v>#N/A</v>
      </c>
      <c r="K263" s="67"/>
      <c r="L263" s="49"/>
      <c r="M263" s="49" t="e">
        <f>VLOOKUP(L263,Sheet2!$B$10:$C$18,2,FALSE)</f>
        <v>#N/A</v>
      </c>
      <c r="N263" s="67"/>
      <c r="O263" s="49"/>
      <c r="P263" s="49" t="e">
        <f>VLOOKUP(O263,Sheet2!$B$10:$C$18,2,FALSE)</f>
        <v>#N/A</v>
      </c>
      <c r="Q263" s="67"/>
      <c r="R263" s="49"/>
      <c r="S263" s="49" t="e">
        <f>VLOOKUP(R263,Sheet2!$B$10:$C$18,2,FALSE)</f>
        <v>#N/A</v>
      </c>
      <c r="T263" s="67"/>
      <c r="U263" s="67">
        <f t="shared" si="16"/>
        <v>0</v>
      </c>
      <c r="V263" s="67"/>
      <c r="W263" s="67"/>
      <c r="X263" s="67"/>
      <c r="Y263" s="66"/>
      <c r="Z263" s="66"/>
      <c r="AA263" s="66"/>
      <c r="AB263" s="66"/>
      <c r="AC263" s="66"/>
      <c r="AD263" s="42" t="str">
        <f t="shared" si="15"/>
        <v>ทันกำหนด</v>
      </c>
      <c r="AE263" s="43"/>
      <c r="AF263" s="43"/>
      <c r="AG263" s="43"/>
      <c r="AH263" s="44"/>
    </row>
    <row r="264" spans="1:34" ht="27.75" customHeight="1">
      <c r="A264" s="41">
        <v>261</v>
      </c>
      <c r="B264" s="66"/>
      <c r="C264" s="48"/>
      <c r="D264" s="48"/>
      <c r="E264" s="49"/>
      <c r="F264" s="49"/>
      <c r="G264" s="49">
        <f t="shared" si="17"/>
        <v>0</v>
      </c>
      <c r="H264" s="49" t="str">
        <f t="shared" ref="H264:H327" si="18">IF($G264=0,"ครบ","ไม่ครบ")</f>
        <v>ครบ</v>
      </c>
      <c r="I264" s="49"/>
      <c r="J264" s="49" t="e">
        <f>VLOOKUP(I264,Sheet2!$B$10:$C$18,2,FALSE)</f>
        <v>#N/A</v>
      </c>
      <c r="K264" s="67"/>
      <c r="L264" s="49"/>
      <c r="M264" s="49" t="e">
        <f>VLOOKUP(L264,Sheet2!$B$10:$C$18,2,FALSE)</f>
        <v>#N/A</v>
      </c>
      <c r="N264" s="67"/>
      <c r="O264" s="49"/>
      <c r="P264" s="49" t="e">
        <f>VLOOKUP(O264,Sheet2!$B$10:$C$18,2,FALSE)</f>
        <v>#N/A</v>
      </c>
      <c r="Q264" s="67"/>
      <c r="R264" s="49"/>
      <c r="S264" s="49" t="e">
        <f>VLOOKUP(R264,Sheet2!$B$10:$C$18,2,FALSE)</f>
        <v>#N/A</v>
      </c>
      <c r="T264" s="67"/>
      <c r="U264" s="67">
        <f t="shared" si="16"/>
        <v>0</v>
      </c>
      <c r="V264" s="67"/>
      <c r="W264" s="67"/>
      <c r="X264" s="67"/>
      <c r="Y264" s="66"/>
      <c r="Z264" s="66"/>
      <c r="AA264" s="66"/>
      <c r="AB264" s="66"/>
      <c r="AC264" s="66"/>
      <c r="AD264" s="42" t="str">
        <f t="shared" si="15"/>
        <v>ทันกำหนด</v>
      </c>
      <c r="AE264" s="43"/>
      <c r="AF264" s="43"/>
      <c r="AG264" s="43"/>
      <c r="AH264" s="44"/>
    </row>
    <row r="265" spans="1:34" ht="27.75" customHeight="1">
      <c r="A265" s="41">
        <v>262</v>
      </c>
      <c r="B265" s="66"/>
      <c r="C265" s="48"/>
      <c r="D265" s="48"/>
      <c r="E265" s="49"/>
      <c r="F265" s="49"/>
      <c r="G265" s="49">
        <f t="shared" si="17"/>
        <v>0</v>
      </c>
      <c r="H265" s="49" t="str">
        <f t="shared" si="18"/>
        <v>ครบ</v>
      </c>
      <c r="I265" s="49"/>
      <c r="J265" s="49" t="e">
        <f>VLOOKUP(I265,Sheet2!$B$10:$C$18,2,FALSE)</f>
        <v>#N/A</v>
      </c>
      <c r="K265" s="67"/>
      <c r="L265" s="49"/>
      <c r="M265" s="49" t="e">
        <f>VLOOKUP(L265,Sheet2!$B$10:$C$18,2,FALSE)</f>
        <v>#N/A</v>
      </c>
      <c r="N265" s="67"/>
      <c r="O265" s="49"/>
      <c r="P265" s="49" t="e">
        <f>VLOOKUP(O265,Sheet2!$B$10:$C$18,2,FALSE)</f>
        <v>#N/A</v>
      </c>
      <c r="Q265" s="67"/>
      <c r="R265" s="49"/>
      <c r="S265" s="49" t="e">
        <f>VLOOKUP(R265,Sheet2!$B$10:$C$18,2,FALSE)</f>
        <v>#N/A</v>
      </c>
      <c r="T265" s="67"/>
      <c r="U265" s="67">
        <f t="shared" si="16"/>
        <v>0</v>
      </c>
      <c r="V265" s="67"/>
      <c r="W265" s="67"/>
      <c r="X265" s="67"/>
      <c r="Y265" s="66"/>
      <c r="Z265" s="66"/>
      <c r="AA265" s="66"/>
      <c r="AB265" s="66"/>
      <c r="AC265" s="66"/>
      <c r="AD265" s="42" t="str">
        <f t="shared" si="15"/>
        <v>ทันกำหนด</v>
      </c>
      <c r="AE265" s="43"/>
      <c r="AF265" s="43"/>
      <c r="AG265" s="43"/>
      <c r="AH265" s="44"/>
    </row>
    <row r="266" spans="1:34" ht="27.75" customHeight="1">
      <c r="A266" s="41">
        <v>263</v>
      </c>
      <c r="B266" s="66"/>
      <c r="C266" s="48"/>
      <c r="D266" s="48"/>
      <c r="E266" s="49"/>
      <c r="F266" s="49"/>
      <c r="G266" s="49">
        <f t="shared" si="17"/>
        <v>0</v>
      </c>
      <c r="H266" s="49" t="str">
        <f t="shared" si="18"/>
        <v>ครบ</v>
      </c>
      <c r="I266" s="49"/>
      <c r="J266" s="49" t="e">
        <f>VLOOKUP(I266,Sheet2!$B$10:$C$18,2,FALSE)</f>
        <v>#N/A</v>
      </c>
      <c r="K266" s="67"/>
      <c r="L266" s="49"/>
      <c r="M266" s="49" t="e">
        <f>VLOOKUP(L266,Sheet2!$B$10:$C$18,2,FALSE)</f>
        <v>#N/A</v>
      </c>
      <c r="N266" s="67"/>
      <c r="O266" s="49"/>
      <c r="P266" s="49" t="e">
        <f>VLOOKUP(O266,Sheet2!$B$10:$C$18,2,FALSE)</f>
        <v>#N/A</v>
      </c>
      <c r="Q266" s="67"/>
      <c r="R266" s="49"/>
      <c r="S266" s="49" t="e">
        <f>VLOOKUP(R266,Sheet2!$B$10:$C$18,2,FALSE)</f>
        <v>#N/A</v>
      </c>
      <c r="T266" s="67"/>
      <c r="U266" s="67">
        <f t="shared" si="16"/>
        <v>0</v>
      </c>
      <c r="V266" s="67"/>
      <c r="W266" s="67"/>
      <c r="X266" s="67"/>
      <c r="Y266" s="66"/>
      <c r="Z266" s="66"/>
      <c r="AA266" s="66"/>
      <c r="AB266" s="66"/>
      <c r="AC266" s="66"/>
      <c r="AD266" s="42" t="str">
        <f t="shared" ref="AD266:AD329" si="19">IF($AA266&gt;$Z266,"เกินกำหนด","ทันกำหนด")</f>
        <v>ทันกำหนด</v>
      </c>
      <c r="AE266" s="43"/>
      <c r="AF266" s="43"/>
      <c r="AG266" s="43"/>
      <c r="AH266" s="44"/>
    </row>
    <row r="267" spans="1:34" ht="27.75" customHeight="1">
      <c r="A267" s="41">
        <v>264</v>
      </c>
      <c r="B267" s="66"/>
      <c r="C267" s="48"/>
      <c r="D267" s="71"/>
      <c r="E267" s="49"/>
      <c r="F267" s="49"/>
      <c r="G267" s="49">
        <f t="shared" si="17"/>
        <v>0</v>
      </c>
      <c r="H267" s="49" t="str">
        <f t="shared" si="18"/>
        <v>ครบ</v>
      </c>
      <c r="I267" s="49"/>
      <c r="J267" s="49" t="e">
        <f>VLOOKUP(I267,Sheet2!$B$10:$C$18,2,FALSE)</f>
        <v>#N/A</v>
      </c>
      <c r="K267" s="67"/>
      <c r="L267" s="49"/>
      <c r="M267" s="49" t="e">
        <f>VLOOKUP(L267,Sheet2!$B$10:$C$18,2,FALSE)</f>
        <v>#N/A</v>
      </c>
      <c r="N267" s="67"/>
      <c r="O267" s="49"/>
      <c r="P267" s="49" t="e">
        <f>VLOOKUP(O267,Sheet2!$B$10:$C$18,2,FALSE)</f>
        <v>#N/A</v>
      </c>
      <c r="Q267" s="67"/>
      <c r="R267" s="49"/>
      <c r="S267" s="49" t="e">
        <f>VLOOKUP(R267,Sheet2!$B$10:$C$18,2,FALSE)</f>
        <v>#N/A</v>
      </c>
      <c r="T267" s="67"/>
      <c r="U267" s="67">
        <f t="shared" si="16"/>
        <v>0</v>
      </c>
      <c r="V267" s="67"/>
      <c r="W267" s="67"/>
      <c r="X267" s="67"/>
      <c r="Y267" s="66"/>
      <c r="Z267" s="66"/>
      <c r="AA267" s="66"/>
      <c r="AB267" s="66"/>
      <c r="AC267" s="66"/>
      <c r="AD267" s="42" t="str">
        <f t="shared" si="19"/>
        <v>ทันกำหนด</v>
      </c>
      <c r="AE267" s="43"/>
      <c r="AF267" s="43"/>
      <c r="AG267" s="43"/>
      <c r="AH267" s="44"/>
    </row>
    <row r="268" spans="1:34" ht="27.75" customHeight="1">
      <c r="A268" s="41">
        <v>265</v>
      </c>
      <c r="B268" s="66"/>
      <c r="C268" s="48"/>
      <c r="D268" s="71"/>
      <c r="E268" s="49"/>
      <c r="F268" s="49"/>
      <c r="G268" s="49">
        <f t="shared" si="17"/>
        <v>0</v>
      </c>
      <c r="H268" s="49" t="str">
        <f t="shared" si="18"/>
        <v>ครบ</v>
      </c>
      <c r="I268" s="49"/>
      <c r="J268" s="49" t="e">
        <f>VLOOKUP(I268,Sheet2!$B$10:$C$18,2,FALSE)</f>
        <v>#N/A</v>
      </c>
      <c r="K268" s="67"/>
      <c r="L268" s="49"/>
      <c r="M268" s="49" t="e">
        <f>VLOOKUP(L268,Sheet2!$B$10:$C$18,2,FALSE)</f>
        <v>#N/A</v>
      </c>
      <c r="N268" s="67"/>
      <c r="O268" s="49"/>
      <c r="P268" s="49" t="e">
        <f>VLOOKUP(O268,Sheet2!$B$10:$C$18,2,FALSE)</f>
        <v>#N/A</v>
      </c>
      <c r="Q268" s="67"/>
      <c r="R268" s="49"/>
      <c r="S268" s="49" t="e">
        <f>VLOOKUP(R268,Sheet2!$B$10:$C$18,2,FALSE)</f>
        <v>#N/A</v>
      </c>
      <c r="T268" s="67"/>
      <c r="U268" s="67">
        <f t="shared" si="16"/>
        <v>0</v>
      </c>
      <c r="V268" s="67"/>
      <c r="W268" s="67"/>
      <c r="X268" s="67"/>
      <c r="Y268" s="66"/>
      <c r="Z268" s="66"/>
      <c r="AA268" s="66"/>
      <c r="AB268" s="66"/>
      <c r="AC268" s="66"/>
      <c r="AD268" s="42" t="str">
        <f t="shared" si="19"/>
        <v>ทันกำหนด</v>
      </c>
      <c r="AE268" s="43"/>
      <c r="AF268" s="43"/>
      <c r="AG268" s="43"/>
      <c r="AH268" s="44"/>
    </row>
    <row r="269" spans="1:34" ht="27.75" customHeight="1">
      <c r="A269" s="41">
        <v>266</v>
      </c>
      <c r="B269" s="66"/>
      <c r="C269" s="48"/>
      <c r="D269" s="71"/>
      <c r="E269" s="49"/>
      <c r="F269" s="49"/>
      <c r="G269" s="49">
        <f t="shared" si="17"/>
        <v>0</v>
      </c>
      <c r="H269" s="49" t="str">
        <f t="shared" si="18"/>
        <v>ครบ</v>
      </c>
      <c r="I269" s="49"/>
      <c r="J269" s="49" t="e">
        <f>VLOOKUP(I269,Sheet2!$B$10:$C$18,2,FALSE)</f>
        <v>#N/A</v>
      </c>
      <c r="K269" s="67"/>
      <c r="L269" s="49"/>
      <c r="M269" s="49" t="e">
        <f>VLOOKUP(L269,Sheet2!$B$10:$C$18,2,FALSE)</f>
        <v>#N/A</v>
      </c>
      <c r="N269" s="67"/>
      <c r="O269" s="49"/>
      <c r="P269" s="49" t="e">
        <f>VLOOKUP(O269,Sheet2!$B$10:$C$18,2,FALSE)</f>
        <v>#N/A</v>
      </c>
      <c r="Q269" s="67"/>
      <c r="R269" s="49"/>
      <c r="S269" s="49" t="e">
        <f>VLOOKUP(R269,Sheet2!$B$10:$C$18,2,FALSE)</f>
        <v>#N/A</v>
      </c>
      <c r="T269" s="67"/>
      <c r="U269" s="67">
        <f t="shared" si="16"/>
        <v>0</v>
      </c>
      <c r="V269" s="67"/>
      <c r="W269" s="67"/>
      <c r="X269" s="67"/>
      <c r="Y269" s="66"/>
      <c r="Z269" s="66"/>
      <c r="AA269" s="66"/>
      <c r="AB269" s="66"/>
      <c r="AC269" s="66"/>
      <c r="AD269" s="42" t="str">
        <f t="shared" si="19"/>
        <v>ทันกำหนด</v>
      </c>
      <c r="AE269" s="43"/>
      <c r="AF269" s="43"/>
      <c r="AG269" s="43"/>
      <c r="AH269" s="44"/>
    </row>
    <row r="270" spans="1:34" ht="27.75" customHeight="1">
      <c r="A270" s="41">
        <v>267</v>
      </c>
      <c r="B270" s="66"/>
      <c r="C270" s="48"/>
      <c r="D270" s="71"/>
      <c r="E270" s="49"/>
      <c r="F270" s="49"/>
      <c r="G270" s="49">
        <f t="shared" si="17"/>
        <v>0</v>
      </c>
      <c r="H270" s="49" t="str">
        <f t="shared" si="18"/>
        <v>ครบ</v>
      </c>
      <c r="I270" s="49"/>
      <c r="J270" s="49" t="e">
        <f>VLOOKUP(I270,Sheet2!$B$10:$C$18,2,FALSE)</f>
        <v>#N/A</v>
      </c>
      <c r="K270" s="67"/>
      <c r="L270" s="49"/>
      <c r="M270" s="49" t="e">
        <f>VLOOKUP(L270,Sheet2!$B$10:$C$18,2,FALSE)</f>
        <v>#N/A</v>
      </c>
      <c r="N270" s="67"/>
      <c r="O270" s="49"/>
      <c r="P270" s="49" t="e">
        <f>VLOOKUP(O270,Sheet2!$B$10:$C$18,2,FALSE)</f>
        <v>#N/A</v>
      </c>
      <c r="Q270" s="67"/>
      <c r="R270" s="49"/>
      <c r="S270" s="49" t="e">
        <f>VLOOKUP(R270,Sheet2!$B$10:$C$18,2,FALSE)</f>
        <v>#N/A</v>
      </c>
      <c r="T270" s="67"/>
      <c r="U270" s="67">
        <f t="shared" si="16"/>
        <v>0</v>
      </c>
      <c r="V270" s="67"/>
      <c r="W270" s="67"/>
      <c r="X270" s="67"/>
      <c r="Y270" s="66"/>
      <c r="Z270" s="66"/>
      <c r="AA270" s="66"/>
      <c r="AB270" s="66"/>
      <c r="AC270" s="66"/>
      <c r="AD270" s="42" t="str">
        <f t="shared" si="19"/>
        <v>ทันกำหนด</v>
      </c>
      <c r="AE270" s="43"/>
      <c r="AF270" s="43"/>
      <c r="AG270" s="43"/>
      <c r="AH270" s="44"/>
    </row>
    <row r="271" spans="1:34" ht="27.75" customHeight="1">
      <c r="A271" s="41">
        <v>268</v>
      </c>
      <c r="B271" s="66"/>
      <c r="C271" s="48"/>
      <c r="D271" s="48"/>
      <c r="E271" s="49"/>
      <c r="F271" s="49"/>
      <c r="G271" s="49">
        <f t="shared" si="17"/>
        <v>0</v>
      </c>
      <c r="H271" s="49" t="str">
        <f t="shared" si="18"/>
        <v>ครบ</v>
      </c>
      <c r="I271" s="49"/>
      <c r="J271" s="49" t="e">
        <f>VLOOKUP(I271,Sheet2!$B$10:$C$18,2,FALSE)</f>
        <v>#N/A</v>
      </c>
      <c r="K271" s="67"/>
      <c r="L271" s="49"/>
      <c r="M271" s="49" t="e">
        <f>VLOOKUP(L271,Sheet2!$B$10:$C$18,2,FALSE)</f>
        <v>#N/A</v>
      </c>
      <c r="N271" s="67"/>
      <c r="O271" s="49"/>
      <c r="P271" s="49" t="e">
        <f>VLOOKUP(O271,Sheet2!$B$10:$C$18,2,FALSE)</f>
        <v>#N/A</v>
      </c>
      <c r="Q271" s="67"/>
      <c r="R271" s="49"/>
      <c r="S271" s="49" t="e">
        <f>VLOOKUP(R271,Sheet2!$B$10:$C$18,2,FALSE)</f>
        <v>#N/A</v>
      </c>
      <c r="T271" s="67"/>
      <c r="U271" s="67">
        <f t="shared" si="16"/>
        <v>0</v>
      </c>
      <c r="V271" s="67"/>
      <c r="W271" s="67"/>
      <c r="X271" s="67"/>
      <c r="Y271" s="66"/>
      <c r="Z271" s="66"/>
      <c r="AA271" s="66"/>
      <c r="AB271" s="66"/>
      <c r="AC271" s="66"/>
      <c r="AD271" s="42" t="str">
        <f t="shared" si="19"/>
        <v>ทันกำหนด</v>
      </c>
      <c r="AE271" s="43"/>
      <c r="AF271" s="43"/>
      <c r="AG271" s="43"/>
      <c r="AH271" s="44"/>
    </row>
    <row r="272" spans="1:34" ht="27.75" customHeight="1">
      <c r="A272" s="41">
        <v>269</v>
      </c>
      <c r="B272" s="66"/>
      <c r="C272" s="48"/>
      <c r="D272" s="48"/>
      <c r="E272" s="49"/>
      <c r="F272" s="49"/>
      <c r="G272" s="49">
        <f t="shared" si="17"/>
        <v>0</v>
      </c>
      <c r="H272" s="49" t="str">
        <f t="shared" si="18"/>
        <v>ครบ</v>
      </c>
      <c r="I272" s="49"/>
      <c r="J272" s="49" t="e">
        <f>VLOOKUP(I272,Sheet2!$B$10:$C$18,2,FALSE)</f>
        <v>#N/A</v>
      </c>
      <c r="K272" s="67"/>
      <c r="L272" s="49"/>
      <c r="M272" s="49" t="e">
        <f>VLOOKUP(L272,Sheet2!$B$10:$C$18,2,FALSE)</f>
        <v>#N/A</v>
      </c>
      <c r="N272" s="67"/>
      <c r="O272" s="49"/>
      <c r="P272" s="49" t="e">
        <f>VLOOKUP(O272,Sheet2!$B$10:$C$18,2,FALSE)</f>
        <v>#N/A</v>
      </c>
      <c r="Q272" s="67"/>
      <c r="R272" s="49"/>
      <c r="S272" s="49" t="e">
        <f>VLOOKUP(R272,Sheet2!$B$10:$C$18,2,FALSE)</f>
        <v>#N/A</v>
      </c>
      <c r="T272" s="67"/>
      <c r="U272" s="67">
        <f t="shared" si="16"/>
        <v>0</v>
      </c>
      <c r="V272" s="67"/>
      <c r="W272" s="67"/>
      <c r="X272" s="67"/>
      <c r="Y272" s="66"/>
      <c r="Z272" s="66"/>
      <c r="AA272" s="66"/>
      <c r="AB272" s="66"/>
      <c r="AC272" s="66"/>
      <c r="AD272" s="42" t="str">
        <f t="shared" si="19"/>
        <v>ทันกำหนด</v>
      </c>
      <c r="AE272" s="43"/>
      <c r="AF272" s="43"/>
      <c r="AG272" s="43"/>
      <c r="AH272" s="44"/>
    </row>
    <row r="273" spans="1:34" ht="27.75" customHeight="1">
      <c r="A273" s="41">
        <v>270</v>
      </c>
      <c r="B273" s="66"/>
      <c r="C273" s="48"/>
      <c r="D273" s="48"/>
      <c r="E273" s="49"/>
      <c r="F273" s="49"/>
      <c r="G273" s="49">
        <f t="shared" si="17"/>
        <v>0</v>
      </c>
      <c r="H273" s="49" t="str">
        <f t="shared" si="18"/>
        <v>ครบ</v>
      </c>
      <c r="I273" s="49"/>
      <c r="J273" s="49" t="e">
        <f>VLOOKUP(I273,Sheet2!$B$10:$C$18,2,FALSE)</f>
        <v>#N/A</v>
      </c>
      <c r="K273" s="67"/>
      <c r="L273" s="49"/>
      <c r="M273" s="49" t="e">
        <f>VLOOKUP(L273,Sheet2!$B$10:$C$18,2,FALSE)</f>
        <v>#N/A</v>
      </c>
      <c r="N273" s="67"/>
      <c r="O273" s="49"/>
      <c r="P273" s="49" t="e">
        <f>VLOOKUP(O273,Sheet2!$B$10:$C$18,2,FALSE)</f>
        <v>#N/A</v>
      </c>
      <c r="Q273" s="67"/>
      <c r="R273" s="49"/>
      <c r="S273" s="49" t="e">
        <f>VLOOKUP(R273,Sheet2!$B$10:$C$18,2,FALSE)</f>
        <v>#N/A</v>
      </c>
      <c r="T273" s="67"/>
      <c r="U273" s="67">
        <f t="shared" si="16"/>
        <v>0</v>
      </c>
      <c r="V273" s="67"/>
      <c r="W273" s="67"/>
      <c r="X273" s="67"/>
      <c r="Y273" s="66"/>
      <c r="Z273" s="66"/>
      <c r="AA273" s="66"/>
      <c r="AB273" s="66"/>
      <c r="AC273" s="66"/>
      <c r="AD273" s="42" t="str">
        <f t="shared" si="19"/>
        <v>ทันกำหนด</v>
      </c>
      <c r="AE273" s="43"/>
      <c r="AF273" s="43"/>
      <c r="AG273" s="43"/>
      <c r="AH273" s="44"/>
    </row>
    <row r="274" spans="1:34" ht="27.75" customHeight="1">
      <c r="A274" s="41">
        <v>271</v>
      </c>
      <c r="B274" s="66"/>
      <c r="C274" s="48"/>
      <c r="D274" s="48"/>
      <c r="E274" s="49"/>
      <c r="F274" s="49"/>
      <c r="G274" s="49">
        <f t="shared" si="17"/>
        <v>0</v>
      </c>
      <c r="H274" s="49" t="str">
        <f t="shared" si="18"/>
        <v>ครบ</v>
      </c>
      <c r="I274" s="49"/>
      <c r="J274" s="49" t="e">
        <f>VLOOKUP(I274,Sheet2!$B$10:$C$18,2,FALSE)</f>
        <v>#N/A</v>
      </c>
      <c r="K274" s="67"/>
      <c r="L274" s="49"/>
      <c r="M274" s="49" t="e">
        <f>VLOOKUP(L274,Sheet2!$B$10:$C$18,2,FALSE)</f>
        <v>#N/A</v>
      </c>
      <c r="N274" s="67"/>
      <c r="O274" s="49"/>
      <c r="P274" s="49" t="e">
        <f>VLOOKUP(O274,Sheet2!$B$10:$C$18,2,FALSE)</f>
        <v>#N/A</v>
      </c>
      <c r="Q274" s="67"/>
      <c r="R274" s="49"/>
      <c r="S274" s="49" t="e">
        <f>VLOOKUP(R274,Sheet2!$B$10:$C$18,2,FALSE)</f>
        <v>#N/A</v>
      </c>
      <c r="T274" s="67"/>
      <c r="U274" s="67">
        <f t="shared" si="16"/>
        <v>0</v>
      </c>
      <c r="V274" s="67"/>
      <c r="W274" s="67"/>
      <c r="X274" s="67"/>
      <c r="Y274" s="66"/>
      <c r="Z274" s="66"/>
      <c r="AA274" s="66"/>
      <c r="AB274" s="66"/>
      <c r="AC274" s="66"/>
      <c r="AD274" s="42" t="str">
        <f t="shared" si="19"/>
        <v>ทันกำหนด</v>
      </c>
      <c r="AE274" s="43"/>
      <c r="AF274" s="43"/>
      <c r="AG274" s="43"/>
      <c r="AH274" s="44"/>
    </row>
    <row r="275" spans="1:34" ht="27.75" customHeight="1">
      <c r="A275" s="41">
        <v>272</v>
      </c>
      <c r="B275" s="66"/>
      <c r="C275" s="48"/>
      <c r="D275" s="48"/>
      <c r="E275" s="49"/>
      <c r="F275" s="49"/>
      <c r="G275" s="49">
        <f t="shared" si="17"/>
        <v>0</v>
      </c>
      <c r="H275" s="49" t="str">
        <f t="shared" si="18"/>
        <v>ครบ</v>
      </c>
      <c r="I275" s="49"/>
      <c r="J275" s="49" t="e">
        <f>VLOOKUP(I275,Sheet2!$B$10:$C$18,2,FALSE)</f>
        <v>#N/A</v>
      </c>
      <c r="K275" s="67"/>
      <c r="L275" s="49"/>
      <c r="M275" s="49" t="e">
        <f>VLOOKUP(L275,Sheet2!$B$10:$C$18,2,FALSE)</f>
        <v>#N/A</v>
      </c>
      <c r="N275" s="67"/>
      <c r="O275" s="49"/>
      <c r="P275" s="49" t="e">
        <f>VLOOKUP(O275,Sheet2!$B$10:$C$18,2,FALSE)</f>
        <v>#N/A</v>
      </c>
      <c r="Q275" s="67"/>
      <c r="R275" s="49"/>
      <c r="S275" s="49" t="e">
        <f>VLOOKUP(R275,Sheet2!$B$10:$C$18,2,FALSE)</f>
        <v>#N/A</v>
      </c>
      <c r="T275" s="67"/>
      <c r="U275" s="67">
        <f t="shared" si="16"/>
        <v>0</v>
      </c>
      <c r="V275" s="67"/>
      <c r="W275" s="67"/>
      <c r="X275" s="67"/>
      <c r="Y275" s="66"/>
      <c r="Z275" s="66"/>
      <c r="AA275" s="66"/>
      <c r="AB275" s="66"/>
      <c r="AC275" s="66"/>
      <c r="AD275" s="42" t="str">
        <f t="shared" si="19"/>
        <v>ทันกำหนด</v>
      </c>
      <c r="AE275" s="43"/>
      <c r="AF275" s="43"/>
      <c r="AG275" s="43"/>
      <c r="AH275" s="44"/>
    </row>
    <row r="276" spans="1:34" ht="27.75" customHeight="1">
      <c r="A276" s="41">
        <v>273</v>
      </c>
      <c r="B276" s="66"/>
      <c r="C276" s="48"/>
      <c r="D276" s="48"/>
      <c r="E276" s="49"/>
      <c r="F276" s="49"/>
      <c r="G276" s="49">
        <f t="shared" si="17"/>
        <v>0</v>
      </c>
      <c r="H276" s="49" t="str">
        <f t="shared" si="18"/>
        <v>ครบ</v>
      </c>
      <c r="I276" s="49"/>
      <c r="J276" s="49" t="e">
        <f>VLOOKUP(I276,Sheet2!$B$10:$C$18,2,FALSE)</f>
        <v>#N/A</v>
      </c>
      <c r="K276" s="67"/>
      <c r="L276" s="49"/>
      <c r="M276" s="49" t="e">
        <f>VLOOKUP(L276,Sheet2!$B$10:$C$18,2,FALSE)</f>
        <v>#N/A</v>
      </c>
      <c r="N276" s="67"/>
      <c r="O276" s="49"/>
      <c r="P276" s="49" t="e">
        <f>VLOOKUP(O276,Sheet2!$B$10:$C$18,2,FALSE)</f>
        <v>#N/A</v>
      </c>
      <c r="Q276" s="67"/>
      <c r="R276" s="49"/>
      <c r="S276" s="49" t="e">
        <f>VLOOKUP(R276,Sheet2!$B$10:$C$18,2,FALSE)</f>
        <v>#N/A</v>
      </c>
      <c r="T276" s="67"/>
      <c r="U276" s="67">
        <f t="shared" si="16"/>
        <v>0</v>
      </c>
      <c r="V276" s="67"/>
      <c r="W276" s="67"/>
      <c r="X276" s="67"/>
      <c r="Y276" s="66"/>
      <c r="Z276" s="66"/>
      <c r="AA276" s="66"/>
      <c r="AB276" s="66"/>
      <c r="AC276" s="66"/>
      <c r="AD276" s="42" t="str">
        <f t="shared" si="19"/>
        <v>ทันกำหนด</v>
      </c>
      <c r="AE276" s="43"/>
      <c r="AF276" s="43"/>
      <c r="AG276" s="43"/>
      <c r="AH276" s="69"/>
    </row>
    <row r="277" spans="1:34" ht="27.75" customHeight="1">
      <c r="A277" s="41">
        <v>274</v>
      </c>
      <c r="B277" s="66"/>
      <c r="C277" s="48"/>
      <c r="D277" s="48"/>
      <c r="E277" s="49"/>
      <c r="F277" s="49"/>
      <c r="G277" s="49">
        <f t="shared" si="17"/>
        <v>0</v>
      </c>
      <c r="H277" s="49" t="str">
        <f t="shared" si="18"/>
        <v>ครบ</v>
      </c>
      <c r="I277" s="49"/>
      <c r="J277" s="49" t="e">
        <f>VLOOKUP(I277,Sheet2!$B$10:$C$18,2,FALSE)</f>
        <v>#N/A</v>
      </c>
      <c r="K277" s="67"/>
      <c r="L277" s="49"/>
      <c r="M277" s="49" t="e">
        <f>VLOOKUP(L277,Sheet2!$B$10:$C$18,2,FALSE)</f>
        <v>#N/A</v>
      </c>
      <c r="N277" s="67"/>
      <c r="O277" s="49"/>
      <c r="P277" s="49" t="e">
        <f>VLOOKUP(O277,Sheet2!$B$10:$C$18,2,FALSE)</f>
        <v>#N/A</v>
      </c>
      <c r="Q277" s="67"/>
      <c r="R277" s="49"/>
      <c r="S277" s="49" t="e">
        <f>VLOOKUP(R277,Sheet2!$B$10:$C$18,2,FALSE)</f>
        <v>#N/A</v>
      </c>
      <c r="T277" s="67"/>
      <c r="U277" s="67">
        <f t="shared" si="16"/>
        <v>0</v>
      </c>
      <c r="V277" s="67"/>
      <c r="W277" s="67"/>
      <c r="X277" s="67"/>
      <c r="Y277" s="66"/>
      <c r="Z277" s="66"/>
      <c r="AA277" s="66"/>
      <c r="AB277" s="66"/>
      <c r="AC277" s="66"/>
      <c r="AD277" s="42" t="str">
        <f t="shared" si="19"/>
        <v>ทันกำหนด</v>
      </c>
      <c r="AE277" s="43"/>
      <c r="AF277" s="43"/>
      <c r="AG277" s="43"/>
      <c r="AH277" s="44"/>
    </row>
    <row r="278" spans="1:34" ht="27.75" customHeight="1">
      <c r="A278" s="41">
        <v>275</v>
      </c>
      <c r="B278" s="66"/>
      <c r="C278" s="48"/>
      <c r="D278" s="48"/>
      <c r="E278" s="49"/>
      <c r="F278" s="49"/>
      <c r="G278" s="49">
        <f t="shared" si="17"/>
        <v>0</v>
      </c>
      <c r="H278" s="49" t="str">
        <f t="shared" si="18"/>
        <v>ครบ</v>
      </c>
      <c r="I278" s="49"/>
      <c r="J278" s="49" t="e">
        <f>VLOOKUP(I278,Sheet2!$B$10:$C$18,2,FALSE)</f>
        <v>#N/A</v>
      </c>
      <c r="K278" s="67"/>
      <c r="L278" s="49"/>
      <c r="M278" s="49" t="e">
        <f>VLOOKUP(L278,Sheet2!$B$10:$C$18,2,FALSE)</f>
        <v>#N/A</v>
      </c>
      <c r="N278" s="67"/>
      <c r="O278" s="49"/>
      <c r="P278" s="49" t="e">
        <f>VLOOKUP(O278,Sheet2!$B$10:$C$18,2,FALSE)</f>
        <v>#N/A</v>
      </c>
      <c r="Q278" s="67"/>
      <c r="R278" s="49"/>
      <c r="S278" s="49" t="e">
        <f>VLOOKUP(R278,Sheet2!$B$10:$C$18,2,FALSE)</f>
        <v>#N/A</v>
      </c>
      <c r="T278" s="67"/>
      <c r="U278" s="67">
        <f t="shared" si="16"/>
        <v>0</v>
      </c>
      <c r="V278" s="67"/>
      <c r="W278" s="67"/>
      <c r="X278" s="67"/>
      <c r="Y278" s="66"/>
      <c r="Z278" s="66"/>
      <c r="AA278" s="66"/>
      <c r="AB278" s="66"/>
      <c r="AC278" s="66"/>
      <c r="AD278" s="42" t="str">
        <f t="shared" si="19"/>
        <v>ทันกำหนด</v>
      </c>
      <c r="AE278" s="43"/>
      <c r="AF278" s="43"/>
      <c r="AG278" s="43"/>
      <c r="AH278" s="44"/>
    </row>
    <row r="279" spans="1:34" ht="27.75" customHeight="1">
      <c r="A279" s="41">
        <v>276</v>
      </c>
      <c r="B279" s="66"/>
      <c r="C279" s="48"/>
      <c r="D279" s="48"/>
      <c r="E279" s="49"/>
      <c r="F279" s="49"/>
      <c r="G279" s="49">
        <f t="shared" si="17"/>
        <v>0</v>
      </c>
      <c r="H279" s="49" t="str">
        <f t="shared" si="18"/>
        <v>ครบ</v>
      </c>
      <c r="I279" s="49"/>
      <c r="J279" s="49" t="e">
        <f>VLOOKUP(I279,Sheet2!$B$10:$C$18,2,FALSE)</f>
        <v>#N/A</v>
      </c>
      <c r="K279" s="67"/>
      <c r="L279" s="49"/>
      <c r="M279" s="49" t="e">
        <f>VLOOKUP(L279,Sheet2!$B$10:$C$18,2,FALSE)</f>
        <v>#N/A</v>
      </c>
      <c r="N279" s="67"/>
      <c r="O279" s="49"/>
      <c r="P279" s="49" t="e">
        <f>VLOOKUP(O279,Sheet2!$B$10:$C$18,2,FALSE)</f>
        <v>#N/A</v>
      </c>
      <c r="Q279" s="67"/>
      <c r="R279" s="49"/>
      <c r="S279" s="49" t="e">
        <f>VLOOKUP(R279,Sheet2!$B$10:$C$18,2,FALSE)</f>
        <v>#N/A</v>
      </c>
      <c r="T279" s="67"/>
      <c r="U279" s="67">
        <f t="shared" si="16"/>
        <v>0</v>
      </c>
      <c r="V279" s="67"/>
      <c r="W279" s="67"/>
      <c r="X279" s="67"/>
      <c r="Y279" s="66"/>
      <c r="Z279" s="66"/>
      <c r="AA279" s="66"/>
      <c r="AB279" s="66"/>
      <c r="AC279" s="66"/>
      <c r="AD279" s="42" t="str">
        <f t="shared" si="19"/>
        <v>ทันกำหนด</v>
      </c>
      <c r="AE279" s="43"/>
      <c r="AF279" s="43"/>
      <c r="AG279" s="43"/>
      <c r="AH279" s="44"/>
    </row>
    <row r="280" spans="1:34" ht="27.75" customHeight="1">
      <c r="A280" s="41">
        <v>277</v>
      </c>
      <c r="B280" s="66"/>
      <c r="C280" s="48"/>
      <c r="D280" s="48"/>
      <c r="E280" s="49"/>
      <c r="F280" s="49"/>
      <c r="G280" s="49">
        <f t="shared" si="17"/>
        <v>0</v>
      </c>
      <c r="H280" s="49" t="str">
        <f t="shared" si="18"/>
        <v>ครบ</v>
      </c>
      <c r="I280" s="49"/>
      <c r="J280" s="49" t="e">
        <f>VLOOKUP(I280,Sheet2!$B$10:$C$18,2,FALSE)</f>
        <v>#N/A</v>
      </c>
      <c r="K280" s="67"/>
      <c r="L280" s="49"/>
      <c r="M280" s="49" t="e">
        <f>VLOOKUP(L280,Sheet2!$B$10:$C$18,2,FALSE)</f>
        <v>#N/A</v>
      </c>
      <c r="N280" s="67"/>
      <c r="O280" s="49"/>
      <c r="P280" s="49" t="e">
        <f>VLOOKUP(O280,Sheet2!$B$10:$C$18,2,FALSE)</f>
        <v>#N/A</v>
      </c>
      <c r="Q280" s="67"/>
      <c r="R280" s="49"/>
      <c r="S280" s="49" t="e">
        <f>VLOOKUP(R280,Sheet2!$B$10:$C$18,2,FALSE)</f>
        <v>#N/A</v>
      </c>
      <c r="T280" s="67"/>
      <c r="U280" s="67">
        <f t="shared" si="16"/>
        <v>0</v>
      </c>
      <c r="V280" s="67"/>
      <c r="W280" s="67"/>
      <c r="X280" s="67"/>
      <c r="Y280" s="66"/>
      <c r="Z280" s="66"/>
      <c r="AA280" s="66"/>
      <c r="AB280" s="66"/>
      <c r="AC280" s="66"/>
      <c r="AD280" s="42" t="str">
        <f t="shared" si="19"/>
        <v>ทันกำหนด</v>
      </c>
      <c r="AE280" s="43"/>
      <c r="AF280" s="43"/>
      <c r="AG280" s="43"/>
      <c r="AH280" s="44"/>
    </row>
    <row r="281" spans="1:34" ht="27.75" customHeight="1">
      <c r="A281" s="41">
        <v>278</v>
      </c>
      <c r="B281" s="66"/>
      <c r="C281" s="48"/>
      <c r="D281" s="48"/>
      <c r="E281" s="49"/>
      <c r="F281" s="49"/>
      <c r="G281" s="49">
        <f t="shared" si="17"/>
        <v>0</v>
      </c>
      <c r="H281" s="49" t="str">
        <f t="shared" si="18"/>
        <v>ครบ</v>
      </c>
      <c r="I281" s="49"/>
      <c r="J281" s="49" t="e">
        <f>VLOOKUP(I281,Sheet2!$B$10:$C$18,2,FALSE)</f>
        <v>#N/A</v>
      </c>
      <c r="K281" s="67"/>
      <c r="L281" s="49"/>
      <c r="M281" s="49" t="e">
        <f>VLOOKUP(L281,Sheet2!$B$10:$C$18,2,FALSE)</f>
        <v>#N/A</v>
      </c>
      <c r="N281" s="67"/>
      <c r="O281" s="49"/>
      <c r="P281" s="49" t="e">
        <f>VLOOKUP(O281,Sheet2!$B$10:$C$18,2,FALSE)</f>
        <v>#N/A</v>
      </c>
      <c r="Q281" s="67"/>
      <c r="R281" s="49"/>
      <c r="S281" s="49" t="e">
        <f>VLOOKUP(R281,Sheet2!$B$10:$C$18,2,FALSE)</f>
        <v>#N/A</v>
      </c>
      <c r="T281" s="67"/>
      <c r="U281" s="67">
        <f t="shared" si="16"/>
        <v>0</v>
      </c>
      <c r="V281" s="67"/>
      <c r="W281" s="67"/>
      <c r="X281" s="67"/>
      <c r="Y281" s="66"/>
      <c r="Z281" s="66"/>
      <c r="AA281" s="66"/>
      <c r="AB281" s="66"/>
      <c r="AC281" s="66"/>
      <c r="AD281" s="42" t="str">
        <f t="shared" si="19"/>
        <v>ทันกำหนด</v>
      </c>
      <c r="AE281" s="43"/>
      <c r="AF281" s="43"/>
      <c r="AG281" s="43"/>
      <c r="AH281" s="44"/>
    </row>
    <row r="282" spans="1:34" ht="27.75" customHeight="1">
      <c r="A282" s="41">
        <v>279</v>
      </c>
      <c r="B282" s="66"/>
      <c r="C282" s="48"/>
      <c r="D282" s="48"/>
      <c r="E282" s="49"/>
      <c r="F282" s="49"/>
      <c r="G282" s="49">
        <f t="shared" si="17"/>
        <v>0</v>
      </c>
      <c r="H282" s="49" t="str">
        <f t="shared" si="18"/>
        <v>ครบ</v>
      </c>
      <c r="I282" s="49"/>
      <c r="J282" s="49" t="e">
        <f>VLOOKUP(I282,Sheet2!$B$10:$C$18,2,FALSE)</f>
        <v>#N/A</v>
      </c>
      <c r="K282" s="67"/>
      <c r="L282" s="49"/>
      <c r="M282" s="49" t="e">
        <f>VLOOKUP(L282,Sheet2!$B$10:$C$18,2,FALSE)</f>
        <v>#N/A</v>
      </c>
      <c r="N282" s="67"/>
      <c r="O282" s="49"/>
      <c r="P282" s="49" t="e">
        <f>VLOOKUP(O282,Sheet2!$B$10:$C$18,2,FALSE)</f>
        <v>#N/A</v>
      </c>
      <c r="Q282" s="67"/>
      <c r="R282" s="49"/>
      <c r="S282" s="49" t="e">
        <f>VLOOKUP(R282,Sheet2!$B$10:$C$18,2,FALSE)</f>
        <v>#N/A</v>
      </c>
      <c r="T282" s="67"/>
      <c r="U282" s="67">
        <f t="shared" si="16"/>
        <v>0</v>
      </c>
      <c r="V282" s="67"/>
      <c r="W282" s="67"/>
      <c r="X282" s="67"/>
      <c r="Y282" s="66"/>
      <c r="Z282" s="66"/>
      <c r="AA282" s="66"/>
      <c r="AB282" s="66"/>
      <c r="AC282" s="66"/>
      <c r="AD282" s="42" t="str">
        <f t="shared" si="19"/>
        <v>ทันกำหนด</v>
      </c>
      <c r="AE282" s="43"/>
      <c r="AF282" s="43"/>
      <c r="AG282" s="43"/>
      <c r="AH282" s="44"/>
    </row>
    <row r="283" spans="1:34" ht="27.75" customHeight="1">
      <c r="A283" s="41">
        <v>280</v>
      </c>
      <c r="B283" s="66"/>
      <c r="C283" s="48"/>
      <c r="D283" s="48"/>
      <c r="E283" s="49"/>
      <c r="F283" s="49"/>
      <c r="G283" s="49">
        <f t="shared" si="17"/>
        <v>0</v>
      </c>
      <c r="H283" s="49" t="str">
        <f t="shared" si="18"/>
        <v>ครบ</v>
      </c>
      <c r="I283" s="49"/>
      <c r="J283" s="49" t="e">
        <f>VLOOKUP(I283,Sheet2!$B$10:$C$18,2,FALSE)</f>
        <v>#N/A</v>
      </c>
      <c r="K283" s="67"/>
      <c r="L283" s="49"/>
      <c r="M283" s="49" t="e">
        <f>VLOOKUP(L283,Sheet2!$B$10:$C$18,2,FALSE)</f>
        <v>#N/A</v>
      </c>
      <c r="N283" s="67"/>
      <c r="O283" s="49"/>
      <c r="P283" s="49" t="e">
        <f>VLOOKUP(O283,Sheet2!$B$10:$C$18,2,FALSE)</f>
        <v>#N/A</v>
      </c>
      <c r="Q283" s="67"/>
      <c r="R283" s="49"/>
      <c r="S283" s="49" t="e">
        <f>VLOOKUP(R283,Sheet2!$B$10:$C$18,2,FALSE)</f>
        <v>#N/A</v>
      </c>
      <c r="T283" s="67"/>
      <c r="U283" s="67">
        <f t="shared" si="16"/>
        <v>0</v>
      </c>
      <c r="V283" s="67"/>
      <c r="W283" s="67"/>
      <c r="X283" s="67"/>
      <c r="Y283" s="66"/>
      <c r="Z283" s="66"/>
      <c r="AA283" s="66"/>
      <c r="AB283" s="66"/>
      <c r="AC283" s="66"/>
      <c r="AD283" s="42" t="str">
        <f t="shared" si="19"/>
        <v>ทันกำหนด</v>
      </c>
      <c r="AE283" s="43"/>
      <c r="AF283" s="43"/>
      <c r="AG283" s="43"/>
      <c r="AH283" s="44"/>
    </row>
    <row r="284" spans="1:34" ht="27.75" customHeight="1">
      <c r="A284" s="41">
        <v>281</v>
      </c>
      <c r="B284" s="66"/>
      <c r="C284" s="48"/>
      <c r="D284" s="48"/>
      <c r="E284" s="49"/>
      <c r="F284" s="49"/>
      <c r="G284" s="49">
        <f t="shared" si="17"/>
        <v>0</v>
      </c>
      <c r="H284" s="49" t="str">
        <f t="shared" si="18"/>
        <v>ครบ</v>
      </c>
      <c r="I284" s="49"/>
      <c r="J284" s="49" t="e">
        <f>VLOOKUP(I284,Sheet2!$B$10:$C$18,2,FALSE)</f>
        <v>#N/A</v>
      </c>
      <c r="K284" s="67"/>
      <c r="L284" s="49"/>
      <c r="M284" s="49" t="e">
        <f>VLOOKUP(L284,Sheet2!$B$10:$C$18,2,FALSE)</f>
        <v>#N/A</v>
      </c>
      <c r="N284" s="67"/>
      <c r="O284" s="49"/>
      <c r="P284" s="49" t="e">
        <f>VLOOKUP(O284,Sheet2!$B$10:$C$18,2,FALSE)</f>
        <v>#N/A</v>
      </c>
      <c r="Q284" s="67"/>
      <c r="R284" s="49"/>
      <c r="S284" s="49" t="e">
        <f>VLOOKUP(R284,Sheet2!$B$10:$C$18,2,FALSE)</f>
        <v>#N/A</v>
      </c>
      <c r="T284" s="67"/>
      <c r="U284" s="67">
        <f t="shared" si="16"/>
        <v>0</v>
      </c>
      <c r="V284" s="67"/>
      <c r="W284" s="67"/>
      <c r="X284" s="67"/>
      <c r="Y284" s="66"/>
      <c r="Z284" s="66"/>
      <c r="AA284" s="66"/>
      <c r="AB284" s="66"/>
      <c r="AC284" s="66"/>
      <c r="AD284" s="42" t="str">
        <f t="shared" si="19"/>
        <v>ทันกำหนด</v>
      </c>
      <c r="AE284" s="43"/>
      <c r="AF284" s="43"/>
      <c r="AG284" s="43"/>
      <c r="AH284" s="44"/>
    </row>
    <row r="285" spans="1:34" ht="27.75" customHeight="1">
      <c r="A285" s="41">
        <v>282</v>
      </c>
      <c r="B285" s="66"/>
      <c r="C285" s="48"/>
      <c r="D285" s="48"/>
      <c r="E285" s="49"/>
      <c r="F285" s="49"/>
      <c r="G285" s="49">
        <f t="shared" si="17"/>
        <v>0</v>
      </c>
      <c r="H285" s="49" t="str">
        <f t="shared" si="18"/>
        <v>ครบ</v>
      </c>
      <c r="I285" s="49"/>
      <c r="J285" s="49" t="e">
        <f>VLOOKUP(I285,Sheet2!$B$10:$C$18,2,FALSE)</f>
        <v>#N/A</v>
      </c>
      <c r="K285" s="67"/>
      <c r="L285" s="49"/>
      <c r="M285" s="49" t="e">
        <f>VLOOKUP(L285,Sheet2!$B$10:$C$18,2,FALSE)</f>
        <v>#N/A</v>
      </c>
      <c r="N285" s="67"/>
      <c r="O285" s="49"/>
      <c r="P285" s="49" t="e">
        <f>VLOOKUP(O285,Sheet2!$B$10:$C$18,2,FALSE)</f>
        <v>#N/A</v>
      </c>
      <c r="Q285" s="67"/>
      <c r="R285" s="49"/>
      <c r="S285" s="49" t="e">
        <f>VLOOKUP(R285,Sheet2!$B$10:$C$18,2,FALSE)</f>
        <v>#N/A</v>
      </c>
      <c r="T285" s="67"/>
      <c r="U285" s="67">
        <f t="shared" si="16"/>
        <v>0</v>
      </c>
      <c r="V285" s="67"/>
      <c r="W285" s="67"/>
      <c r="X285" s="67"/>
      <c r="Y285" s="66"/>
      <c r="Z285" s="66"/>
      <c r="AA285" s="66"/>
      <c r="AB285" s="66"/>
      <c r="AC285" s="66"/>
      <c r="AD285" s="42" t="str">
        <f t="shared" si="19"/>
        <v>ทันกำหนด</v>
      </c>
      <c r="AE285" s="43"/>
      <c r="AF285" s="43"/>
      <c r="AG285" s="43"/>
      <c r="AH285" s="44"/>
    </row>
    <row r="286" spans="1:34" ht="27.75" customHeight="1">
      <c r="A286" s="41">
        <v>283</v>
      </c>
      <c r="B286" s="66"/>
      <c r="C286" s="48"/>
      <c r="D286" s="48"/>
      <c r="E286" s="49"/>
      <c r="F286" s="49"/>
      <c r="G286" s="49">
        <f t="shared" si="17"/>
        <v>0</v>
      </c>
      <c r="H286" s="49" t="str">
        <f t="shared" si="18"/>
        <v>ครบ</v>
      </c>
      <c r="I286" s="49"/>
      <c r="J286" s="49" t="e">
        <f>VLOOKUP(I286,Sheet2!$B$10:$C$18,2,FALSE)</f>
        <v>#N/A</v>
      </c>
      <c r="K286" s="67"/>
      <c r="L286" s="49"/>
      <c r="M286" s="49" t="e">
        <f>VLOOKUP(L286,Sheet2!$B$10:$C$18,2,FALSE)</f>
        <v>#N/A</v>
      </c>
      <c r="N286" s="67"/>
      <c r="O286" s="49"/>
      <c r="P286" s="49" t="e">
        <f>VLOOKUP(O286,Sheet2!$B$10:$C$18,2,FALSE)</f>
        <v>#N/A</v>
      </c>
      <c r="Q286" s="67"/>
      <c r="R286" s="49"/>
      <c r="S286" s="49" t="e">
        <f>VLOOKUP(R286,Sheet2!$B$10:$C$18,2,FALSE)</f>
        <v>#N/A</v>
      </c>
      <c r="T286" s="67"/>
      <c r="U286" s="67">
        <f t="shared" si="16"/>
        <v>0</v>
      </c>
      <c r="V286" s="67"/>
      <c r="W286" s="67"/>
      <c r="X286" s="67"/>
      <c r="Y286" s="66"/>
      <c r="Z286" s="66"/>
      <c r="AA286" s="66"/>
      <c r="AB286" s="66"/>
      <c r="AC286" s="66"/>
      <c r="AD286" s="42" t="str">
        <f t="shared" si="19"/>
        <v>ทันกำหนด</v>
      </c>
      <c r="AE286" s="43"/>
      <c r="AF286" s="43"/>
      <c r="AG286" s="43"/>
      <c r="AH286" s="44"/>
    </row>
    <row r="287" spans="1:34" ht="27.75" customHeight="1">
      <c r="A287" s="41">
        <v>284</v>
      </c>
      <c r="B287" s="66"/>
      <c r="C287" s="48"/>
      <c r="D287" s="48"/>
      <c r="E287" s="49"/>
      <c r="F287" s="49"/>
      <c r="G287" s="49">
        <f t="shared" si="17"/>
        <v>0</v>
      </c>
      <c r="H287" s="49" t="str">
        <f t="shared" si="18"/>
        <v>ครบ</v>
      </c>
      <c r="I287" s="49"/>
      <c r="J287" s="49" t="e">
        <f>VLOOKUP(I287,Sheet2!$B$10:$C$18,2,FALSE)</f>
        <v>#N/A</v>
      </c>
      <c r="K287" s="67"/>
      <c r="L287" s="49"/>
      <c r="M287" s="49" t="e">
        <f>VLOOKUP(L287,Sheet2!$B$10:$C$18,2,FALSE)</f>
        <v>#N/A</v>
      </c>
      <c r="N287" s="67"/>
      <c r="O287" s="49"/>
      <c r="P287" s="49" t="e">
        <f>VLOOKUP(O287,Sheet2!$B$10:$C$18,2,FALSE)</f>
        <v>#N/A</v>
      </c>
      <c r="Q287" s="67"/>
      <c r="R287" s="49"/>
      <c r="S287" s="49" t="e">
        <f>VLOOKUP(R287,Sheet2!$B$10:$C$18,2,FALSE)</f>
        <v>#N/A</v>
      </c>
      <c r="T287" s="67"/>
      <c r="U287" s="67">
        <f t="shared" si="16"/>
        <v>0</v>
      </c>
      <c r="V287" s="67"/>
      <c r="W287" s="67"/>
      <c r="X287" s="67"/>
      <c r="Y287" s="66"/>
      <c r="Z287" s="66"/>
      <c r="AA287" s="66"/>
      <c r="AB287" s="66"/>
      <c r="AC287" s="66"/>
      <c r="AD287" s="42" t="str">
        <f t="shared" si="19"/>
        <v>ทันกำหนด</v>
      </c>
      <c r="AE287" s="43"/>
      <c r="AF287" s="43"/>
      <c r="AG287" s="43"/>
      <c r="AH287" s="44"/>
    </row>
    <row r="288" spans="1:34" ht="27.75" customHeight="1">
      <c r="A288" s="41">
        <v>285</v>
      </c>
      <c r="B288" s="66"/>
      <c r="C288" s="48"/>
      <c r="D288" s="48"/>
      <c r="E288" s="49"/>
      <c r="F288" s="49"/>
      <c r="G288" s="49">
        <f t="shared" si="17"/>
        <v>0</v>
      </c>
      <c r="H288" s="49" t="str">
        <f t="shared" si="18"/>
        <v>ครบ</v>
      </c>
      <c r="I288" s="49"/>
      <c r="J288" s="49" t="e">
        <f>VLOOKUP(I288,Sheet2!$B$10:$C$18,2,FALSE)</f>
        <v>#N/A</v>
      </c>
      <c r="K288" s="67"/>
      <c r="L288" s="49"/>
      <c r="M288" s="49" t="e">
        <f>VLOOKUP(L288,Sheet2!$B$10:$C$18,2,FALSE)</f>
        <v>#N/A</v>
      </c>
      <c r="N288" s="67"/>
      <c r="O288" s="49"/>
      <c r="P288" s="49" t="e">
        <f>VLOOKUP(O288,Sheet2!$B$10:$C$18,2,FALSE)</f>
        <v>#N/A</v>
      </c>
      <c r="Q288" s="67"/>
      <c r="R288" s="49"/>
      <c r="S288" s="49" t="e">
        <f>VLOOKUP(R288,Sheet2!$B$10:$C$18,2,FALSE)</f>
        <v>#N/A</v>
      </c>
      <c r="T288" s="67"/>
      <c r="U288" s="67">
        <f t="shared" si="16"/>
        <v>0</v>
      </c>
      <c r="V288" s="67"/>
      <c r="W288" s="67"/>
      <c r="X288" s="67"/>
      <c r="Y288" s="66"/>
      <c r="Z288" s="66"/>
      <c r="AA288" s="66"/>
      <c r="AB288" s="66"/>
      <c r="AC288" s="66"/>
      <c r="AD288" s="42" t="str">
        <f t="shared" si="19"/>
        <v>ทันกำหนด</v>
      </c>
      <c r="AE288" s="43"/>
      <c r="AF288" s="43"/>
      <c r="AG288" s="43"/>
      <c r="AH288" s="44"/>
    </row>
    <row r="289" spans="1:34" ht="27.75" customHeight="1">
      <c r="A289" s="41">
        <v>286</v>
      </c>
      <c r="B289" s="66"/>
      <c r="C289" s="48"/>
      <c r="D289" s="48"/>
      <c r="E289" s="49"/>
      <c r="F289" s="49"/>
      <c r="G289" s="49">
        <f t="shared" si="17"/>
        <v>0</v>
      </c>
      <c r="H289" s="49" t="str">
        <f t="shared" si="18"/>
        <v>ครบ</v>
      </c>
      <c r="I289" s="49"/>
      <c r="J289" s="49" t="e">
        <f>VLOOKUP(I289,Sheet2!$B$10:$C$18,2,FALSE)</f>
        <v>#N/A</v>
      </c>
      <c r="K289" s="67"/>
      <c r="L289" s="49"/>
      <c r="M289" s="49" t="e">
        <f>VLOOKUP(L289,Sheet2!$B$10:$C$18,2,FALSE)</f>
        <v>#N/A</v>
      </c>
      <c r="N289" s="67"/>
      <c r="O289" s="49"/>
      <c r="P289" s="49" t="e">
        <f>VLOOKUP(O289,Sheet2!$B$10:$C$18,2,FALSE)</f>
        <v>#N/A</v>
      </c>
      <c r="Q289" s="67"/>
      <c r="R289" s="49"/>
      <c r="S289" s="49" t="e">
        <f>VLOOKUP(R289,Sheet2!$B$10:$C$18,2,FALSE)</f>
        <v>#N/A</v>
      </c>
      <c r="T289" s="67"/>
      <c r="U289" s="67">
        <f t="shared" si="16"/>
        <v>0</v>
      </c>
      <c r="V289" s="67"/>
      <c r="W289" s="67"/>
      <c r="X289" s="67"/>
      <c r="Y289" s="66"/>
      <c r="Z289" s="66"/>
      <c r="AA289" s="66"/>
      <c r="AB289" s="66"/>
      <c r="AC289" s="66"/>
      <c r="AD289" s="42" t="str">
        <f t="shared" si="19"/>
        <v>ทันกำหนด</v>
      </c>
      <c r="AE289" s="43"/>
      <c r="AF289" s="43"/>
      <c r="AG289" s="43"/>
      <c r="AH289" s="44"/>
    </row>
    <row r="290" spans="1:34" ht="27.75" customHeight="1">
      <c r="A290" s="41">
        <v>287</v>
      </c>
      <c r="B290" s="66"/>
      <c r="C290" s="48"/>
      <c r="D290" s="48"/>
      <c r="E290" s="49"/>
      <c r="F290" s="49"/>
      <c r="G290" s="49">
        <f t="shared" si="17"/>
        <v>0</v>
      </c>
      <c r="H290" s="49" t="str">
        <f t="shared" si="18"/>
        <v>ครบ</v>
      </c>
      <c r="I290" s="49"/>
      <c r="J290" s="49" t="e">
        <f>VLOOKUP(I290,Sheet2!$B$10:$C$18,2,FALSE)</f>
        <v>#N/A</v>
      </c>
      <c r="K290" s="67"/>
      <c r="L290" s="49"/>
      <c r="M290" s="49" t="e">
        <f>VLOOKUP(L290,Sheet2!$B$10:$C$18,2,FALSE)</f>
        <v>#N/A</v>
      </c>
      <c r="N290" s="67"/>
      <c r="O290" s="49"/>
      <c r="P290" s="49" t="e">
        <f>VLOOKUP(O290,Sheet2!$B$10:$C$18,2,FALSE)</f>
        <v>#N/A</v>
      </c>
      <c r="Q290" s="67"/>
      <c r="R290" s="49"/>
      <c r="S290" s="49" t="e">
        <f>VLOOKUP(R290,Sheet2!$B$10:$C$18,2,FALSE)</f>
        <v>#N/A</v>
      </c>
      <c r="T290" s="67"/>
      <c r="U290" s="67">
        <f t="shared" si="16"/>
        <v>0</v>
      </c>
      <c r="V290" s="67"/>
      <c r="W290" s="67"/>
      <c r="X290" s="67"/>
      <c r="Y290" s="66"/>
      <c r="Z290" s="66"/>
      <c r="AA290" s="66"/>
      <c r="AB290" s="66"/>
      <c r="AC290" s="66"/>
      <c r="AD290" s="42" t="str">
        <f t="shared" si="19"/>
        <v>ทันกำหนด</v>
      </c>
      <c r="AE290" s="43"/>
      <c r="AF290" s="43"/>
      <c r="AG290" s="43"/>
      <c r="AH290" s="44"/>
    </row>
    <row r="291" spans="1:34" ht="27.75" customHeight="1">
      <c r="A291" s="41">
        <v>288</v>
      </c>
      <c r="B291" s="66"/>
      <c r="C291" s="48"/>
      <c r="D291" s="48"/>
      <c r="E291" s="49"/>
      <c r="F291" s="49"/>
      <c r="G291" s="49">
        <f t="shared" si="17"/>
        <v>0</v>
      </c>
      <c r="H291" s="49" t="str">
        <f t="shared" si="18"/>
        <v>ครบ</v>
      </c>
      <c r="I291" s="49"/>
      <c r="J291" s="49" t="e">
        <f>VLOOKUP(I291,Sheet2!$B$10:$C$18,2,FALSE)</f>
        <v>#N/A</v>
      </c>
      <c r="K291" s="67"/>
      <c r="L291" s="49"/>
      <c r="M291" s="49" t="e">
        <f>VLOOKUP(L291,Sheet2!$B$10:$C$18,2,FALSE)</f>
        <v>#N/A</v>
      </c>
      <c r="N291" s="67"/>
      <c r="O291" s="49"/>
      <c r="P291" s="49" t="e">
        <f>VLOOKUP(O291,Sheet2!$B$10:$C$18,2,FALSE)</f>
        <v>#N/A</v>
      </c>
      <c r="Q291" s="67"/>
      <c r="R291" s="49"/>
      <c r="S291" s="49" t="e">
        <f>VLOOKUP(R291,Sheet2!$B$10:$C$18,2,FALSE)</f>
        <v>#N/A</v>
      </c>
      <c r="T291" s="67"/>
      <c r="U291" s="67">
        <f t="shared" si="16"/>
        <v>0</v>
      </c>
      <c r="V291" s="67"/>
      <c r="W291" s="67"/>
      <c r="X291" s="67"/>
      <c r="Y291" s="66"/>
      <c r="Z291" s="66"/>
      <c r="AA291" s="66"/>
      <c r="AB291" s="66"/>
      <c r="AC291" s="66"/>
      <c r="AD291" s="42" t="str">
        <f t="shared" si="19"/>
        <v>ทันกำหนด</v>
      </c>
      <c r="AE291" s="43"/>
      <c r="AF291" s="43"/>
      <c r="AG291" s="43"/>
      <c r="AH291" s="44"/>
    </row>
    <row r="292" spans="1:34" ht="27.75" customHeight="1">
      <c r="A292" s="41">
        <v>289</v>
      </c>
      <c r="B292" s="66"/>
      <c r="C292" s="48"/>
      <c r="D292" s="48"/>
      <c r="E292" s="49"/>
      <c r="F292" s="49"/>
      <c r="G292" s="49">
        <f t="shared" si="17"/>
        <v>0</v>
      </c>
      <c r="H292" s="49" t="str">
        <f t="shared" si="18"/>
        <v>ครบ</v>
      </c>
      <c r="I292" s="49"/>
      <c r="J292" s="49" t="e">
        <f>VLOOKUP(I292,Sheet2!$B$10:$C$18,2,FALSE)</f>
        <v>#N/A</v>
      </c>
      <c r="K292" s="67"/>
      <c r="L292" s="49"/>
      <c r="M292" s="49" t="e">
        <f>VLOOKUP(L292,Sheet2!$B$10:$C$18,2,FALSE)</f>
        <v>#N/A</v>
      </c>
      <c r="N292" s="67"/>
      <c r="O292" s="49"/>
      <c r="P292" s="49" t="e">
        <f>VLOOKUP(O292,Sheet2!$B$10:$C$18,2,FALSE)</f>
        <v>#N/A</v>
      </c>
      <c r="Q292" s="67"/>
      <c r="R292" s="49"/>
      <c r="S292" s="49" t="e">
        <f>VLOOKUP(R292,Sheet2!$B$10:$C$18,2,FALSE)</f>
        <v>#N/A</v>
      </c>
      <c r="T292" s="67"/>
      <c r="U292" s="67">
        <f t="shared" si="16"/>
        <v>0</v>
      </c>
      <c r="V292" s="67"/>
      <c r="W292" s="67"/>
      <c r="X292" s="67"/>
      <c r="Y292" s="66"/>
      <c r="Z292" s="66"/>
      <c r="AA292" s="66"/>
      <c r="AB292" s="66"/>
      <c r="AC292" s="66"/>
      <c r="AD292" s="42" t="str">
        <f t="shared" si="19"/>
        <v>ทันกำหนด</v>
      </c>
      <c r="AE292" s="43"/>
      <c r="AF292" s="43"/>
      <c r="AG292" s="43"/>
      <c r="AH292" s="44"/>
    </row>
    <row r="293" spans="1:34" ht="27.75" customHeight="1">
      <c r="A293" s="41">
        <v>290</v>
      </c>
      <c r="B293" s="66"/>
      <c r="C293" s="48"/>
      <c r="D293" s="48"/>
      <c r="E293" s="49"/>
      <c r="F293" s="49"/>
      <c r="G293" s="49">
        <f t="shared" si="17"/>
        <v>0</v>
      </c>
      <c r="H293" s="49" t="str">
        <f t="shared" si="18"/>
        <v>ครบ</v>
      </c>
      <c r="I293" s="49"/>
      <c r="J293" s="49" t="e">
        <f>VLOOKUP(I293,Sheet2!$B$10:$C$18,2,FALSE)</f>
        <v>#N/A</v>
      </c>
      <c r="K293" s="67"/>
      <c r="L293" s="49"/>
      <c r="M293" s="49" t="e">
        <f>VLOOKUP(L293,Sheet2!$B$10:$C$18,2,FALSE)</f>
        <v>#N/A</v>
      </c>
      <c r="N293" s="67"/>
      <c r="O293" s="49"/>
      <c r="P293" s="49" t="e">
        <f>VLOOKUP(O293,Sheet2!$B$10:$C$18,2,FALSE)</f>
        <v>#N/A</v>
      </c>
      <c r="Q293" s="67"/>
      <c r="R293" s="49"/>
      <c r="S293" s="49" t="e">
        <f>VLOOKUP(R293,Sheet2!$B$10:$C$18,2,FALSE)</f>
        <v>#N/A</v>
      </c>
      <c r="T293" s="67"/>
      <c r="U293" s="67">
        <f t="shared" si="16"/>
        <v>0</v>
      </c>
      <c r="V293" s="67"/>
      <c r="W293" s="67"/>
      <c r="X293" s="67"/>
      <c r="Y293" s="66"/>
      <c r="Z293" s="66"/>
      <c r="AA293" s="66"/>
      <c r="AB293" s="66"/>
      <c r="AC293" s="66"/>
      <c r="AD293" s="42" t="str">
        <f t="shared" si="19"/>
        <v>ทันกำหนด</v>
      </c>
      <c r="AE293" s="43"/>
      <c r="AF293" s="43"/>
      <c r="AG293" s="43"/>
      <c r="AH293" s="44"/>
    </row>
    <row r="294" spans="1:34" ht="27.75" customHeight="1">
      <c r="A294" s="41">
        <v>291</v>
      </c>
      <c r="B294" s="66"/>
      <c r="C294" s="48"/>
      <c r="D294" s="48"/>
      <c r="E294" s="49"/>
      <c r="F294" s="49"/>
      <c r="G294" s="49">
        <f t="shared" si="17"/>
        <v>0</v>
      </c>
      <c r="H294" s="49" t="str">
        <f t="shared" si="18"/>
        <v>ครบ</v>
      </c>
      <c r="I294" s="49"/>
      <c r="J294" s="49" t="e">
        <f>VLOOKUP(I294,Sheet2!$B$10:$C$18,2,FALSE)</f>
        <v>#N/A</v>
      </c>
      <c r="K294" s="67"/>
      <c r="L294" s="49"/>
      <c r="M294" s="49" t="e">
        <f>VLOOKUP(L294,Sheet2!$B$10:$C$18,2,FALSE)</f>
        <v>#N/A</v>
      </c>
      <c r="N294" s="67"/>
      <c r="O294" s="49"/>
      <c r="P294" s="49" t="e">
        <f>VLOOKUP(O294,Sheet2!$B$10:$C$18,2,FALSE)</f>
        <v>#N/A</v>
      </c>
      <c r="Q294" s="67"/>
      <c r="R294" s="49"/>
      <c r="S294" s="49" t="e">
        <f>VLOOKUP(R294,Sheet2!$B$10:$C$18,2,FALSE)</f>
        <v>#N/A</v>
      </c>
      <c r="T294" s="67"/>
      <c r="U294" s="67">
        <f t="shared" si="16"/>
        <v>0</v>
      </c>
      <c r="V294" s="67"/>
      <c r="W294" s="67"/>
      <c r="X294" s="67"/>
      <c r="Y294" s="66"/>
      <c r="Z294" s="66"/>
      <c r="AA294" s="66"/>
      <c r="AB294" s="66"/>
      <c r="AC294" s="66"/>
      <c r="AD294" s="42" t="str">
        <f t="shared" si="19"/>
        <v>ทันกำหนด</v>
      </c>
      <c r="AE294" s="43"/>
      <c r="AF294" s="43"/>
      <c r="AG294" s="43"/>
      <c r="AH294" s="44"/>
    </row>
    <row r="295" spans="1:34" ht="27.75" customHeight="1">
      <c r="A295" s="41">
        <v>292</v>
      </c>
      <c r="B295" s="66"/>
      <c r="C295" s="48"/>
      <c r="D295" s="48"/>
      <c r="E295" s="49"/>
      <c r="F295" s="49"/>
      <c r="G295" s="49">
        <f t="shared" si="17"/>
        <v>0</v>
      </c>
      <c r="H295" s="49" t="str">
        <f t="shared" si="18"/>
        <v>ครบ</v>
      </c>
      <c r="I295" s="49"/>
      <c r="J295" s="49" t="e">
        <f>VLOOKUP(I295,Sheet2!$B$10:$C$18,2,FALSE)</f>
        <v>#N/A</v>
      </c>
      <c r="K295" s="67"/>
      <c r="L295" s="49"/>
      <c r="M295" s="49" t="e">
        <f>VLOOKUP(L295,Sheet2!$B$10:$C$18,2,FALSE)</f>
        <v>#N/A</v>
      </c>
      <c r="N295" s="67"/>
      <c r="O295" s="49"/>
      <c r="P295" s="49" t="e">
        <f>VLOOKUP(O295,Sheet2!$B$10:$C$18,2,FALSE)</f>
        <v>#N/A</v>
      </c>
      <c r="Q295" s="67"/>
      <c r="R295" s="49"/>
      <c r="S295" s="49" t="e">
        <f>VLOOKUP(R295,Sheet2!$B$10:$C$18,2,FALSE)</f>
        <v>#N/A</v>
      </c>
      <c r="T295" s="67"/>
      <c r="U295" s="67">
        <f t="shared" si="16"/>
        <v>0</v>
      </c>
      <c r="V295" s="67"/>
      <c r="W295" s="67"/>
      <c r="X295" s="67"/>
      <c r="Y295" s="66"/>
      <c r="Z295" s="66"/>
      <c r="AA295" s="66"/>
      <c r="AB295" s="66"/>
      <c r="AC295" s="66"/>
      <c r="AD295" s="42" t="str">
        <f t="shared" si="19"/>
        <v>ทันกำหนด</v>
      </c>
      <c r="AE295" s="43"/>
      <c r="AF295" s="43"/>
      <c r="AG295" s="43"/>
      <c r="AH295" s="44"/>
    </row>
    <row r="296" spans="1:34" ht="27.75" customHeight="1">
      <c r="A296" s="41">
        <v>293</v>
      </c>
      <c r="B296" s="66"/>
      <c r="C296" s="48"/>
      <c r="D296" s="48"/>
      <c r="E296" s="49"/>
      <c r="F296" s="49"/>
      <c r="G296" s="49">
        <f t="shared" si="17"/>
        <v>0</v>
      </c>
      <c r="H296" s="49" t="str">
        <f t="shared" si="18"/>
        <v>ครบ</v>
      </c>
      <c r="I296" s="49"/>
      <c r="J296" s="49" t="e">
        <f>VLOOKUP(I296,Sheet2!$B$10:$C$18,2,FALSE)</f>
        <v>#N/A</v>
      </c>
      <c r="K296" s="67"/>
      <c r="L296" s="49"/>
      <c r="M296" s="49" t="e">
        <f>VLOOKUP(L296,Sheet2!$B$10:$C$18,2,FALSE)</f>
        <v>#N/A</v>
      </c>
      <c r="N296" s="67"/>
      <c r="O296" s="49"/>
      <c r="P296" s="49" t="e">
        <f>VLOOKUP(O296,Sheet2!$B$10:$C$18,2,FALSE)</f>
        <v>#N/A</v>
      </c>
      <c r="Q296" s="67"/>
      <c r="R296" s="49"/>
      <c r="S296" s="49" t="e">
        <f>VLOOKUP(R296,Sheet2!$B$10:$C$18,2,FALSE)</f>
        <v>#N/A</v>
      </c>
      <c r="T296" s="67"/>
      <c r="U296" s="67">
        <f t="shared" si="16"/>
        <v>0</v>
      </c>
      <c r="V296" s="67"/>
      <c r="W296" s="67"/>
      <c r="X296" s="67"/>
      <c r="Y296" s="66"/>
      <c r="Z296" s="66"/>
      <c r="AA296" s="66"/>
      <c r="AB296" s="66"/>
      <c r="AC296" s="66"/>
      <c r="AD296" s="42" t="str">
        <f t="shared" si="19"/>
        <v>ทันกำหนด</v>
      </c>
      <c r="AE296" s="43"/>
      <c r="AF296" s="43"/>
      <c r="AG296" s="43"/>
      <c r="AH296" s="44"/>
    </row>
    <row r="297" spans="1:34" ht="27.75" customHeight="1">
      <c r="A297" s="41">
        <v>294</v>
      </c>
      <c r="B297" s="66"/>
      <c r="C297" s="48"/>
      <c r="D297" s="48"/>
      <c r="E297" s="49"/>
      <c r="F297" s="49"/>
      <c r="G297" s="49">
        <f t="shared" si="17"/>
        <v>0</v>
      </c>
      <c r="H297" s="49" t="str">
        <f t="shared" si="18"/>
        <v>ครบ</v>
      </c>
      <c r="I297" s="49"/>
      <c r="J297" s="49" t="e">
        <f>VLOOKUP(I297,Sheet2!$B$10:$C$18,2,FALSE)</f>
        <v>#N/A</v>
      </c>
      <c r="K297" s="67"/>
      <c r="L297" s="49"/>
      <c r="M297" s="49" t="e">
        <f>VLOOKUP(L297,Sheet2!$B$10:$C$18,2,FALSE)</f>
        <v>#N/A</v>
      </c>
      <c r="N297" s="67"/>
      <c r="O297" s="49"/>
      <c r="P297" s="49" t="e">
        <f>VLOOKUP(O297,Sheet2!$B$10:$C$18,2,FALSE)</f>
        <v>#N/A</v>
      </c>
      <c r="Q297" s="67"/>
      <c r="R297" s="49"/>
      <c r="S297" s="49" t="e">
        <f>VLOOKUP(R297,Sheet2!$B$10:$C$18,2,FALSE)</f>
        <v>#N/A</v>
      </c>
      <c r="T297" s="67"/>
      <c r="U297" s="67">
        <f t="shared" si="16"/>
        <v>0</v>
      </c>
      <c r="V297" s="67"/>
      <c r="W297" s="67"/>
      <c r="X297" s="67"/>
      <c r="Y297" s="66"/>
      <c r="Z297" s="66"/>
      <c r="AA297" s="66"/>
      <c r="AB297" s="66"/>
      <c r="AC297" s="66"/>
      <c r="AD297" s="42" t="str">
        <f t="shared" si="19"/>
        <v>ทันกำหนด</v>
      </c>
      <c r="AE297" s="43"/>
      <c r="AF297" s="43"/>
      <c r="AG297" s="43"/>
      <c r="AH297" s="44"/>
    </row>
    <row r="298" spans="1:34" ht="27.75" customHeight="1">
      <c r="A298" s="41">
        <v>295</v>
      </c>
      <c r="B298" s="66"/>
      <c r="C298" s="48"/>
      <c r="D298" s="48"/>
      <c r="E298" s="49"/>
      <c r="F298" s="49"/>
      <c r="G298" s="49">
        <f t="shared" si="17"/>
        <v>0</v>
      </c>
      <c r="H298" s="49" t="str">
        <f t="shared" si="18"/>
        <v>ครบ</v>
      </c>
      <c r="I298" s="49"/>
      <c r="J298" s="49" t="e">
        <f>VLOOKUP(I298,Sheet2!$B$10:$C$18,2,FALSE)</f>
        <v>#N/A</v>
      </c>
      <c r="K298" s="67"/>
      <c r="L298" s="49"/>
      <c r="M298" s="49" t="e">
        <f>VLOOKUP(L298,Sheet2!$B$10:$C$18,2,FALSE)</f>
        <v>#N/A</v>
      </c>
      <c r="N298" s="67"/>
      <c r="O298" s="49"/>
      <c r="P298" s="49" t="e">
        <f>VLOOKUP(O298,Sheet2!$B$10:$C$18,2,FALSE)</f>
        <v>#N/A</v>
      </c>
      <c r="Q298" s="67"/>
      <c r="R298" s="49"/>
      <c r="S298" s="49" t="e">
        <f>VLOOKUP(R298,Sheet2!$B$10:$C$18,2,FALSE)</f>
        <v>#N/A</v>
      </c>
      <c r="T298" s="67"/>
      <c r="U298" s="67">
        <f t="shared" si="16"/>
        <v>0</v>
      </c>
      <c r="V298" s="67"/>
      <c r="W298" s="67"/>
      <c r="X298" s="67"/>
      <c r="Y298" s="66"/>
      <c r="Z298" s="66"/>
      <c r="AA298" s="66"/>
      <c r="AB298" s="66"/>
      <c r="AC298" s="66"/>
      <c r="AD298" s="42" t="str">
        <f t="shared" si="19"/>
        <v>ทันกำหนด</v>
      </c>
      <c r="AE298" s="43"/>
      <c r="AF298" s="43"/>
      <c r="AG298" s="43"/>
      <c r="AH298" s="44"/>
    </row>
    <row r="299" spans="1:34" ht="27.75" customHeight="1">
      <c r="A299" s="41">
        <v>296</v>
      </c>
      <c r="B299" s="66"/>
      <c r="C299" s="48"/>
      <c r="D299" s="48"/>
      <c r="E299" s="49"/>
      <c r="F299" s="49"/>
      <c r="G299" s="49">
        <f t="shared" si="17"/>
        <v>0</v>
      </c>
      <c r="H299" s="49" t="str">
        <f t="shared" si="18"/>
        <v>ครบ</v>
      </c>
      <c r="I299" s="49"/>
      <c r="J299" s="49" t="e">
        <f>VLOOKUP(I299,Sheet2!$B$10:$C$18,2,FALSE)</f>
        <v>#N/A</v>
      </c>
      <c r="K299" s="67"/>
      <c r="L299" s="49"/>
      <c r="M299" s="49" t="e">
        <f>VLOOKUP(L299,Sheet2!$B$10:$C$18,2,FALSE)</f>
        <v>#N/A</v>
      </c>
      <c r="N299" s="67"/>
      <c r="O299" s="49"/>
      <c r="P299" s="49" t="e">
        <f>VLOOKUP(O299,Sheet2!$B$10:$C$18,2,FALSE)</f>
        <v>#N/A</v>
      </c>
      <c r="Q299" s="67"/>
      <c r="R299" s="49"/>
      <c r="S299" s="49" t="e">
        <f>VLOOKUP(R299,Sheet2!$B$10:$C$18,2,FALSE)</f>
        <v>#N/A</v>
      </c>
      <c r="T299" s="67"/>
      <c r="U299" s="67">
        <f t="shared" si="16"/>
        <v>0</v>
      </c>
      <c r="V299" s="67"/>
      <c r="W299" s="67"/>
      <c r="X299" s="67"/>
      <c r="Y299" s="66"/>
      <c r="Z299" s="66"/>
      <c r="AA299" s="66"/>
      <c r="AB299" s="66"/>
      <c r="AC299" s="66"/>
      <c r="AD299" s="42" t="str">
        <f t="shared" si="19"/>
        <v>ทันกำหนด</v>
      </c>
      <c r="AE299" s="43"/>
      <c r="AF299" s="43"/>
      <c r="AG299" s="43"/>
      <c r="AH299" s="44"/>
    </row>
    <row r="300" spans="1:34" ht="27.75" customHeight="1">
      <c r="A300" s="41">
        <v>297</v>
      </c>
      <c r="B300" s="66"/>
      <c r="C300" s="48"/>
      <c r="D300" s="48"/>
      <c r="E300" s="49"/>
      <c r="F300" s="49"/>
      <c r="G300" s="49">
        <f t="shared" si="17"/>
        <v>0</v>
      </c>
      <c r="H300" s="49" t="str">
        <f t="shared" si="18"/>
        <v>ครบ</v>
      </c>
      <c r="I300" s="49"/>
      <c r="J300" s="49" t="e">
        <f>VLOOKUP(I300,Sheet2!$B$10:$C$18,2,FALSE)</f>
        <v>#N/A</v>
      </c>
      <c r="K300" s="67"/>
      <c r="L300" s="49"/>
      <c r="M300" s="49" t="e">
        <f>VLOOKUP(L300,Sheet2!$B$10:$C$18,2,FALSE)</f>
        <v>#N/A</v>
      </c>
      <c r="N300" s="67"/>
      <c r="O300" s="49"/>
      <c r="P300" s="49" t="e">
        <f>VLOOKUP(O300,Sheet2!$B$10:$C$18,2,FALSE)</f>
        <v>#N/A</v>
      </c>
      <c r="Q300" s="67"/>
      <c r="R300" s="49"/>
      <c r="S300" s="49" t="e">
        <f>VLOOKUP(R300,Sheet2!$B$10:$C$18,2,FALSE)</f>
        <v>#N/A</v>
      </c>
      <c r="T300" s="67"/>
      <c r="U300" s="67">
        <f t="shared" si="16"/>
        <v>0</v>
      </c>
      <c r="V300" s="67"/>
      <c r="W300" s="67"/>
      <c r="X300" s="67"/>
      <c r="Y300" s="66"/>
      <c r="Z300" s="66"/>
      <c r="AA300" s="66"/>
      <c r="AB300" s="66"/>
      <c r="AC300" s="66"/>
      <c r="AD300" s="42" t="str">
        <f t="shared" si="19"/>
        <v>ทันกำหนด</v>
      </c>
      <c r="AE300" s="43"/>
      <c r="AF300" s="43"/>
      <c r="AG300" s="43"/>
      <c r="AH300" s="44"/>
    </row>
    <row r="301" spans="1:34" ht="27.75" customHeight="1">
      <c r="A301" s="41">
        <v>298</v>
      </c>
      <c r="B301" s="66"/>
      <c r="C301" s="48"/>
      <c r="D301" s="48"/>
      <c r="E301" s="49"/>
      <c r="F301" s="49"/>
      <c r="G301" s="49">
        <f t="shared" si="17"/>
        <v>0</v>
      </c>
      <c r="H301" s="49" t="str">
        <f t="shared" si="18"/>
        <v>ครบ</v>
      </c>
      <c r="I301" s="49"/>
      <c r="J301" s="49" t="e">
        <f>VLOOKUP(I301,Sheet2!$B$10:$C$18,2,FALSE)</f>
        <v>#N/A</v>
      </c>
      <c r="K301" s="67"/>
      <c r="L301" s="49"/>
      <c r="M301" s="49" t="e">
        <f>VLOOKUP(L301,Sheet2!$B$10:$C$18,2,FALSE)</f>
        <v>#N/A</v>
      </c>
      <c r="N301" s="67"/>
      <c r="O301" s="49"/>
      <c r="P301" s="49" t="e">
        <f>VLOOKUP(O301,Sheet2!$B$10:$C$18,2,FALSE)</f>
        <v>#N/A</v>
      </c>
      <c r="Q301" s="67"/>
      <c r="R301" s="49"/>
      <c r="S301" s="49" t="e">
        <f>VLOOKUP(R301,Sheet2!$B$10:$C$18,2,FALSE)</f>
        <v>#N/A</v>
      </c>
      <c r="T301" s="67"/>
      <c r="U301" s="67">
        <f t="shared" si="16"/>
        <v>0</v>
      </c>
      <c r="V301" s="67"/>
      <c r="W301" s="67"/>
      <c r="X301" s="67"/>
      <c r="Y301" s="66"/>
      <c r="Z301" s="66"/>
      <c r="AA301" s="66"/>
      <c r="AB301" s="66"/>
      <c r="AC301" s="66"/>
      <c r="AD301" s="42" t="str">
        <f t="shared" si="19"/>
        <v>ทันกำหนด</v>
      </c>
      <c r="AE301" s="43"/>
      <c r="AF301" s="43"/>
      <c r="AG301" s="43"/>
      <c r="AH301" s="44"/>
    </row>
    <row r="302" spans="1:34" ht="27.75" customHeight="1">
      <c r="A302" s="41">
        <v>299</v>
      </c>
      <c r="B302" s="66"/>
      <c r="C302" s="48"/>
      <c r="D302" s="48"/>
      <c r="E302" s="49"/>
      <c r="F302" s="49"/>
      <c r="G302" s="49">
        <f t="shared" si="17"/>
        <v>0</v>
      </c>
      <c r="H302" s="49" t="str">
        <f t="shared" si="18"/>
        <v>ครบ</v>
      </c>
      <c r="I302" s="49"/>
      <c r="J302" s="49" t="e">
        <f>VLOOKUP(I302,Sheet2!$B$10:$C$18,2,FALSE)</f>
        <v>#N/A</v>
      </c>
      <c r="K302" s="67"/>
      <c r="L302" s="49"/>
      <c r="M302" s="49" t="e">
        <f>VLOOKUP(L302,Sheet2!$B$10:$C$18,2,FALSE)</f>
        <v>#N/A</v>
      </c>
      <c r="N302" s="67"/>
      <c r="O302" s="49"/>
      <c r="P302" s="49" t="e">
        <f>VLOOKUP(O302,Sheet2!$B$10:$C$18,2,FALSE)</f>
        <v>#N/A</v>
      </c>
      <c r="Q302" s="67"/>
      <c r="R302" s="49"/>
      <c r="S302" s="49" t="e">
        <f>VLOOKUP(R302,Sheet2!$B$10:$C$18,2,FALSE)</f>
        <v>#N/A</v>
      </c>
      <c r="T302" s="67"/>
      <c r="U302" s="67">
        <f t="shared" si="16"/>
        <v>0</v>
      </c>
      <c r="V302" s="67"/>
      <c r="W302" s="67"/>
      <c r="X302" s="67"/>
      <c r="Y302" s="66"/>
      <c r="Z302" s="66"/>
      <c r="AA302" s="66"/>
      <c r="AB302" s="66"/>
      <c r="AC302" s="66"/>
      <c r="AD302" s="42" t="str">
        <f t="shared" si="19"/>
        <v>ทันกำหนด</v>
      </c>
      <c r="AE302" s="43"/>
      <c r="AF302" s="43"/>
      <c r="AG302" s="43"/>
      <c r="AH302" s="44"/>
    </row>
    <row r="303" spans="1:34" ht="27.75" customHeight="1">
      <c r="A303" s="41">
        <v>300</v>
      </c>
      <c r="B303" s="66"/>
      <c r="C303" s="48"/>
      <c r="D303" s="48"/>
      <c r="E303" s="49"/>
      <c r="F303" s="49"/>
      <c r="G303" s="49">
        <f t="shared" si="17"/>
        <v>0</v>
      </c>
      <c r="H303" s="49" t="str">
        <f t="shared" si="18"/>
        <v>ครบ</v>
      </c>
      <c r="I303" s="49"/>
      <c r="J303" s="49" t="e">
        <f>VLOOKUP(I303,Sheet2!$B$10:$C$18,2,FALSE)</f>
        <v>#N/A</v>
      </c>
      <c r="K303" s="67"/>
      <c r="L303" s="49"/>
      <c r="M303" s="49" t="e">
        <f>VLOOKUP(L303,Sheet2!$B$10:$C$18,2,FALSE)</f>
        <v>#N/A</v>
      </c>
      <c r="N303" s="67"/>
      <c r="O303" s="49"/>
      <c r="P303" s="49" t="e">
        <f>VLOOKUP(O303,Sheet2!$B$10:$C$18,2,FALSE)</f>
        <v>#N/A</v>
      </c>
      <c r="Q303" s="67"/>
      <c r="R303" s="49"/>
      <c r="S303" s="49" t="e">
        <f>VLOOKUP(R303,Sheet2!$B$10:$C$18,2,FALSE)</f>
        <v>#N/A</v>
      </c>
      <c r="T303" s="67"/>
      <c r="U303" s="67">
        <f t="shared" si="16"/>
        <v>0</v>
      </c>
      <c r="V303" s="67"/>
      <c r="W303" s="67"/>
      <c r="X303" s="67"/>
      <c r="Y303" s="66"/>
      <c r="Z303" s="66"/>
      <c r="AA303" s="66"/>
      <c r="AB303" s="66"/>
      <c r="AC303" s="66"/>
      <c r="AD303" s="42" t="str">
        <f t="shared" si="19"/>
        <v>ทันกำหนด</v>
      </c>
      <c r="AE303" s="43"/>
      <c r="AF303" s="43"/>
      <c r="AG303" s="43"/>
      <c r="AH303" s="44"/>
    </row>
    <row r="304" spans="1:34" ht="27.75" customHeight="1">
      <c r="A304" s="41">
        <v>301</v>
      </c>
      <c r="B304" s="66"/>
      <c r="C304" s="48"/>
      <c r="D304" s="48"/>
      <c r="E304" s="49"/>
      <c r="F304" s="49"/>
      <c r="G304" s="49">
        <f t="shared" si="17"/>
        <v>0</v>
      </c>
      <c r="H304" s="49" t="str">
        <f t="shared" si="18"/>
        <v>ครบ</v>
      </c>
      <c r="I304" s="49"/>
      <c r="J304" s="49" t="e">
        <f>VLOOKUP(I304,Sheet2!$B$10:$C$18,2,FALSE)</f>
        <v>#N/A</v>
      </c>
      <c r="K304" s="67"/>
      <c r="L304" s="49"/>
      <c r="M304" s="49" t="e">
        <f>VLOOKUP(L304,Sheet2!$B$10:$C$18,2,FALSE)</f>
        <v>#N/A</v>
      </c>
      <c r="N304" s="67"/>
      <c r="O304" s="49"/>
      <c r="P304" s="49" t="e">
        <f>VLOOKUP(O304,Sheet2!$B$10:$C$18,2,FALSE)</f>
        <v>#N/A</v>
      </c>
      <c r="Q304" s="67"/>
      <c r="R304" s="49"/>
      <c r="S304" s="49" t="e">
        <f>VLOOKUP(R304,Sheet2!$B$10:$C$18,2,FALSE)</f>
        <v>#N/A</v>
      </c>
      <c r="T304" s="67"/>
      <c r="U304" s="67">
        <f t="shared" si="16"/>
        <v>0</v>
      </c>
      <c r="V304" s="67"/>
      <c r="W304" s="67"/>
      <c r="X304" s="67"/>
      <c r="Y304" s="66"/>
      <c r="Z304" s="66"/>
      <c r="AA304" s="66"/>
      <c r="AB304" s="66"/>
      <c r="AC304" s="66"/>
      <c r="AD304" s="42" t="str">
        <f t="shared" si="19"/>
        <v>ทันกำหนด</v>
      </c>
      <c r="AE304" s="43"/>
      <c r="AF304" s="43"/>
      <c r="AG304" s="43"/>
      <c r="AH304" s="44"/>
    </row>
    <row r="305" spans="1:34" ht="27.75" customHeight="1">
      <c r="A305" s="41">
        <v>302</v>
      </c>
      <c r="B305" s="66"/>
      <c r="C305" s="48"/>
      <c r="D305" s="48"/>
      <c r="E305" s="49"/>
      <c r="F305" s="49"/>
      <c r="G305" s="49">
        <f t="shared" si="17"/>
        <v>0</v>
      </c>
      <c r="H305" s="49" t="str">
        <f t="shared" si="18"/>
        <v>ครบ</v>
      </c>
      <c r="I305" s="49"/>
      <c r="J305" s="49" t="e">
        <f>VLOOKUP(I305,Sheet2!$B$10:$C$18,2,FALSE)</f>
        <v>#N/A</v>
      </c>
      <c r="K305" s="67"/>
      <c r="L305" s="49"/>
      <c r="M305" s="49" t="e">
        <f>VLOOKUP(L305,Sheet2!$B$10:$C$18,2,FALSE)</f>
        <v>#N/A</v>
      </c>
      <c r="N305" s="67"/>
      <c r="O305" s="49"/>
      <c r="P305" s="49" t="e">
        <f>VLOOKUP(O305,Sheet2!$B$10:$C$18,2,FALSE)</f>
        <v>#N/A</v>
      </c>
      <c r="Q305" s="67"/>
      <c r="R305" s="49"/>
      <c r="S305" s="49" t="e">
        <f>VLOOKUP(R305,Sheet2!$B$10:$C$18,2,FALSE)</f>
        <v>#N/A</v>
      </c>
      <c r="T305" s="67"/>
      <c r="U305" s="67">
        <f t="shared" si="16"/>
        <v>0</v>
      </c>
      <c r="V305" s="67"/>
      <c r="W305" s="67"/>
      <c r="X305" s="67"/>
      <c r="Y305" s="66"/>
      <c r="Z305" s="66"/>
      <c r="AA305" s="66"/>
      <c r="AB305" s="66"/>
      <c r="AC305" s="66"/>
      <c r="AD305" s="42" t="str">
        <f t="shared" si="19"/>
        <v>ทันกำหนด</v>
      </c>
      <c r="AE305" s="43"/>
      <c r="AF305" s="43"/>
      <c r="AG305" s="43"/>
      <c r="AH305" s="44"/>
    </row>
    <row r="306" spans="1:34" ht="27.75" customHeight="1">
      <c r="A306" s="41">
        <v>303</v>
      </c>
      <c r="B306" s="66"/>
      <c r="C306" s="48"/>
      <c r="D306" s="48"/>
      <c r="E306" s="49"/>
      <c r="F306" s="49"/>
      <c r="G306" s="49">
        <f t="shared" si="17"/>
        <v>0</v>
      </c>
      <c r="H306" s="49" t="str">
        <f t="shared" si="18"/>
        <v>ครบ</v>
      </c>
      <c r="I306" s="49"/>
      <c r="J306" s="49" t="e">
        <f>VLOOKUP(I306,Sheet2!$B$10:$C$18,2,FALSE)</f>
        <v>#N/A</v>
      </c>
      <c r="K306" s="67"/>
      <c r="L306" s="49"/>
      <c r="M306" s="49" t="e">
        <f>VLOOKUP(L306,Sheet2!$B$10:$C$18,2,FALSE)</f>
        <v>#N/A</v>
      </c>
      <c r="N306" s="67"/>
      <c r="O306" s="49"/>
      <c r="P306" s="49" t="e">
        <f>VLOOKUP(O306,Sheet2!$B$10:$C$18,2,FALSE)</f>
        <v>#N/A</v>
      </c>
      <c r="Q306" s="67"/>
      <c r="R306" s="49"/>
      <c r="S306" s="49" t="e">
        <f>VLOOKUP(R306,Sheet2!$B$10:$C$18,2,FALSE)</f>
        <v>#N/A</v>
      </c>
      <c r="T306" s="67"/>
      <c r="U306" s="67">
        <f t="shared" si="16"/>
        <v>0</v>
      </c>
      <c r="V306" s="67"/>
      <c r="W306" s="67"/>
      <c r="X306" s="67"/>
      <c r="Y306" s="66"/>
      <c r="Z306" s="66"/>
      <c r="AA306" s="66"/>
      <c r="AB306" s="66"/>
      <c r="AC306" s="66"/>
      <c r="AD306" s="42" t="str">
        <f t="shared" si="19"/>
        <v>ทันกำหนด</v>
      </c>
      <c r="AE306" s="43"/>
      <c r="AF306" s="43"/>
      <c r="AG306" s="43"/>
      <c r="AH306" s="44"/>
    </row>
    <row r="307" spans="1:34" ht="27.75" customHeight="1">
      <c r="A307" s="41">
        <v>304</v>
      </c>
      <c r="B307" s="66"/>
      <c r="C307" s="48"/>
      <c r="D307" s="48"/>
      <c r="E307" s="49"/>
      <c r="F307" s="49"/>
      <c r="G307" s="49">
        <f t="shared" si="17"/>
        <v>0</v>
      </c>
      <c r="H307" s="49" t="str">
        <f t="shared" si="18"/>
        <v>ครบ</v>
      </c>
      <c r="I307" s="49"/>
      <c r="J307" s="49" t="e">
        <f>VLOOKUP(I307,Sheet2!$B$10:$C$18,2,FALSE)</f>
        <v>#N/A</v>
      </c>
      <c r="K307" s="67"/>
      <c r="L307" s="49"/>
      <c r="M307" s="49" t="e">
        <f>VLOOKUP(L307,Sheet2!$B$10:$C$18,2,FALSE)</f>
        <v>#N/A</v>
      </c>
      <c r="N307" s="67"/>
      <c r="O307" s="49"/>
      <c r="P307" s="49" t="e">
        <f>VLOOKUP(O307,Sheet2!$B$10:$C$18,2,FALSE)</f>
        <v>#N/A</v>
      </c>
      <c r="Q307" s="67"/>
      <c r="R307" s="49"/>
      <c r="S307" s="49" t="e">
        <f>VLOOKUP(R307,Sheet2!$B$10:$C$18,2,FALSE)</f>
        <v>#N/A</v>
      </c>
      <c r="T307" s="67"/>
      <c r="U307" s="67">
        <f t="shared" si="16"/>
        <v>0</v>
      </c>
      <c r="V307" s="67"/>
      <c r="W307" s="67"/>
      <c r="X307" s="67"/>
      <c r="Y307" s="66"/>
      <c r="Z307" s="66"/>
      <c r="AA307" s="66"/>
      <c r="AB307" s="66"/>
      <c r="AC307" s="66"/>
      <c r="AD307" s="42" t="str">
        <f t="shared" si="19"/>
        <v>ทันกำหนด</v>
      </c>
      <c r="AE307" s="43"/>
      <c r="AF307" s="43"/>
      <c r="AG307" s="43"/>
      <c r="AH307" s="44"/>
    </row>
    <row r="308" spans="1:34" ht="27.75" customHeight="1">
      <c r="A308" s="41">
        <v>305</v>
      </c>
      <c r="B308" s="66"/>
      <c r="C308" s="48"/>
      <c r="D308" s="48"/>
      <c r="E308" s="49"/>
      <c r="F308" s="49"/>
      <c r="G308" s="49">
        <f t="shared" si="17"/>
        <v>0</v>
      </c>
      <c r="H308" s="49" t="str">
        <f t="shared" si="18"/>
        <v>ครบ</v>
      </c>
      <c r="I308" s="49"/>
      <c r="J308" s="49" t="e">
        <f>VLOOKUP(I308,Sheet2!$B$10:$C$18,2,FALSE)</f>
        <v>#N/A</v>
      </c>
      <c r="K308" s="67"/>
      <c r="L308" s="49"/>
      <c r="M308" s="49" t="e">
        <f>VLOOKUP(L308,Sheet2!$B$10:$C$18,2,FALSE)</f>
        <v>#N/A</v>
      </c>
      <c r="N308" s="67"/>
      <c r="O308" s="49"/>
      <c r="P308" s="49" t="e">
        <f>VLOOKUP(O308,Sheet2!$B$10:$C$18,2,FALSE)</f>
        <v>#N/A</v>
      </c>
      <c r="Q308" s="67"/>
      <c r="R308" s="49"/>
      <c r="S308" s="49" t="e">
        <f>VLOOKUP(R308,Sheet2!$B$10:$C$18,2,FALSE)</f>
        <v>#N/A</v>
      </c>
      <c r="T308" s="67"/>
      <c r="U308" s="67">
        <f t="shared" si="16"/>
        <v>0</v>
      </c>
      <c r="V308" s="67"/>
      <c r="W308" s="67"/>
      <c r="X308" s="67"/>
      <c r="Y308" s="66"/>
      <c r="Z308" s="66"/>
      <c r="AA308" s="66"/>
      <c r="AB308" s="66"/>
      <c r="AC308" s="66"/>
      <c r="AD308" s="42" t="str">
        <f t="shared" si="19"/>
        <v>ทันกำหนด</v>
      </c>
      <c r="AE308" s="43"/>
      <c r="AF308" s="43"/>
      <c r="AG308" s="43"/>
      <c r="AH308" s="44"/>
    </row>
    <row r="309" spans="1:34" ht="27.75" customHeight="1">
      <c r="A309" s="41">
        <v>306</v>
      </c>
      <c r="B309" s="66"/>
      <c r="C309" s="48"/>
      <c r="D309" s="48"/>
      <c r="E309" s="49"/>
      <c r="F309" s="49"/>
      <c r="G309" s="49">
        <f t="shared" si="17"/>
        <v>0</v>
      </c>
      <c r="H309" s="49" t="str">
        <f t="shared" si="18"/>
        <v>ครบ</v>
      </c>
      <c r="I309" s="49"/>
      <c r="J309" s="49" t="e">
        <f>VLOOKUP(I309,Sheet2!$B$10:$C$18,2,FALSE)</f>
        <v>#N/A</v>
      </c>
      <c r="K309" s="67"/>
      <c r="L309" s="49"/>
      <c r="M309" s="49" t="e">
        <f>VLOOKUP(L309,Sheet2!$B$10:$C$18,2,FALSE)</f>
        <v>#N/A</v>
      </c>
      <c r="N309" s="67"/>
      <c r="O309" s="49"/>
      <c r="P309" s="49" t="e">
        <f>VLOOKUP(O309,Sheet2!$B$10:$C$18,2,FALSE)</f>
        <v>#N/A</v>
      </c>
      <c r="Q309" s="67"/>
      <c r="R309" s="49"/>
      <c r="S309" s="49" t="e">
        <f>VLOOKUP(R309,Sheet2!$B$10:$C$18,2,FALSE)</f>
        <v>#N/A</v>
      </c>
      <c r="T309" s="67"/>
      <c r="U309" s="67">
        <f t="shared" si="16"/>
        <v>0</v>
      </c>
      <c r="V309" s="67"/>
      <c r="W309" s="67"/>
      <c r="X309" s="67"/>
      <c r="Y309" s="66"/>
      <c r="Z309" s="66"/>
      <c r="AA309" s="66"/>
      <c r="AB309" s="66"/>
      <c r="AC309" s="66"/>
      <c r="AD309" s="42" t="str">
        <f t="shared" si="19"/>
        <v>ทันกำหนด</v>
      </c>
      <c r="AE309" s="43"/>
      <c r="AF309" s="43"/>
      <c r="AG309" s="43"/>
      <c r="AH309" s="44"/>
    </row>
    <row r="310" spans="1:34" ht="27.75" customHeight="1">
      <c r="A310" s="41">
        <v>307</v>
      </c>
      <c r="B310" s="66"/>
      <c r="C310" s="48"/>
      <c r="D310" s="48"/>
      <c r="E310" s="49"/>
      <c r="F310" s="49"/>
      <c r="G310" s="49">
        <f t="shared" si="17"/>
        <v>0</v>
      </c>
      <c r="H310" s="49" t="str">
        <f t="shared" si="18"/>
        <v>ครบ</v>
      </c>
      <c r="I310" s="49"/>
      <c r="J310" s="49" t="e">
        <f>VLOOKUP(I310,Sheet2!$B$10:$C$18,2,FALSE)</f>
        <v>#N/A</v>
      </c>
      <c r="K310" s="67"/>
      <c r="L310" s="49"/>
      <c r="M310" s="49" t="e">
        <f>VLOOKUP(L310,Sheet2!$B$10:$C$18,2,FALSE)</f>
        <v>#N/A</v>
      </c>
      <c r="N310" s="67"/>
      <c r="O310" s="49"/>
      <c r="P310" s="49" t="e">
        <f>VLOOKUP(O310,Sheet2!$B$10:$C$18,2,FALSE)</f>
        <v>#N/A</v>
      </c>
      <c r="Q310" s="67"/>
      <c r="R310" s="49"/>
      <c r="S310" s="49" t="e">
        <f>VLOOKUP(R310,Sheet2!$B$10:$C$18,2,FALSE)</f>
        <v>#N/A</v>
      </c>
      <c r="T310" s="67"/>
      <c r="U310" s="67">
        <f t="shared" si="16"/>
        <v>0</v>
      </c>
      <c r="V310" s="67"/>
      <c r="W310" s="67"/>
      <c r="X310" s="67"/>
      <c r="Y310" s="66"/>
      <c r="Z310" s="66"/>
      <c r="AA310" s="66"/>
      <c r="AB310" s="66"/>
      <c r="AC310" s="66"/>
      <c r="AD310" s="42" t="str">
        <f t="shared" si="19"/>
        <v>ทันกำหนด</v>
      </c>
      <c r="AE310" s="43"/>
      <c r="AF310" s="43"/>
      <c r="AG310" s="43"/>
      <c r="AH310" s="44"/>
    </row>
    <row r="311" spans="1:34" ht="27.75" customHeight="1">
      <c r="A311" s="41">
        <v>308</v>
      </c>
      <c r="B311" s="66"/>
      <c r="C311" s="48"/>
      <c r="D311" s="48"/>
      <c r="E311" s="49"/>
      <c r="F311" s="49"/>
      <c r="G311" s="49">
        <f t="shared" si="17"/>
        <v>0</v>
      </c>
      <c r="H311" s="49" t="str">
        <f t="shared" si="18"/>
        <v>ครบ</v>
      </c>
      <c r="I311" s="49"/>
      <c r="J311" s="49" t="e">
        <f>VLOOKUP(I311,Sheet2!$B$10:$C$18,2,FALSE)</f>
        <v>#N/A</v>
      </c>
      <c r="K311" s="67"/>
      <c r="L311" s="49"/>
      <c r="M311" s="49" t="e">
        <f>VLOOKUP(L311,Sheet2!$B$10:$C$18,2,FALSE)</f>
        <v>#N/A</v>
      </c>
      <c r="N311" s="67"/>
      <c r="O311" s="49"/>
      <c r="P311" s="49" t="e">
        <f>VLOOKUP(O311,Sheet2!$B$10:$C$18,2,FALSE)</f>
        <v>#N/A</v>
      </c>
      <c r="Q311" s="67"/>
      <c r="R311" s="49"/>
      <c r="S311" s="49" t="e">
        <f>VLOOKUP(R311,Sheet2!$B$10:$C$18,2,FALSE)</f>
        <v>#N/A</v>
      </c>
      <c r="T311" s="67"/>
      <c r="U311" s="67">
        <f t="shared" si="16"/>
        <v>0</v>
      </c>
      <c r="V311" s="67"/>
      <c r="W311" s="67"/>
      <c r="X311" s="67"/>
      <c r="Y311" s="66"/>
      <c r="Z311" s="66"/>
      <c r="AA311" s="66"/>
      <c r="AB311" s="66"/>
      <c r="AC311" s="66"/>
      <c r="AD311" s="42" t="str">
        <f t="shared" si="19"/>
        <v>ทันกำหนด</v>
      </c>
      <c r="AE311" s="43"/>
      <c r="AF311" s="43"/>
      <c r="AG311" s="43"/>
      <c r="AH311" s="44"/>
    </row>
    <row r="312" spans="1:34" ht="27.75" customHeight="1">
      <c r="A312" s="41">
        <v>309</v>
      </c>
      <c r="B312" s="66"/>
      <c r="C312" s="48"/>
      <c r="D312" s="48"/>
      <c r="E312" s="49"/>
      <c r="F312" s="49"/>
      <c r="G312" s="49">
        <f t="shared" si="17"/>
        <v>0</v>
      </c>
      <c r="H312" s="49" t="str">
        <f t="shared" si="18"/>
        <v>ครบ</v>
      </c>
      <c r="I312" s="49"/>
      <c r="J312" s="49" t="e">
        <f>VLOOKUP(I312,Sheet2!$B$10:$C$18,2,FALSE)</f>
        <v>#N/A</v>
      </c>
      <c r="K312" s="67"/>
      <c r="L312" s="49"/>
      <c r="M312" s="49" t="e">
        <f>VLOOKUP(L312,Sheet2!$B$10:$C$18,2,FALSE)</f>
        <v>#N/A</v>
      </c>
      <c r="N312" s="67"/>
      <c r="O312" s="49"/>
      <c r="P312" s="49" t="e">
        <f>VLOOKUP(O312,Sheet2!$B$10:$C$18,2,FALSE)</f>
        <v>#N/A</v>
      </c>
      <c r="Q312" s="67"/>
      <c r="R312" s="49"/>
      <c r="S312" s="49" t="e">
        <f>VLOOKUP(R312,Sheet2!$B$10:$C$18,2,FALSE)</f>
        <v>#N/A</v>
      </c>
      <c r="T312" s="67"/>
      <c r="U312" s="67">
        <f t="shared" si="16"/>
        <v>0</v>
      </c>
      <c r="V312" s="67"/>
      <c r="W312" s="67"/>
      <c r="X312" s="67"/>
      <c r="Y312" s="66"/>
      <c r="Z312" s="66"/>
      <c r="AA312" s="66"/>
      <c r="AB312" s="66"/>
      <c r="AC312" s="66"/>
      <c r="AD312" s="42" t="str">
        <f t="shared" si="19"/>
        <v>ทันกำหนด</v>
      </c>
      <c r="AE312" s="43"/>
      <c r="AF312" s="43"/>
      <c r="AG312" s="43"/>
      <c r="AH312" s="44"/>
    </row>
    <row r="313" spans="1:34" ht="27.75" customHeight="1">
      <c r="A313" s="41">
        <v>310</v>
      </c>
      <c r="B313" s="66"/>
      <c r="C313" s="48"/>
      <c r="D313" s="48"/>
      <c r="E313" s="49"/>
      <c r="F313" s="49"/>
      <c r="G313" s="49">
        <f t="shared" si="17"/>
        <v>0</v>
      </c>
      <c r="H313" s="49" t="str">
        <f t="shared" si="18"/>
        <v>ครบ</v>
      </c>
      <c r="I313" s="49"/>
      <c r="J313" s="49" t="e">
        <f>VLOOKUP(I313,Sheet2!$B$10:$C$18,2,FALSE)</f>
        <v>#N/A</v>
      </c>
      <c r="K313" s="67"/>
      <c r="L313" s="49"/>
      <c r="M313" s="49" t="e">
        <f>VLOOKUP(L313,Sheet2!$B$10:$C$18,2,FALSE)</f>
        <v>#N/A</v>
      </c>
      <c r="N313" s="67"/>
      <c r="O313" s="49"/>
      <c r="P313" s="49" t="e">
        <f>VLOOKUP(O313,Sheet2!$B$10:$C$18,2,FALSE)</f>
        <v>#N/A</v>
      </c>
      <c r="Q313" s="67"/>
      <c r="R313" s="49"/>
      <c r="S313" s="49" t="e">
        <f>VLOOKUP(R313,Sheet2!$B$10:$C$18,2,FALSE)</f>
        <v>#N/A</v>
      </c>
      <c r="T313" s="67"/>
      <c r="U313" s="67">
        <f t="shared" si="16"/>
        <v>0</v>
      </c>
      <c r="V313" s="67"/>
      <c r="W313" s="67"/>
      <c r="X313" s="67"/>
      <c r="Y313" s="66"/>
      <c r="Z313" s="66"/>
      <c r="AA313" s="66"/>
      <c r="AB313" s="66"/>
      <c r="AC313" s="66"/>
      <c r="AD313" s="42" t="str">
        <f t="shared" si="19"/>
        <v>ทันกำหนด</v>
      </c>
      <c r="AE313" s="43"/>
      <c r="AF313" s="43"/>
      <c r="AG313" s="43"/>
      <c r="AH313" s="44"/>
    </row>
    <row r="314" spans="1:34" ht="27.75" customHeight="1">
      <c r="A314" s="41">
        <v>311</v>
      </c>
      <c r="B314" s="66"/>
      <c r="C314" s="48"/>
      <c r="D314" s="48"/>
      <c r="E314" s="49"/>
      <c r="F314" s="49"/>
      <c r="G314" s="49">
        <f t="shared" si="17"/>
        <v>0</v>
      </c>
      <c r="H314" s="49" t="str">
        <f t="shared" si="18"/>
        <v>ครบ</v>
      </c>
      <c r="I314" s="49"/>
      <c r="J314" s="49" t="e">
        <f>VLOOKUP(I314,Sheet2!$B$10:$C$18,2,FALSE)</f>
        <v>#N/A</v>
      </c>
      <c r="K314" s="67"/>
      <c r="L314" s="49"/>
      <c r="M314" s="49" t="e">
        <f>VLOOKUP(L314,Sheet2!$B$10:$C$18,2,FALSE)</f>
        <v>#N/A</v>
      </c>
      <c r="N314" s="67"/>
      <c r="O314" s="49"/>
      <c r="P314" s="49" t="e">
        <f>VLOOKUP(O314,Sheet2!$B$10:$C$18,2,FALSE)</f>
        <v>#N/A</v>
      </c>
      <c r="Q314" s="67"/>
      <c r="R314" s="49"/>
      <c r="S314" s="49" t="e">
        <f>VLOOKUP(R314,Sheet2!$B$10:$C$18,2,FALSE)</f>
        <v>#N/A</v>
      </c>
      <c r="T314" s="67"/>
      <c r="U314" s="67">
        <f t="shared" si="16"/>
        <v>0</v>
      </c>
      <c r="V314" s="67"/>
      <c r="W314" s="67"/>
      <c r="X314" s="67"/>
      <c r="Y314" s="66"/>
      <c r="Z314" s="66"/>
      <c r="AA314" s="66"/>
      <c r="AB314" s="66"/>
      <c r="AC314" s="66"/>
      <c r="AD314" s="42" t="str">
        <f t="shared" si="19"/>
        <v>ทันกำหนด</v>
      </c>
      <c r="AE314" s="43"/>
      <c r="AF314" s="43"/>
      <c r="AG314" s="43"/>
      <c r="AH314" s="44"/>
    </row>
    <row r="315" spans="1:34" ht="27.75" customHeight="1">
      <c r="A315" s="41">
        <v>312</v>
      </c>
      <c r="B315" s="66"/>
      <c r="C315" s="48"/>
      <c r="D315" s="48"/>
      <c r="E315" s="49"/>
      <c r="F315" s="49"/>
      <c r="G315" s="49">
        <f t="shared" si="17"/>
        <v>0</v>
      </c>
      <c r="H315" s="49" t="str">
        <f t="shared" si="18"/>
        <v>ครบ</v>
      </c>
      <c r="I315" s="49"/>
      <c r="J315" s="49" t="e">
        <f>VLOOKUP(I315,Sheet2!$B$10:$C$18,2,FALSE)</f>
        <v>#N/A</v>
      </c>
      <c r="K315" s="67"/>
      <c r="L315" s="49"/>
      <c r="M315" s="49" t="e">
        <f>VLOOKUP(L315,Sheet2!$B$10:$C$18,2,FALSE)</f>
        <v>#N/A</v>
      </c>
      <c r="N315" s="67"/>
      <c r="O315" s="49"/>
      <c r="P315" s="49" t="e">
        <f>VLOOKUP(O315,Sheet2!$B$10:$C$18,2,FALSE)</f>
        <v>#N/A</v>
      </c>
      <c r="Q315" s="67"/>
      <c r="R315" s="49"/>
      <c r="S315" s="49" t="e">
        <f>VLOOKUP(R315,Sheet2!$B$10:$C$18,2,FALSE)</f>
        <v>#N/A</v>
      </c>
      <c r="T315" s="67"/>
      <c r="U315" s="67">
        <f t="shared" si="16"/>
        <v>0</v>
      </c>
      <c r="V315" s="67"/>
      <c r="W315" s="67"/>
      <c r="X315" s="67"/>
      <c r="Y315" s="66"/>
      <c r="Z315" s="66"/>
      <c r="AA315" s="66"/>
      <c r="AB315" s="66"/>
      <c r="AC315" s="66"/>
      <c r="AD315" s="42" t="str">
        <f t="shared" si="19"/>
        <v>ทันกำหนด</v>
      </c>
      <c r="AE315" s="43"/>
      <c r="AF315" s="43"/>
      <c r="AG315" s="43"/>
      <c r="AH315" s="44"/>
    </row>
    <row r="316" spans="1:34" ht="27.75" customHeight="1">
      <c r="A316" s="41">
        <v>313</v>
      </c>
      <c r="B316" s="66"/>
      <c r="C316" s="48"/>
      <c r="D316" s="48"/>
      <c r="E316" s="49"/>
      <c r="F316" s="49"/>
      <c r="G316" s="49">
        <f t="shared" si="17"/>
        <v>0</v>
      </c>
      <c r="H316" s="49" t="str">
        <f t="shared" si="18"/>
        <v>ครบ</v>
      </c>
      <c r="I316" s="49"/>
      <c r="J316" s="49" t="e">
        <f>VLOOKUP(I316,Sheet2!$B$10:$C$18,2,FALSE)</f>
        <v>#N/A</v>
      </c>
      <c r="K316" s="67"/>
      <c r="L316" s="49"/>
      <c r="M316" s="49" t="e">
        <f>VLOOKUP(L316,Sheet2!$B$10:$C$18,2,FALSE)</f>
        <v>#N/A</v>
      </c>
      <c r="N316" s="67"/>
      <c r="O316" s="49"/>
      <c r="P316" s="49" t="e">
        <f>VLOOKUP(O316,Sheet2!$B$10:$C$18,2,FALSE)</f>
        <v>#N/A</v>
      </c>
      <c r="Q316" s="67"/>
      <c r="R316" s="49"/>
      <c r="S316" s="49" t="e">
        <f>VLOOKUP(R316,Sheet2!$B$10:$C$18,2,FALSE)</f>
        <v>#N/A</v>
      </c>
      <c r="T316" s="67"/>
      <c r="U316" s="67">
        <f t="shared" si="16"/>
        <v>0</v>
      </c>
      <c r="V316" s="67"/>
      <c r="W316" s="67"/>
      <c r="X316" s="67"/>
      <c r="Y316" s="66"/>
      <c r="Z316" s="66"/>
      <c r="AA316" s="66"/>
      <c r="AB316" s="66"/>
      <c r="AC316" s="66"/>
      <c r="AD316" s="42" t="str">
        <f t="shared" si="19"/>
        <v>ทันกำหนด</v>
      </c>
      <c r="AE316" s="43"/>
      <c r="AF316" s="43"/>
      <c r="AG316" s="43"/>
      <c r="AH316" s="44"/>
    </row>
    <row r="317" spans="1:34" ht="27.75" customHeight="1">
      <c r="A317" s="41">
        <v>314</v>
      </c>
      <c r="B317" s="66"/>
      <c r="C317" s="48"/>
      <c r="D317" s="48"/>
      <c r="E317" s="49"/>
      <c r="F317" s="49"/>
      <c r="G317" s="49">
        <f t="shared" si="17"/>
        <v>0</v>
      </c>
      <c r="H317" s="49" t="str">
        <f t="shared" si="18"/>
        <v>ครบ</v>
      </c>
      <c r="I317" s="49"/>
      <c r="J317" s="49" t="e">
        <f>VLOOKUP(I317,Sheet2!$B$10:$C$18,2,FALSE)</f>
        <v>#N/A</v>
      </c>
      <c r="K317" s="67"/>
      <c r="L317" s="49"/>
      <c r="M317" s="49" t="e">
        <f>VLOOKUP(L317,Sheet2!$B$10:$C$18,2,FALSE)</f>
        <v>#N/A</v>
      </c>
      <c r="N317" s="67"/>
      <c r="O317" s="49"/>
      <c r="P317" s="49" t="e">
        <f>VLOOKUP(O317,Sheet2!$B$10:$C$18,2,FALSE)</f>
        <v>#N/A</v>
      </c>
      <c r="Q317" s="67"/>
      <c r="R317" s="49"/>
      <c r="S317" s="49" t="e">
        <f>VLOOKUP(R317,Sheet2!$B$10:$C$18,2,FALSE)</f>
        <v>#N/A</v>
      </c>
      <c r="T317" s="67"/>
      <c r="U317" s="67">
        <f t="shared" si="16"/>
        <v>0</v>
      </c>
      <c r="V317" s="67"/>
      <c r="W317" s="67"/>
      <c r="X317" s="67"/>
      <c r="Y317" s="66"/>
      <c r="Z317" s="66"/>
      <c r="AA317" s="66"/>
      <c r="AB317" s="66"/>
      <c r="AC317" s="66"/>
      <c r="AD317" s="42" t="str">
        <f t="shared" si="19"/>
        <v>ทันกำหนด</v>
      </c>
      <c r="AE317" s="43"/>
      <c r="AF317" s="43"/>
      <c r="AG317" s="43"/>
      <c r="AH317" s="44"/>
    </row>
    <row r="318" spans="1:34" ht="27.75" customHeight="1">
      <c r="A318" s="41">
        <v>315</v>
      </c>
      <c r="B318" s="66"/>
      <c r="C318" s="48"/>
      <c r="D318" s="48"/>
      <c r="E318" s="49"/>
      <c r="F318" s="49"/>
      <c r="G318" s="49">
        <f t="shared" si="17"/>
        <v>0</v>
      </c>
      <c r="H318" s="49" t="str">
        <f t="shared" si="18"/>
        <v>ครบ</v>
      </c>
      <c r="I318" s="49"/>
      <c r="J318" s="49" t="e">
        <f>VLOOKUP(I318,Sheet2!$B$10:$C$18,2,FALSE)</f>
        <v>#N/A</v>
      </c>
      <c r="K318" s="67"/>
      <c r="L318" s="49"/>
      <c r="M318" s="49" t="e">
        <f>VLOOKUP(L318,Sheet2!$B$10:$C$18,2,FALSE)</f>
        <v>#N/A</v>
      </c>
      <c r="N318" s="67"/>
      <c r="O318" s="49"/>
      <c r="P318" s="49" t="e">
        <f>VLOOKUP(O318,Sheet2!$B$10:$C$18,2,FALSE)</f>
        <v>#N/A</v>
      </c>
      <c r="Q318" s="67"/>
      <c r="R318" s="49"/>
      <c r="S318" s="49" t="e">
        <f>VLOOKUP(R318,Sheet2!$B$10:$C$18,2,FALSE)</f>
        <v>#N/A</v>
      </c>
      <c r="T318" s="67"/>
      <c r="U318" s="67">
        <f t="shared" si="16"/>
        <v>0</v>
      </c>
      <c r="V318" s="67"/>
      <c r="W318" s="67"/>
      <c r="X318" s="67"/>
      <c r="Y318" s="66"/>
      <c r="Z318" s="66"/>
      <c r="AA318" s="66"/>
      <c r="AB318" s="66"/>
      <c r="AC318" s="66"/>
      <c r="AD318" s="42" t="str">
        <f t="shared" si="19"/>
        <v>ทันกำหนด</v>
      </c>
      <c r="AE318" s="43"/>
      <c r="AF318" s="43"/>
      <c r="AG318" s="43"/>
      <c r="AH318" s="44"/>
    </row>
    <row r="319" spans="1:34" ht="27.75" customHeight="1">
      <c r="A319" s="41">
        <v>316</v>
      </c>
      <c r="B319" s="66"/>
      <c r="C319" s="48"/>
      <c r="D319" s="48"/>
      <c r="E319" s="49"/>
      <c r="F319" s="49"/>
      <c r="G319" s="49">
        <f t="shared" si="17"/>
        <v>0</v>
      </c>
      <c r="H319" s="49" t="str">
        <f t="shared" si="18"/>
        <v>ครบ</v>
      </c>
      <c r="I319" s="49"/>
      <c r="J319" s="49" t="e">
        <f>VLOOKUP(I319,Sheet2!$B$10:$C$18,2,FALSE)</f>
        <v>#N/A</v>
      </c>
      <c r="K319" s="67"/>
      <c r="L319" s="49"/>
      <c r="M319" s="49" t="e">
        <f>VLOOKUP(L319,Sheet2!$B$10:$C$18,2,FALSE)</f>
        <v>#N/A</v>
      </c>
      <c r="N319" s="67"/>
      <c r="O319" s="49"/>
      <c r="P319" s="49" t="e">
        <f>VLOOKUP(O319,Sheet2!$B$10:$C$18,2,FALSE)</f>
        <v>#N/A</v>
      </c>
      <c r="Q319" s="67"/>
      <c r="R319" s="49"/>
      <c r="S319" s="49" t="e">
        <f>VLOOKUP(R319,Sheet2!$B$10:$C$18,2,FALSE)</f>
        <v>#N/A</v>
      </c>
      <c r="T319" s="67"/>
      <c r="U319" s="67">
        <f t="shared" si="16"/>
        <v>0</v>
      </c>
      <c r="V319" s="67"/>
      <c r="W319" s="67"/>
      <c r="X319" s="67"/>
      <c r="Y319" s="66"/>
      <c r="Z319" s="66"/>
      <c r="AA319" s="66"/>
      <c r="AB319" s="66"/>
      <c r="AC319" s="66"/>
      <c r="AD319" s="42" t="str">
        <f t="shared" si="19"/>
        <v>ทันกำหนด</v>
      </c>
      <c r="AE319" s="43"/>
      <c r="AF319" s="43"/>
      <c r="AG319" s="43"/>
      <c r="AH319" s="44"/>
    </row>
    <row r="320" spans="1:34" ht="27.75" customHeight="1">
      <c r="A320" s="41">
        <v>317</v>
      </c>
      <c r="B320" s="66"/>
      <c r="C320" s="48"/>
      <c r="D320" s="48"/>
      <c r="E320" s="49"/>
      <c r="F320" s="49"/>
      <c r="G320" s="49">
        <f t="shared" si="17"/>
        <v>0</v>
      </c>
      <c r="H320" s="49" t="str">
        <f t="shared" si="18"/>
        <v>ครบ</v>
      </c>
      <c r="I320" s="49"/>
      <c r="J320" s="49" t="e">
        <f>VLOOKUP(I320,Sheet2!$B$10:$C$18,2,FALSE)</f>
        <v>#N/A</v>
      </c>
      <c r="K320" s="67"/>
      <c r="L320" s="49"/>
      <c r="M320" s="49" t="e">
        <f>VLOOKUP(L320,Sheet2!$B$10:$C$18,2,FALSE)</f>
        <v>#N/A</v>
      </c>
      <c r="N320" s="67"/>
      <c r="O320" s="49"/>
      <c r="P320" s="49" t="e">
        <f>VLOOKUP(O320,Sheet2!$B$10:$C$18,2,FALSE)</f>
        <v>#N/A</v>
      </c>
      <c r="Q320" s="67"/>
      <c r="R320" s="49"/>
      <c r="S320" s="49" t="e">
        <f>VLOOKUP(R320,Sheet2!$B$10:$C$18,2,FALSE)</f>
        <v>#N/A</v>
      </c>
      <c r="T320" s="67"/>
      <c r="U320" s="67">
        <f t="shared" si="16"/>
        <v>0</v>
      </c>
      <c r="V320" s="67"/>
      <c r="W320" s="67"/>
      <c r="X320" s="67"/>
      <c r="Y320" s="66"/>
      <c r="Z320" s="66"/>
      <c r="AA320" s="66"/>
      <c r="AB320" s="66"/>
      <c r="AC320" s="66"/>
      <c r="AD320" s="42" t="str">
        <f t="shared" si="19"/>
        <v>ทันกำหนด</v>
      </c>
      <c r="AE320" s="43"/>
      <c r="AF320" s="43"/>
      <c r="AG320" s="43"/>
      <c r="AH320" s="44"/>
    </row>
    <row r="321" spans="1:34" ht="27.75" customHeight="1">
      <c r="A321" s="41">
        <v>318</v>
      </c>
      <c r="B321" s="66"/>
      <c r="C321" s="48"/>
      <c r="D321" s="48"/>
      <c r="E321" s="49"/>
      <c r="F321" s="49"/>
      <c r="G321" s="49">
        <f t="shared" si="17"/>
        <v>0</v>
      </c>
      <c r="H321" s="49" t="str">
        <f t="shared" si="18"/>
        <v>ครบ</v>
      </c>
      <c r="I321" s="49"/>
      <c r="J321" s="49" t="e">
        <f>VLOOKUP(I321,Sheet2!$B$10:$C$18,2,FALSE)</f>
        <v>#N/A</v>
      </c>
      <c r="K321" s="67"/>
      <c r="L321" s="49"/>
      <c r="M321" s="49" t="e">
        <f>VLOOKUP(L321,Sheet2!$B$10:$C$18,2,FALSE)</f>
        <v>#N/A</v>
      </c>
      <c r="N321" s="67"/>
      <c r="O321" s="49"/>
      <c r="P321" s="49" t="e">
        <f>VLOOKUP(O321,Sheet2!$B$10:$C$18,2,FALSE)</f>
        <v>#N/A</v>
      </c>
      <c r="Q321" s="67"/>
      <c r="R321" s="49"/>
      <c r="S321" s="49" t="e">
        <f>VLOOKUP(R321,Sheet2!$B$10:$C$18,2,FALSE)</f>
        <v>#N/A</v>
      </c>
      <c r="T321" s="67"/>
      <c r="U321" s="67">
        <f t="shared" si="16"/>
        <v>0</v>
      </c>
      <c r="V321" s="67"/>
      <c r="W321" s="67"/>
      <c r="X321" s="67"/>
      <c r="Y321" s="66"/>
      <c r="Z321" s="66"/>
      <c r="AA321" s="66"/>
      <c r="AB321" s="66"/>
      <c r="AC321" s="66"/>
      <c r="AD321" s="42" t="str">
        <f t="shared" si="19"/>
        <v>ทันกำหนด</v>
      </c>
      <c r="AE321" s="43"/>
      <c r="AF321" s="43"/>
      <c r="AG321" s="43"/>
      <c r="AH321" s="44"/>
    </row>
    <row r="322" spans="1:34" ht="27.75" customHeight="1">
      <c r="A322" s="41">
        <v>319</v>
      </c>
      <c r="B322" s="66"/>
      <c r="C322" s="48"/>
      <c r="D322" s="48"/>
      <c r="E322" s="49"/>
      <c r="F322" s="49"/>
      <c r="G322" s="49">
        <f t="shared" si="17"/>
        <v>0</v>
      </c>
      <c r="H322" s="49" t="str">
        <f t="shared" si="18"/>
        <v>ครบ</v>
      </c>
      <c r="I322" s="49"/>
      <c r="J322" s="49" t="e">
        <f>VLOOKUP(I322,Sheet2!$B$10:$C$18,2,FALSE)</f>
        <v>#N/A</v>
      </c>
      <c r="K322" s="67"/>
      <c r="L322" s="49"/>
      <c r="M322" s="49" t="e">
        <f>VLOOKUP(L322,Sheet2!$B$10:$C$18,2,FALSE)</f>
        <v>#N/A</v>
      </c>
      <c r="N322" s="67"/>
      <c r="O322" s="49"/>
      <c r="P322" s="49" t="e">
        <f>VLOOKUP(O322,Sheet2!$B$10:$C$18,2,FALSE)</f>
        <v>#N/A</v>
      </c>
      <c r="Q322" s="67"/>
      <c r="R322" s="49"/>
      <c r="S322" s="49" t="e">
        <f>VLOOKUP(R322,Sheet2!$B$10:$C$18,2,FALSE)</f>
        <v>#N/A</v>
      </c>
      <c r="T322" s="67"/>
      <c r="U322" s="67">
        <f t="shared" si="16"/>
        <v>0</v>
      </c>
      <c r="V322" s="67"/>
      <c r="W322" s="67"/>
      <c r="X322" s="67"/>
      <c r="Y322" s="66"/>
      <c r="Z322" s="66"/>
      <c r="AA322" s="66"/>
      <c r="AB322" s="66"/>
      <c r="AC322" s="66"/>
      <c r="AD322" s="42" t="str">
        <f t="shared" si="19"/>
        <v>ทันกำหนด</v>
      </c>
      <c r="AE322" s="43"/>
      <c r="AF322" s="43"/>
      <c r="AG322" s="43"/>
      <c r="AH322" s="44"/>
    </row>
    <row r="323" spans="1:34" ht="27.75" customHeight="1">
      <c r="A323" s="41">
        <v>320</v>
      </c>
      <c r="B323" s="66"/>
      <c r="C323" s="48"/>
      <c r="D323" s="71"/>
      <c r="E323" s="49"/>
      <c r="F323" s="49"/>
      <c r="G323" s="49">
        <f t="shared" si="17"/>
        <v>0</v>
      </c>
      <c r="H323" s="49" t="str">
        <f t="shared" si="18"/>
        <v>ครบ</v>
      </c>
      <c r="I323" s="49"/>
      <c r="J323" s="49" t="e">
        <f>VLOOKUP(I323,Sheet2!$B$10:$C$18,2,FALSE)</f>
        <v>#N/A</v>
      </c>
      <c r="K323" s="67"/>
      <c r="L323" s="49"/>
      <c r="M323" s="49" t="e">
        <f>VLOOKUP(L323,Sheet2!$B$10:$C$18,2,FALSE)</f>
        <v>#N/A</v>
      </c>
      <c r="N323" s="67"/>
      <c r="O323" s="49"/>
      <c r="P323" s="49" t="e">
        <f>VLOOKUP(O323,Sheet2!$B$10:$C$18,2,FALSE)</f>
        <v>#N/A</v>
      </c>
      <c r="Q323" s="67"/>
      <c r="R323" s="49"/>
      <c r="S323" s="49" t="e">
        <f>VLOOKUP(R323,Sheet2!$B$10:$C$18,2,FALSE)</f>
        <v>#N/A</v>
      </c>
      <c r="T323" s="67"/>
      <c r="U323" s="67">
        <f t="shared" si="16"/>
        <v>0</v>
      </c>
      <c r="V323" s="67"/>
      <c r="W323" s="67"/>
      <c r="X323" s="67"/>
      <c r="Y323" s="66"/>
      <c r="Z323" s="66"/>
      <c r="AA323" s="66"/>
      <c r="AB323" s="66"/>
      <c r="AC323" s="66"/>
      <c r="AD323" s="42" t="str">
        <f t="shared" si="19"/>
        <v>ทันกำหนด</v>
      </c>
      <c r="AE323" s="43"/>
      <c r="AF323" s="43"/>
      <c r="AG323" s="43"/>
      <c r="AH323" s="44"/>
    </row>
    <row r="324" spans="1:34" ht="27.75" customHeight="1">
      <c r="A324" s="41">
        <v>321</v>
      </c>
      <c r="B324" s="66"/>
      <c r="C324" s="48"/>
      <c r="D324" s="71"/>
      <c r="E324" s="49"/>
      <c r="F324" s="49"/>
      <c r="G324" s="49">
        <f t="shared" si="17"/>
        <v>0</v>
      </c>
      <c r="H324" s="49" t="str">
        <f t="shared" si="18"/>
        <v>ครบ</v>
      </c>
      <c r="I324" s="49"/>
      <c r="J324" s="49" t="e">
        <f>VLOOKUP(I324,Sheet2!$B$10:$C$18,2,FALSE)</f>
        <v>#N/A</v>
      </c>
      <c r="K324" s="67"/>
      <c r="L324" s="49"/>
      <c r="M324" s="49" t="e">
        <f>VLOOKUP(L324,Sheet2!$B$10:$C$18,2,FALSE)</f>
        <v>#N/A</v>
      </c>
      <c r="N324" s="67"/>
      <c r="O324" s="49"/>
      <c r="P324" s="49" t="e">
        <f>VLOOKUP(O324,Sheet2!$B$10:$C$18,2,FALSE)</f>
        <v>#N/A</v>
      </c>
      <c r="Q324" s="67"/>
      <c r="R324" s="49"/>
      <c r="S324" s="49" t="e">
        <f>VLOOKUP(R324,Sheet2!$B$10:$C$18,2,FALSE)</f>
        <v>#N/A</v>
      </c>
      <c r="T324" s="67"/>
      <c r="U324" s="67">
        <f t="shared" si="16"/>
        <v>0</v>
      </c>
      <c r="V324" s="67"/>
      <c r="W324" s="67"/>
      <c r="X324" s="67"/>
      <c r="Y324" s="66"/>
      <c r="Z324" s="66"/>
      <c r="AA324" s="66"/>
      <c r="AB324" s="66"/>
      <c r="AC324" s="66"/>
      <c r="AD324" s="42" t="str">
        <f t="shared" si="19"/>
        <v>ทันกำหนด</v>
      </c>
      <c r="AE324" s="43"/>
      <c r="AF324" s="43"/>
      <c r="AG324" s="43"/>
      <c r="AH324" s="44"/>
    </row>
    <row r="325" spans="1:34" ht="27.75" customHeight="1">
      <c r="A325" s="41">
        <v>322</v>
      </c>
      <c r="B325" s="66"/>
      <c r="C325" s="48"/>
      <c r="D325" s="48"/>
      <c r="E325" s="49"/>
      <c r="F325" s="49"/>
      <c r="G325" s="49">
        <f t="shared" si="17"/>
        <v>0</v>
      </c>
      <c r="H325" s="49" t="str">
        <f t="shared" si="18"/>
        <v>ครบ</v>
      </c>
      <c r="I325" s="49"/>
      <c r="J325" s="49" t="e">
        <f>VLOOKUP(I325,Sheet2!$B$10:$C$18,2,FALSE)</f>
        <v>#N/A</v>
      </c>
      <c r="K325" s="67"/>
      <c r="L325" s="49"/>
      <c r="M325" s="49" t="e">
        <f>VLOOKUP(L325,Sheet2!$B$10:$C$18,2,FALSE)</f>
        <v>#N/A</v>
      </c>
      <c r="N325" s="67"/>
      <c r="O325" s="49"/>
      <c r="P325" s="49" t="e">
        <f>VLOOKUP(O325,Sheet2!$B$10:$C$18,2,FALSE)</f>
        <v>#N/A</v>
      </c>
      <c r="Q325" s="67"/>
      <c r="R325" s="49"/>
      <c r="S325" s="49" t="e">
        <f>VLOOKUP(R325,Sheet2!$B$10:$C$18,2,FALSE)</f>
        <v>#N/A</v>
      </c>
      <c r="T325" s="67"/>
      <c r="U325" s="67">
        <f t="shared" ref="U325:U388" si="20">$K325+$N325+$Q325+$T325</f>
        <v>0</v>
      </c>
      <c r="V325" s="67"/>
      <c r="W325" s="67"/>
      <c r="X325" s="67"/>
      <c r="Y325" s="66"/>
      <c r="Z325" s="66"/>
      <c r="AA325" s="66"/>
      <c r="AB325" s="66"/>
      <c r="AC325" s="66"/>
      <c r="AD325" s="42" t="str">
        <f t="shared" si="19"/>
        <v>ทันกำหนด</v>
      </c>
      <c r="AE325" s="43"/>
      <c r="AF325" s="43"/>
      <c r="AG325" s="43"/>
      <c r="AH325" s="44"/>
    </row>
    <row r="326" spans="1:34" ht="27.75" customHeight="1">
      <c r="A326" s="41">
        <v>323</v>
      </c>
      <c r="B326" s="66"/>
      <c r="C326" s="48"/>
      <c r="D326" s="48"/>
      <c r="E326" s="49"/>
      <c r="F326" s="49"/>
      <c r="G326" s="49">
        <f t="shared" ref="G326:G389" si="21">$E326-$F326</f>
        <v>0</v>
      </c>
      <c r="H326" s="49" t="str">
        <f t="shared" si="18"/>
        <v>ครบ</v>
      </c>
      <c r="I326" s="49"/>
      <c r="J326" s="49" t="e">
        <f>VLOOKUP(I326,Sheet2!$B$10:$C$18,2,FALSE)</f>
        <v>#N/A</v>
      </c>
      <c r="K326" s="67"/>
      <c r="L326" s="49"/>
      <c r="M326" s="49" t="e">
        <f>VLOOKUP(L326,Sheet2!$B$10:$C$18,2,FALSE)</f>
        <v>#N/A</v>
      </c>
      <c r="N326" s="67"/>
      <c r="O326" s="49"/>
      <c r="P326" s="49" t="e">
        <f>VLOOKUP(O326,Sheet2!$B$10:$C$18,2,FALSE)</f>
        <v>#N/A</v>
      </c>
      <c r="Q326" s="67"/>
      <c r="R326" s="49"/>
      <c r="S326" s="49" t="e">
        <f>VLOOKUP(R326,Sheet2!$B$10:$C$18,2,FALSE)</f>
        <v>#N/A</v>
      </c>
      <c r="T326" s="67"/>
      <c r="U326" s="67">
        <f t="shared" si="20"/>
        <v>0</v>
      </c>
      <c r="V326" s="67"/>
      <c r="W326" s="67"/>
      <c r="X326" s="67"/>
      <c r="Y326" s="66"/>
      <c r="Z326" s="66"/>
      <c r="AA326" s="66"/>
      <c r="AB326" s="66"/>
      <c r="AC326" s="66"/>
      <c r="AD326" s="42" t="str">
        <f t="shared" si="19"/>
        <v>ทันกำหนด</v>
      </c>
      <c r="AE326" s="43"/>
      <c r="AF326" s="43"/>
      <c r="AG326" s="43"/>
      <c r="AH326" s="44"/>
    </row>
    <row r="327" spans="1:34" ht="27.75" customHeight="1">
      <c r="A327" s="41">
        <v>324</v>
      </c>
      <c r="B327" s="66"/>
      <c r="C327" s="48"/>
      <c r="D327" s="48"/>
      <c r="E327" s="49"/>
      <c r="F327" s="49"/>
      <c r="G327" s="49">
        <f t="shared" si="21"/>
        <v>0</v>
      </c>
      <c r="H327" s="49" t="str">
        <f t="shared" si="18"/>
        <v>ครบ</v>
      </c>
      <c r="I327" s="49"/>
      <c r="J327" s="49" t="e">
        <f>VLOOKUP(I327,Sheet2!$B$10:$C$18,2,FALSE)</f>
        <v>#N/A</v>
      </c>
      <c r="K327" s="67"/>
      <c r="L327" s="49"/>
      <c r="M327" s="49" t="e">
        <f>VLOOKUP(L327,Sheet2!$B$10:$C$18,2,FALSE)</f>
        <v>#N/A</v>
      </c>
      <c r="N327" s="67"/>
      <c r="O327" s="49"/>
      <c r="P327" s="49" t="e">
        <f>VLOOKUP(O327,Sheet2!$B$10:$C$18,2,FALSE)</f>
        <v>#N/A</v>
      </c>
      <c r="Q327" s="67"/>
      <c r="R327" s="49"/>
      <c r="S327" s="49" t="e">
        <f>VLOOKUP(R327,Sheet2!$B$10:$C$18,2,FALSE)</f>
        <v>#N/A</v>
      </c>
      <c r="T327" s="67"/>
      <c r="U327" s="67">
        <f t="shared" si="20"/>
        <v>0</v>
      </c>
      <c r="V327" s="67"/>
      <c r="W327" s="67"/>
      <c r="X327" s="67"/>
      <c r="Y327" s="66"/>
      <c r="Z327" s="66"/>
      <c r="AA327" s="66"/>
      <c r="AB327" s="66"/>
      <c r="AC327" s="66"/>
      <c r="AD327" s="42" t="str">
        <f t="shared" si="19"/>
        <v>ทันกำหนด</v>
      </c>
      <c r="AE327" s="43"/>
      <c r="AF327" s="43"/>
      <c r="AG327" s="43"/>
      <c r="AH327" s="44"/>
    </row>
    <row r="328" spans="1:34" ht="27.75" customHeight="1">
      <c r="A328" s="41">
        <v>325</v>
      </c>
      <c r="B328" s="66"/>
      <c r="C328" s="48"/>
      <c r="D328" s="48"/>
      <c r="E328" s="49"/>
      <c r="F328" s="49"/>
      <c r="G328" s="49">
        <f t="shared" si="21"/>
        <v>0</v>
      </c>
      <c r="H328" s="49" t="str">
        <f t="shared" ref="H328:H391" si="22">IF($G328=0,"ครบ","ไม่ครบ")</f>
        <v>ครบ</v>
      </c>
      <c r="I328" s="49"/>
      <c r="J328" s="49" t="e">
        <f>VLOOKUP(I328,Sheet2!$B$10:$C$18,2,FALSE)</f>
        <v>#N/A</v>
      </c>
      <c r="K328" s="67"/>
      <c r="L328" s="49"/>
      <c r="M328" s="49" t="e">
        <f>VLOOKUP(L328,Sheet2!$B$10:$C$18,2,FALSE)</f>
        <v>#N/A</v>
      </c>
      <c r="N328" s="67"/>
      <c r="O328" s="49"/>
      <c r="P328" s="49" t="e">
        <f>VLOOKUP(O328,Sheet2!$B$10:$C$18,2,FALSE)</f>
        <v>#N/A</v>
      </c>
      <c r="Q328" s="67"/>
      <c r="R328" s="49"/>
      <c r="S328" s="49" t="e">
        <f>VLOOKUP(R328,Sheet2!$B$10:$C$18,2,FALSE)</f>
        <v>#N/A</v>
      </c>
      <c r="T328" s="67"/>
      <c r="U328" s="67">
        <f t="shared" si="20"/>
        <v>0</v>
      </c>
      <c r="V328" s="67"/>
      <c r="W328" s="67"/>
      <c r="X328" s="67"/>
      <c r="Y328" s="66"/>
      <c r="Z328" s="66"/>
      <c r="AA328" s="66"/>
      <c r="AB328" s="66"/>
      <c r="AC328" s="66"/>
      <c r="AD328" s="42" t="str">
        <f t="shared" si="19"/>
        <v>ทันกำหนด</v>
      </c>
      <c r="AE328" s="43"/>
      <c r="AF328" s="43"/>
      <c r="AG328" s="43"/>
      <c r="AH328" s="44"/>
    </row>
    <row r="329" spans="1:34" ht="27.75" customHeight="1">
      <c r="A329" s="41">
        <v>326</v>
      </c>
      <c r="B329" s="66"/>
      <c r="C329" s="48"/>
      <c r="D329" s="48"/>
      <c r="E329" s="49"/>
      <c r="F329" s="49"/>
      <c r="G329" s="49">
        <f t="shared" si="21"/>
        <v>0</v>
      </c>
      <c r="H329" s="49" t="str">
        <f t="shared" si="22"/>
        <v>ครบ</v>
      </c>
      <c r="I329" s="49"/>
      <c r="J329" s="49" t="e">
        <f>VLOOKUP(I329,Sheet2!$B$10:$C$18,2,FALSE)</f>
        <v>#N/A</v>
      </c>
      <c r="K329" s="67"/>
      <c r="L329" s="49"/>
      <c r="M329" s="49" t="e">
        <f>VLOOKUP(L329,Sheet2!$B$10:$C$18,2,FALSE)</f>
        <v>#N/A</v>
      </c>
      <c r="N329" s="67"/>
      <c r="O329" s="49"/>
      <c r="P329" s="49" t="e">
        <f>VLOOKUP(O329,Sheet2!$B$10:$C$18,2,FALSE)</f>
        <v>#N/A</v>
      </c>
      <c r="Q329" s="67"/>
      <c r="R329" s="49"/>
      <c r="S329" s="49" t="e">
        <f>VLOOKUP(R329,Sheet2!$B$10:$C$18,2,FALSE)</f>
        <v>#N/A</v>
      </c>
      <c r="T329" s="67"/>
      <c r="U329" s="67">
        <f t="shared" si="20"/>
        <v>0</v>
      </c>
      <c r="V329" s="67"/>
      <c r="W329" s="67"/>
      <c r="X329" s="67"/>
      <c r="Y329" s="66"/>
      <c r="Z329" s="66"/>
      <c r="AA329" s="66"/>
      <c r="AB329" s="66"/>
      <c r="AC329" s="66"/>
      <c r="AD329" s="42" t="str">
        <f t="shared" si="19"/>
        <v>ทันกำหนด</v>
      </c>
      <c r="AE329" s="43"/>
      <c r="AF329" s="43"/>
      <c r="AG329" s="43"/>
      <c r="AH329" s="44"/>
    </row>
    <row r="330" spans="1:34" ht="27.75" customHeight="1">
      <c r="A330" s="41">
        <v>327</v>
      </c>
      <c r="B330" s="66"/>
      <c r="C330" s="48"/>
      <c r="D330" s="48"/>
      <c r="E330" s="49"/>
      <c r="F330" s="49"/>
      <c r="G330" s="49">
        <f t="shared" si="21"/>
        <v>0</v>
      </c>
      <c r="H330" s="49" t="str">
        <f t="shared" si="22"/>
        <v>ครบ</v>
      </c>
      <c r="I330" s="49"/>
      <c r="J330" s="49" t="e">
        <f>VLOOKUP(I330,Sheet2!$B$10:$C$18,2,FALSE)</f>
        <v>#N/A</v>
      </c>
      <c r="K330" s="67"/>
      <c r="L330" s="49"/>
      <c r="M330" s="49" t="e">
        <f>VLOOKUP(L330,Sheet2!$B$10:$C$18,2,FALSE)</f>
        <v>#N/A</v>
      </c>
      <c r="N330" s="67"/>
      <c r="O330" s="49"/>
      <c r="P330" s="49" t="e">
        <f>VLOOKUP(O330,Sheet2!$B$10:$C$18,2,FALSE)</f>
        <v>#N/A</v>
      </c>
      <c r="Q330" s="67"/>
      <c r="R330" s="49"/>
      <c r="S330" s="49" t="e">
        <f>VLOOKUP(R330,Sheet2!$B$10:$C$18,2,FALSE)</f>
        <v>#N/A</v>
      </c>
      <c r="T330" s="67"/>
      <c r="U330" s="67">
        <f t="shared" si="20"/>
        <v>0</v>
      </c>
      <c r="V330" s="67"/>
      <c r="W330" s="67"/>
      <c r="X330" s="67"/>
      <c r="Y330" s="66"/>
      <c r="Z330" s="66"/>
      <c r="AA330" s="66"/>
      <c r="AB330" s="66"/>
      <c r="AC330" s="66"/>
      <c r="AD330" s="42" t="str">
        <f t="shared" ref="AD330:AD584" si="23">IF($AA330&gt;$Z330,"เกินกำหนด","ทันกำหนด")</f>
        <v>ทันกำหนด</v>
      </c>
      <c r="AE330" s="43"/>
      <c r="AF330" s="43"/>
      <c r="AG330" s="43"/>
      <c r="AH330" s="44"/>
    </row>
    <row r="331" spans="1:34" ht="27.75" customHeight="1">
      <c r="A331" s="41">
        <v>328</v>
      </c>
      <c r="B331" s="66"/>
      <c r="C331" s="48"/>
      <c r="D331" s="48"/>
      <c r="E331" s="49"/>
      <c r="F331" s="49"/>
      <c r="G331" s="49">
        <f t="shared" si="21"/>
        <v>0</v>
      </c>
      <c r="H331" s="49" t="str">
        <f t="shared" si="22"/>
        <v>ครบ</v>
      </c>
      <c r="I331" s="49"/>
      <c r="J331" s="49" t="e">
        <f>VLOOKUP(I331,Sheet2!$B$10:$C$18,2,FALSE)</f>
        <v>#N/A</v>
      </c>
      <c r="K331" s="67"/>
      <c r="L331" s="49"/>
      <c r="M331" s="49" t="e">
        <f>VLOOKUP(L331,Sheet2!$B$10:$C$18,2,FALSE)</f>
        <v>#N/A</v>
      </c>
      <c r="N331" s="67"/>
      <c r="O331" s="49"/>
      <c r="P331" s="49" t="e">
        <f>VLOOKUP(O331,Sheet2!$B$10:$C$18,2,FALSE)</f>
        <v>#N/A</v>
      </c>
      <c r="Q331" s="67"/>
      <c r="R331" s="49"/>
      <c r="S331" s="49" t="e">
        <f>VLOOKUP(R331,Sheet2!$B$10:$C$18,2,FALSE)</f>
        <v>#N/A</v>
      </c>
      <c r="T331" s="67"/>
      <c r="U331" s="67">
        <f t="shared" si="20"/>
        <v>0</v>
      </c>
      <c r="V331" s="67"/>
      <c r="W331" s="67"/>
      <c r="X331" s="67"/>
      <c r="Y331" s="66"/>
      <c r="Z331" s="66"/>
      <c r="AA331" s="66"/>
      <c r="AB331" s="66"/>
      <c r="AC331" s="66"/>
      <c r="AD331" s="42" t="str">
        <f t="shared" si="23"/>
        <v>ทันกำหนด</v>
      </c>
      <c r="AE331" s="43"/>
      <c r="AF331" s="43"/>
      <c r="AG331" s="43"/>
      <c r="AH331" s="44"/>
    </row>
    <row r="332" spans="1:34" ht="27.75" customHeight="1">
      <c r="A332" s="41">
        <v>329</v>
      </c>
      <c r="B332" s="66"/>
      <c r="C332" s="48"/>
      <c r="D332" s="48"/>
      <c r="E332" s="49"/>
      <c r="F332" s="49"/>
      <c r="G332" s="49">
        <f t="shared" si="21"/>
        <v>0</v>
      </c>
      <c r="H332" s="49" t="str">
        <f t="shared" si="22"/>
        <v>ครบ</v>
      </c>
      <c r="I332" s="49"/>
      <c r="J332" s="49" t="e">
        <f>VLOOKUP(I332,Sheet2!$B$10:$C$18,2,FALSE)</f>
        <v>#N/A</v>
      </c>
      <c r="K332" s="67"/>
      <c r="L332" s="49"/>
      <c r="M332" s="49" t="e">
        <f>VLOOKUP(L332,Sheet2!$B$10:$C$18,2,FALSE)</f>
        <v>#N/A</v>
      </c>
      <c r="N332" s="67"/>
      <c r="O332" s="49"/>
      <c r="P332" s="49" t="e">
        <f>VLOOKUP(O332,Sheet2!$B$10:$C$18,2,FALSE)</f>
        <v>#N/A</v>
      </c>
      <c r="Q332" s="67"/>
      <c r="R332" s="49"/>
      <c r="S332" s="49" t="e">
        <f>VLOOKUP(R332,Sheet2!$B$10:$C$18,2,FALSE)</f>
        <v>#N/A</v>
      </c>
      <c r="T332" s="67"/>
      <c r="U332" s="67">
        <f t="shared" si="20"/>
        <v>0</v>
      </c>
      <c r="V332" s="67"/>
      <c r="W332" s="67"/>
      <c r="X332" s="67"/>
      <c r="Y332" s="66"/>
      <c r="Z332" s="66"/>
      <c r="AA332" s="66"/>
      <c r="AB332" s="66"/>
      <c r="AC332" s="66"/>
      <c r="AD332" s="42" t="str">
        <f t="shared" si="23"/>
        <v>ทันกำหนด</v>
      </c>
      <c r="AE332" s="43"/>
      <c r="AF332" s="43"/>
      <c r="AG332" s="43"/>
      <c r="AH332" s="44"/>
    </row>
    <row r="333" spans="1:34" ht="27.75" customHeight="1">
      <c r="A333" s="41">
        <v>330</v>
      </c>
      <c r="B333" s="66"/>
      <c r="C333" s="48"/>
      <c r="D333" s="48"/>
      <c r="E333" s="49"/>
      <c r="F333" s="49"/>
      <c r="G333" s="49">
        <f t="shared" si="21"/>
        <v>0</v>
      </c>
      <c r="H333" s="49" t="str">
        <f t="shared" si="22"/>
        <v>ครบ</v>
      </c>
      <c r="I333" s="49"/>
      <c r="J333" s="49" t="e">
        <f>VLOOKUP(I333,Sheet2!$B$10:$C$18,2,FALSE)</f>
        <v>#N/A</v>
      </c>
      <c r="K333" s="67"/>
      <c r="L333" s="49"/>
      <c r="M333" s="49" t="e">
        <f>VLOOKUP(L333,Sheet2!$B$10:$C$18,2,FALSE)</f>
        <v>#N/A</v>
      </c>
      <c r="N333" s="67"/>
      <c r="O333" s="49"/>
      <c r="P333" s="49" t="e">
        <f>VLOOKUP(O333,Sheet2!$B$10:$C$18,2,FALSE)</f>
        <v>#N/A</v>
      </c>
      <c r="Q333" s="67"/>
      <c r="R333" s="49"/>
      <c r="S333" s="49" t="e">
        <f>VLOOKUP(R333,Sheet2!$B$10:$C$18,2,FALSE)</f>
        <v>#N/A</v>
      </c>
      <c r="T333" s="67"/>
      <c r="U333" s="67">
        <f t="shared" si="20"/>
        <v>0</v>
      </c>
      <c r="V333" s="67"/>
      <c r="W333" s="67"/>
      <c r="X333" s="67"/>
      <c r="Y333" s="66"/>
      <c r="Z333" s="66"/>
      <c r="AA333" s="66"/>
      <c r="AB333" s="66"/>
      <c r="AC333" s="66"/>
      <c r="AD333" s="42" t="str">
        <f t="shared" si="23"/>
        <v>ทันกำหนด</v>
      </c>
      <c r="AE333" s="43"/>
      <c r="AF333" s="43"/>
      <c r="AG333" s="43"/>
      <c r="AH333" s="44"/>
    </row>
    <row r="334" spans="1:34" ht="27.75" customHeight="1">
      <c r="A334" s="41">
        <v>331</v>
      </c>
      <c r="B334" s="66"/>
      <c r="C334" s="48"/>
      <c r="D334" s="48"/>
      <c r="E334" s="49"/>
      <c r="F334" s="49"/>
      <c r="G334" s="49">
        <f t="shared" si="21"/>
        <v>0</v>
      </c>
      <c r="H334" s="49" t="str">
        <f t="shared" si="22"/>
        <v>ครบ</v>
      </c>
      <c r="I334" s="49"/>
      <c r="J334" s="49" t="e">
        <f>VLOOKUP(I334,Sheet2!$B$10:$C$18,2,FALSE)</f>
        <v>#N/A</v>
      </c>
      <c r="K334" s="67"/>
      <c r="L334" s="49"/>
      <c r="M334" s="49" t="e">
        <f>VLOOKUP(L334,Sheet2!$B$10:$C$18,2,FALSE)</f>
        <v>#N/A</v>
      </c>
      <c r="N334" s="67"/>
      <c r="O334" s="49"/>
      <c r="P334" s="49" t="e">
        <f>VLOOKUP(O334,Sheet2!$B$10:$C$18,2,FALSE)</f>
        <v>#N/A</v>
      </c>
      <c r="Q334" s="67"/>
      <c r="R334" s="49"/>
      <c r="S334" s="49" t="e">
        <f>VLOOKUP(R334,Sheet2!$B$10:$C$18,2,FALSE)</f>
        <v>#N/A</v>
      </c>
      <c r="T334" s="67"/>
      <c r="U334" s="67">
        <f t="shared" si="20"/>
        <v>0</v>
      </c>
      <c r="V334" s="67"/>
      <c r="W334" s="67"/>
      <c r="X334" s="67"/>
      <c r="Y334" s="66"/>
      <c r="Z334" s="66"/>
      <c r="AA334" s="66"/>
      <c r="AB334" s="66"/>
      <c r="AC334" s="66"/>
      <c r="AD334" s="42" t="str">
        <f t="shared" si="23"/>
        <v>ทันกำหนด</v>
      </c>
      <c r="AE334" s="43"/>
      <c r="AF334" s="43"/>
      <c r="AG334" s="43"/>
      <c r="AH334" s="44"/>
    </row>
    <row r="335" spans="1:34" ht="27.75" customHeight="1">
      <c r="A335" s="41">
        <v>332</v>
      </c>
      <c r="B335" s="66"/>
      <c r="C335" s="48"/>
      <c r="D335" s="48"/>
      <c r="E335" s="49"/>
      <c r="F335" s="49"/>
      <c r="G335" s="49">
        <f t="shared" si="21"/>
        <v>0</v>
      </c>
      <c r="H335" s="49" t="str">
        <f t="shared" si="22"/>
        <v>ครบ</v>
      </c>
      <c r="I335" s="49"/>
      <c r="J335" s="49" t="e">
        <f>VLOOKUP(I335,Sheet2!$B$10:$C$18,2,FALSE)</f>
        <v>#N/A</v>
      </c>
      <c r="K335" s="67"/>
      <c r="L335" s="49"/>
      <c r="M335" s="49" t="e">
        <f>VLOOKUP(L335,Sheet2!$B$10:$C$18,2,FALSE)</f>
        <v>#N/A</v>
      </c>
      <c r="N335" s="67"/>
      <c r="O335" s="49"/>
      <c r="P335" s="49" t="e">
        <f>VLOOKUP(O335,Sheet2!$B$10:$C$18,2,FALSE)</f>
        <v>#N/A</v>
      </c>
      <c r="Q335" s="67"/>
      <c r="R335" s="49"/>
      <c r="S335" s="49" t="e">
        <f>VLOOKUP(R335,Sheet2!$B$10:$C$18,2,FALSE)</f>
        <v>#N/A</v>
      </c>
      <c r="T335" s="67"/>
      <c r="U335" s="67">
        <f t="shared" si="20"/>
        <v>0</v>
      </c>
      <c r="V335" s="67"/>
      <c r="W335" s="67"/>
      <c r="X335" s="67"/>
      <c r="Y335" s="66"/>
      <c r="Z335" s="66"/>
      <c r="AA335" s="66"/>
      <c r="AB335" s="66"/>
      <c r="AC335" s="66"/>
      <c r="AD335" s="42" t="str">
        <f t="shared" si="23"/>
        <v>ทันกำหนด</v>
      </c>
      <c r="AE335" s="43"/>
      <c r="AF335" s="43"/>
      <c r="AG335" s="43"/>
      <c r="AH335" s="44"/>
    </row>
    <row r="336" spans="1:34" ht="27.75" customHeight="1">
      <c r="A336" s="41">
        <v>333</v>
      </c>
      <c r="B336" s="66"/>
      <c r="C336" s="48"/>
      <c r="D336" s="48"/>
      <c r="E336" s="49"/>
      <c r="F336" s="49"/>
      <c r="G336" s="49">
        <f t="shared" si="21"/>
        <v>0</v>
      </c>
      <c r="H336" s="49" t="str">
        <f t="shared" si="22"/>
        <v>ครบ</v>
      </c>
      <c r="I336" s="49"/>
      <c r="J336" s="49" t="e">
        <f>VLOOKUP(I336,Sheet2!$B$10:$C$18,2,FALSE)</f>
        <v>#N/A</v>
      </c>
      <c r="K336" s="67"/>
      <c r="L336" s="49"/>
      <c r="M336" s="49" t="e">
        <f>VLOOKUP(L336,Sheet2!$B$10:$C$18,2,FALSE)</f>
        <v>#N/A</v>
      </c>
      <c r="N336" s="67"/>
      <c r="O336" s="49"/>
      <c r="P336" s="49" t="e">
        <f>VLOOKUP(O336,Sheet2!$B$10:$C$18,2,FALSE)</f>
        <v>#N/A</v>
      </c>
      <c r="Q336" s="67"/>
      <c r="R336" s="49"/>
      <c r="S336" s="49" t="e">
        <f>VLOOKUP(R336,Sheet2!$B$10:$C$18,2,FALSE)</f>
        <v>#N/A</v>
      </c>
      <c r="T336" s="67"/>
      <c r="U336" s="67">
        <f t="shared" si="20"/>
        <v>0</v>
      </c>
      <c r="V336" s="67"/>
      <c r="W336" s="67"/>
      <c r="X336" s="67"/>
      <c r="Y336" s="66"/>
      <c r="Z336" s="66"/>
      <c r="AA336" s="66"/>
      <c r="AB336" s="66"/>
      <c r="AC336" s="66"/>
      <c r="AD336" s="42" t="str">
        <f t="shared" si="23"/>
        <v>ทันกำหนด</v>
      </c>
      <c r="AE336" s="43"/>
      <c r="AF336" s="43"/>
      <c r="AG336" s="43"/>
      <c r="AH336" s="44"/>
    </row>
    <row r="337" spans="1:34" ht="27.75" customHeight="1">
      <c r="A337" s="41">
        <v>334</v>
      </c>
      <c r="B337" s="66"/>
      <c r="C337" s="48"/>
      <c r="D337" s="48"/>
      <c r="E337" s="49"/>
      <c r="F337" s="49"/>
      <c r="G337" s="49">
        <f t="shared" si="21"/>
        <v>0</v>
      </c>
      <c r="H337" s="49" t="str">
        <f t="shared" si="22"/>
        <v>ครบ</v>
      </c>
      <c r="I337" s="49"/>
      <c r="J337" s="49" t="e">
        <f>VLOOKUP(I337,Sheet2!$B$10:$C$18,2,FALSE)</f>
        <v>#N/A</v>
      </c>
      <c r="K337" s="67"/>
      <c r="L337" s="49"/>
      <c r="M337" s="49" t="e">
        <f>VLOOKUP(L337,Sheet2!$B$10:$C$18,2,FALSE)</f>
        <v>#N/A</v>
      </c>
      <c r="N337" s="67"/>
      <c r="O337" s="49"/>
      <c r="P337" s="49" t="e">
        <f>VLOOKUP(O337,Sheet2!$B$10:$C$18,2,FALSE)</f>
        <v>#N/A</v>
      </c>
      <c r="Q337" s="67"/>
      <c r="R337" s="49"/>
      <c r="S337" s="49" t="e">
        <f>VLOOKUP(R337,Sheet2!$B$10:$C$18,2,FALSE)</f>
        <v>#N/A</v>
      </c>
      <c r="T337" s="67"/>
      <c r="U337" s="67">
        <f t="shared" si="20"/>
        <v>0</v>
      </c>
      <c r="V337" s="67"/>
      <c r="W337" s="67"/>
      <c r="X337" s="67"/>
      <c r="Y337" s="66"/>
      <c r="Z337" s="66"/>
      <c r="AA337" s="66"/>
      <c r="AB337" s="66"/>
      <c r="AC337" s="66"/>
      <c r="AD337" s="42" t="str">
        <f t="shared" si="23"/>
        <v>ทันกำหนด</v>
      </c>
      <c r="AE337" s="43"/>
      <c r="AF337" s="43"/>
      <c r="AG337" s="43"/>
      <c r="AH337" s="44"/>
    </row>
    <row r="338" spans="1:34" ht="27.75" customHeight="1">
      <c r="A338" s="41">
        <v>335</v>
      </c>
      <c r="B338" s="66"/>
      <c r="C338" s="48"/>
      <c r="D338" s="48"/>
      <c r="E338" s="49"/>
      <c r="F338" s="49"/>
      <c r="G338" s="49">
        <f t="shared" si="21"/>
        <v>0</v>
      </c>
      <c r="H338" s="49" t="str">
        <f t="shared" si="22"/>
        <v>ครบ</v>
      </c>
      <c r="I338" s="49"/>
      <c r="J338" s="49" t="e">
        <f>VLOOKUP(I338,Sheet2!$B$10:$C$18,2,FALSE)</f>
        <v>#N/A</v>
      </c>
      <c r="K338" s="67"/>
      <c r="L338" s="49"/>
      <c r="M338" s="49" t="e">
        <f>VLOOKUP(L338,Sheet2!$B$10:$C$18,2,FALSE)</f>
        <v>#N/A</v>
      </c>
      <c r="N338" s="67"/>
      <c r="O338" s="49"/>
      <c r="P338" s="49" t="e">
        <f>VLOOKUP(O338,Sheet2!$B$10:$C$18,2,FALSE)</f>
        <v>#N/A</v>
      </c>
      <c r="Q338" s="67"/>
      <c r="R338" s="49"/>
      <c r="S338" s="49" t="e">
        <f>VLOOKUP(R338,Sheet2!$B$10:$C$18,2,FALSE)</f>
        <v>#N/A</v>
      </c>
      <c r="T338" s="67"/>
      <c r="U338" s="67">
        <f t="shared" si="20"/>
        <v>0</v>
      </c>
      <c r="V338" s="67"/>
      <c r="W338" s="67"/>
      <c r="X338" s="67"/>
      <c r="Y338" s="66"/>
      <c r="Z338" s="66"/>
      <c r="AA338" s="66"/>
      <c r="AB338" s="66"/>
      <c r="AC338" s="66"/>
      <c r="AD338" s="42" t="str">
        <f t="shared" si="23"/>
        <v>ทันกำหนด</v>
      </c>
      <c r="AE338" s="43"/>
      <c r="AF338" s="43"/>
      <c r="AG338" s="43"/>
      <c r="AH338" s="44"/>
    </row>
    <row r="339" spans="1:34" ht="27.75" customHeight="1">
      <c r="A339" s="41">
        <v>336</v>
      </c>
      <c r="B339" s="66"/>
      <c r="C339" s="48"/>
      <c r="D339" s="48"/>
      <c r="E339" s="49"/>
      <c r="F339" s="49"/>
      <c r="G339" s="49">
        <f t="shared" si="21"/>
        <v>0</v>
      </c>
      <c r="H339" s="49" t="str">
        <f t="shared" si="22"/>
        <v>ครบ</v>
      </c>
      <c r="I339" s="49"/>
      <c r="J339" s="49" t="e">
        <f>VLOOKUP(I339,Sheet2!$B$10:$C$18,2,FALSE)</f>
        <v>#N/A</v>
      </c>
      <c r="K339" s="67"/>
      <c r="L339" s="49"/>
      <c r="M339" s="49" t="e">
        <f>VLOOKUP(L339,Sheet2!$B$10:$C$18,2,FALSE)</f>
        <v>#N/A</v>
      </c>
      <c r="N339" s="67"/>
      <c r="O339" s="49"/>
      <c r="P339" s="49" t="e">
        <f>VLOOKUP(O339,Sheet2!$B$10:$C$18,2,FALSE)</f>
        <v>#N/A</v>
      </c>
      <c r="Q339" s="67"/>
      <c r="R339" s="49"/>
      <c r="S339" s="49" t="e">
        <f>VLOOKUP(R339,Sheet2!$B$10:$C$18,2,FALSE)</f>
        <v>#N/A</v>
      </c>
      <c r="T339" s="67"/>
      <c r="U339" s="67">
        <f t="shared" si="20"/>
        <v>0</v>
      </c>
      <c r="V339" s="67"/>
      <c r="W339" s="67"/>
      <c r="X339" s="67"/>
      <c r="Y339" s="66"/>
      <c r="Z339" s="66"/>
      <c r="AA339" s="66"/>
      <c r="AB339" s="66"/>
      <c r="AC339" s="66"/>
      <c r="AD339" s="42" t="str">
        <f t="shared" si="23"/>
        <v>ทันกำหนด</v>
      </c>
      <c r="AE339" s="43"/>
      <c r="AF339" s="43"/>
      <c r="AG339" s="43"/>
      <c r="AH339" s="44"/>
    </row>
    <row r="340" spans="1:34" ht="27.75" customHeight="1">
      <c r="A340" s="41">
        <v>337</v>
      </c>
      <c r="B340" s="66"/>
      <c r="C340" s="48"/>
      <c r="D340" s="48"/>
      <c r="E340" s="49"/>
      <c r="F340" s="49"/>
      <c r="G340" s="49">
        <f t="shared" si="21"/>
        <v>0</v>
      </c>
      <c r="H340" s="49" t="str">
        <f t="shared" si="22"/>
        <v>ครบ</v>
      </c>
      <c r="I340" s="49"/>
      <c r="J340" s="49" t="e">
        <f>VLOOKUP(I340,Sheet2!$B$10:$C$18,2,FALSE)</f>
        <v>#N/A</v>
      </c>
      <c r="K340" s="67"/>
      <c r="L340" s="49"/>
      <c r="M340" s="49" t="e">
        <f>VLOOKUP(L340,Sheet2!$B$10:$C$18,2,FALSE)</f>
        <v>#N/A</v>
      </c>
      <c r="N340" s="67"/>
      <c r="O340" s="49"/>
      <c r="P340" s="49" t="e">
        <f>VLOOKUP(O340,Sheet2!$B$10:$C$18,2,FALSE)</f>
        <v>#N/A</v>
      </c>
      <c r="Q340" s="67"/>
      <c r="R340" s="49"/>
      <c r="S340" s="49" t="e">
        <f>VLOOKUP(R340,Sheet2!$B$10:$C$18,2,FALSE)</f>
        <v>#N/A</v>
      </c>
      <c r="T340" s="67"/>
      <c r="U340" s="67">
        <f t="shared" si="20"/>
        <v>0</v>
      </c>
      <c r="V340" s="67"/>
      <c r="W340" s="67"/>
      <c r="X340" s="67"/>
      <c r="Y340" s="66"/>
      <c r="Z340" s="66"/>
      <c r="AA340" s="66"/>
      <c r="AB340" s="66"/>
      <c r="AC340" s="66"/>
      <c r="AD340" s="42" t="str">
        <f t="shared" si="23"/>
        <v>ทันกำหนด</v>
      </c>
      <c r="AE340" s="43"/>
      <c r="AF340" s="43"/>
      <c r="AG340" s="43"/>
      <c r="AH340" s="44"/>
    </row>
    <row r="341" spans="1:34" ht="27.75" customHeight="1">
      <c r="A341" s="41">
        <v>338</v>
      </c>
      <c r="B341" s="66"/>
      <c r="C341" s="48"/>
      <c r="D341" s="48"/>
      <c r="E341" s="49"/>
      <c r="F341" s="49"/>
      <c r="G341" s="49">
        <f t="shared" si="21"/>
        <v>0</v>
      </c>
      <c r="H341" s="49" t="str">
        <f t="shared" si="22"/>
        <v>ครบ</v>
      </c>
      <c r="I341" s="49"/>
      <c r="J341" s="49" t="e">
        <f>VLOOKUP(I341,Sheet2!$B$10:$C$18,2,FALSE)</f>
        <v>#N/A</v>
      </c>
      <c r="K341" s="67"/>
      <c r="L341" s="49"/>
      <c r="M341" s="49" t="e">
        <f>VLOOKUP(L341,Sheet2!$B$10:$C$18,2,FALSE)</f>
        <v>#N/A</v>
      </c>
      <c r="N341" s="67"/>
      <c r="O341" s="49"/>
      <c r="P341" s="49" t="e">
        <f>VLOOKUP(O341,Sheet2!$B$10:$C$18,2,FALSE)</f>
        <v>#N/A</v>
      </c>
      <c r="Q341" s="67"/>
      <c r="R341" s="49"/>
      <c r="S341" s="49" t="e">
        <f>VLOOKUP(R341,Sheet2!$B$10:$C$18,2,FALSE)</f>
        <v>#N/A</v>
      </c>
      <c r="T341" s="67"/>
      <c r="U341" s="67">
        <f t="shared" si="20"/>
        <v>0</v>
      </c>
      <c r="V341" s="67"/>
      <c r="W341" s="67"/>
      <c r="X341" s="67"/>
      <c r="Y341" s="66"/>
      <c r="Z341" s="66"/>
      <c r="AA341" s="66"/>
      <c r="AB341" s="66"/>
      <c r="AC341" s="66"/>
      <c r="AD341" s="42" t="str">
        <f t="shared" si="23"/>
        <v>ทันกำหนด</v>
      </c>
      <c r="AE341" s="43"/>
      <c r="AF341" s="43"/>
      <c r="AG341" s="43"/>
      <c r="AH341" s="44"/>
    </row>
    <row r="342" spans="1:34" ht="27.75" customHeight="1">
      <c r="A342" s="41">
        <v>339</v>
      </c>
      <c r="B342" s="66"/>
      <c r="C342" s="48"/>
      <c r="D342" s="48"/>
      <c r="E342" s="49"/>
      <c r="F342" s="49"/>
      <c r="G342" s="49">
        <f t="shared" si="21"/>
        <v>0</v>
      </c>
      <c r="H342" s="49" t="str">
        <f t="shared" si="22"/>
        <v>ครบ</v>
      </c>
      <c r="I342" s="49"/>
      <c r="J342" s="49" t="e">
        <f>VLOOKUP(I342,Sheet2!$B$10:$C$18,2,FALSE)</f>
        <v>#N/A</v>
      </c>
      <c r="K342" s="67"/>
      <c r="L342" s="49"/>
      <c r="M342" s="49" t="e">
        <f>VLOOKUP(L342,Sheet2!$B$10:$C$18,2,FALSE)</f>
        <v>#N/A</v>
      </c>
      <c r="N342" s="67"/>
      <c r="O342" s="49"/>
      <c r="P342" s="49" t="e">
        <f>VLOOKUP(O342,Sheet2!$B$10:$C$18,2,FALSE)</f>
        <v>#N/A</v>
      </c>
      <c r="Q342" s="67"/>
      <c r="R342" s="49"/>
      <c r="S342" s="49" t="e">
        <f>VLOOKUP(R342,Sheet2!$B$10:$C$18,2,FALSE)</f>
        <v>#N/A</v>
      </c>
      <c r="T342" s="67"/>
      <c r="U342" s="67">
        <f t="shared" si="20"/>
        <v>0</v>
      </c>
      <c r="V342" s="67"/>
      <c r="W342" s="67"/>
      <c r="X342" s="67"/>
      <c r="Y342" s="66"/>
      <c r="Z342" s="66"/>
      <c r="AA342" s="66"/>
      <c r="AB342" s="66"/>
      <c r="AC342" s="66"/>
      <c r="AD342" s="42" t="str">
        <f t="shared" si="23"/>
        <v>ทันกำหนด</v>
      </c>
      <c r="AE342" s="43"/>
      <c r="AF342" s="43"/>
      <c r="AG342" s="43"/>
      <c r="AH342" s="44"/>
    </row>
    <row r="343" spans="1:34" ht="27.75" customHeight="1">
      <c r="A343" s="41">
        <v>340</v>
      </c>
      <c r="B343" s="66"/>
      <c r="C343" s="48"/>
      <c r="D343" s="48"/>
      <c r="E343" s="49"/>
      <c r="F343" s="49"/>
      <c r="G343" s="49">
        <f t="shared" si="21"/>
        <v>0</v>
      </c>
      <c r="H343" s="49" t="str">
        <f t="shared" si="22"/>
        <v>ครบ</v>
      </c>
      <c r="I343" s="49"/>
      <c r="J343" s="49" t="e">
        <f>VLOOKUP(I343,Sheet2!$B$10:$C$18,2,FALSE)</f>
        <v>#N/A</v>
      </c>
      <c r="K343" s="67"/>
      <c r="L343" s="49"/>
      <c r="M343" s="49" t="e">
        <f>VLOOKUP(L343,Sheet2!$B$10:$C$18,2,FALSE)</f>
        <v>#N/A</v>
      </c>
      <c r="N343" s="67"/>
      <c r="O343" s="49"/>
      <c r="P343" s="49" t="e">
        <f>VLOOKUP(O343,Sheet2!$B$10:$C$18,2,FALSE)</f>
        <v>#N/A</v>
      </c>
      <c r="Q343" s="67"/>
      <c r="R343" s="49"/>
      <c r="S343" s="49" t="e">
        <f>VLOOKUP(R343,Sheet2!$B$10:$C$18,2,FALSE)</f>
        <v>#N/A</v>
      </c>
      <c r="T343" s="67"/>
      <c r="U343" s="67">
        <f t="shared" si="20"/>
        <v>0</v>
      </c>
      <c r="V343" s="67"/>
      <c r="W343" s="67"/>
      <c r="X343" s="67"/>
      <c r="Y343" s="66"/>
      <c r="Z343" s="66"/>
      <c r="AA343" s="66"/>
      <c r="AB343" s="66"/>
      <c r="AC343" s="66"/>
      <c r="AD343" s="42" t="str">
        <f t="shared" si="23"/>
        <v>ทันกำหนด</v>
      </c>
      <c r="AE343" s="43"/>
      <c r="AF343" s="43"/>
      <c r="AG343" s="43"/>
      <c r="AH343" s="44"/>
    </row>
    <row r="344" spans="1:34" ht="27.75" customHeight="1">
      <c r="A344" s="41">
        <v>341</v>
      </c>
      <c r="B344" s="66"/>
      <c r="C344" s="48"/>
      <c r="D344" s="48"/>
      <c r="E344" s="49"/>
      <c r="F344" s="49"/>
      <c r="G344" s="49">
        <f t="shared" si="21"/>
        <v>0</v>
      </c>
      <c r="H344" s="49" t="str">
        <f t="shared" si="22"/>
        <v>ครบ</v>
      </c>
      <c r="I344" s="49"/>
      <c r="J344" s="49" t="e">
        <f>VLOOKUP(I344,Sheet2!$B$10:$C$18,2,FALSE)</f>
        <v>#N/A</v>
      </c>
      <c r="K344" s="67"/>
      <c r="L344" s="49"/>
      <c r="M344" s="49" t="e">
        <f>VLOOKUP(L344,Sheet2!$B$10:$C$18,2,FALSE)</f>
        <v>#N/A</v>
      </c>
      <c r="N344" s="67"/>
      <c r="O344" s="49"/>
      <c r="P344" s="49" t="e">
        <f>VLOOKUP(O344,Sheet2!$B$10:$C$18,2,FALSE)</f>
        <v>#N/A</v>
      </c>
      <c r="Q344" s="67"/>
      <c r="R344" s="49"/>
      <c r="S344" s="49" t="e">
        <f>VLOOKUP(R344,Sheet2!$B$10:$C$18,2,FALSE)</f>
        <v>#N/A</v>
      </c>
      <c r="T344" s="67"/>
      <c r="U344" s="67">
        <f t="shared" si="20"/>
        <v>0</v>
      </c>
      <c r="V344" s="67"/>
      <c r="W344" s="67"/>
      <c r="X344" s="67"/>
      <c r="Y344" s="66"/>
      <c r="Z344" s="66"/>
      <c r="AA344" s="66"/>
      <c r="AB344" s="66"/>
      <c r="AC344" s="66"/>
      <c r="AD344" s="42" t="str">
        <f t="shared" si="23"/>
        <v>ทันกำหนด</v>
      </c>
      <c r="AE344" s="43"/>
      <c r="AF344" s="43"/>
      <c r="AG344" s="43"/>
      <c r="AH344" s="44"/>
    </row>
    <row r="345" spans="1:34" ht="27.75" customHeight="1">
      <c r="A345" s="41">
        <v>342</v>
      </c>
      <c r="B345" s="66"/>
      <c r="C345" s="48"/>
      <c r="D345" s="48"/>
      <c r="E345" s="49"/>
      <c r="F345" s="49"/>
      <c r="G345" s="49">
        <f t="shared" si="21"/>
        <v>0</v>
      </c>
      <c r="H345" s="49" t="str">
        <f t="shared" si="22"/>
        <v>ครบ</v>
      </c>
      <c r="I345" s="49"/>
      <c r="J345" s="49" t="e">
        <f>VLOOKUP(I345,Sheet2!$B$10:$C$18,2,FALSE)</f>
        <v>#N/A</v>
      </c>
      <c r="K345" s="67"/>
      <c r="L345" s="49"/>
      <c r="M345" s="49" t="e">
        <f>VLOOKUP(L345,Sheet2!$B$10:$C$18,2,FALSE)</f>
        <v>#N/A</v>
      </c>
      <c r="N345" s="67"/>
      <c r="O345" s="49"/>
      <c r="P345" s="49" t="e">
        <f>VLOOKUP(O345,Sheet2!$B$10:$C$18,2,FALSE)</f>
        <v>#N/A</v>
      </c>
      <c r="Q345" s="67"/>
      <c r="R345" s="49"/>
      <c r="S345" s="49" t="e">
        <f>VLOOKUP(R345,Sheet2!$B$10:$C$18,2,FALSE)</f>
        <v>#N/A</v>
      </c>
      <c r="T345" s="67"/>
      <c r="U345" s="67">
        <f t="shared" si="20"/>
        <v>0</v>
      </c>
      <c r="V345" s="67"/>
      <c r="W345" s="67"/>
      <c r="X345" s="67"/>
      <c r="Y345" s="66"/>
      <c r="Z345" s="66"/>
      <c r="AA345" s="66"/>
      <c r="AB345" s="66"/>
      <c r="AC345" s="66"/>
      <c r="AD345" s="42" t="str">
        <f t="shared" si="23"/>
        <v>ทันกำหนด</v>
      </c>
      <c r="AE345" s="43"/>
      <c r="AF345" s="43"/>
      <c r="AG345" s="43"/>
      <c r="AH345" s="44"/>
    </row>
    <row r="346" spans="1:34" ht="27.75" customHeight="1">
      <c r="A346" s="41">
        <v>343</v>
      </c>
      <c r="B346" s="66"/>
      <c r="C346" s="48"/>
      <c r="D346" s="48"/>
      <c r="E346" s="49"/>
      <c r="F346" s="49"/>
      <c r="G346" s="49">
        <f t="shared" si="21"/>
        <v>0</v>
      </c>
      <c r="H346" s="49" t="str">
        <f t="shared" si="22"/>
        <v>ครบ</v>
      </c>
      <c r="I346" s="49"/>
      <c r="J346" s="49" t="e">
        <f>VLOOKUP(I346,Sheet2!$B$10:$C$18,2,FALSE)</f>
        <v>#N/A</v>
      </c>
      <c r="K346" s="67"/>
      <c r="L346" s="49"/>
      <c r="M346" s="49" t="e">
        <f>VLOOKUP(L346,Sheet2!$B$10:$C$18,2,FALSE)</f>
        <v>#N/A</v>
      </c>
      <c r="N346" s="67"/>
      <c r="O346" s="49"/>
      <c r="P346" s="49" t="e">
        <f>VLOOKUP(O346,Sheet2!$B$10:$C$18,2,FALSE)</f>
        <v>#N/A</v>
      </c>
      <c r="Q346" s="67"/>
      <c r="R346" s="49"/>
      <c r="S346" s="49" t="e">
        <f>VLOOKUP(R346,Sheet2!$B$10:$C$18,2,FALSE)</f>
        <v>#N/A</v>
      </c>
      <c r="T346" s="67"/>
      <c r="U346" s="67">
        <f t="shared" si="20"/>
        <v>0</v>
      </c>
      <c r="V346" s="67"/>
      <c r="W346" s="67"/>
      <c r="X346" s="67"/>
      <c r="Y346" s="66"/>
      <c r="Z346" s="66"/>
      <c r="AA346" s="66"/>
      <c r="AB346" s="66"/>
      <c r="AC346" s="66"/>
      <c r="AD346" s="42" t="str">
        <f t="shared" si="23"/>
        <v>ทันกำหนด</v>
      </c>
      <c r="AE346" s="43"/>
      <c r="AF346" s="43"/>
      <c r="AG346" s="43"/>
      <c r="AH346" s="44"/>
    </row>
    <row r="347" spans="1:34" ht="27.75" customHeight="1">
      <c r="A347" s="41">
        <v>344</v>
      </c>
      <c r="B347" s="66"/>
      <c r="C347" s="48"/>
      <c r="D347" s="48"/>
      <c r="E347" s="49"/>
      <c r="F347" s="49"/>
      <c r="G347" s="49">
        <f t="shared" si="21"/>
        <v>0</v>
      </c>
      <c r="H347" s="49" t="str">
        <f t="shared" si="22"/>
        <v>ครบ</v>
      </c>
      <c r="I347" s="49"/>
      <c r="J347" s="49" t="e">
        <f>VLOOKUP(I347,Sheet2!$B$10:$C$18,2,FALSE)</f>
        <v>#N/A</v>
      </c>
      <c r="K347" s="67"/>
      <c r="L347" s="49"/>
      <c r="M347" s="49" t="e">
        <f>VLOOKUP(L347,Sheet2!$B$10:$C$18,2,FALSE)</f>
        <v>#N/A</v>
      </c>
      <c r="N347" s="67"/>
      <c r="O347" s="49"/>
      <c r="P347" s="49" t="e">
        <f>VLOOKUP(O347,Sheet2!$B$10:$C$18,2,FALSE)</f>
        <v>#N/A</v>
      </c>
      <c r="Q347" s="67"/>
      <c r="R347" s="49"/>
      <c r="S347" s="49" t="e">
        <f>VLOOKUP(R347,Sheet2!$B$10:$C$18,2,FALSE)</f>
        <v>#N/A</v>
      </c>
      <c r="T347" s="67"/>
      <c r="U347" s="67">
        <f t="shared" si="20"/>
        <v>0</v>
      </c>
      <c r="V347" s="67"/>
      <c r="W347" s="67"/>
      <c r="X347" s="67"/>
      <c r="Y347" s="66"/>
      <c r="Z347" s="66"/>
      <c r="AA347" s="66"/>
      <c r="AB347" s="66"/>
      <c r="AC347" s="66"/>
      <c r="AD347" s="42" t="str">
        <f t="shared" si="23"/>
        <v>ทันกำหนด</v>
      </c>
      <c r="AE347" s="43"/>
      <c r="AF347" s="43"/>
      <c r="AG347" s="43"/>
      <c r="AH347" s="44"/>
    </row>
    <row r="348" spans="1:34" ht="27.75" customHeight="1">
      <c r="A348" s="41">
        <v>345</v>
      </c>
      <c r="B348" s="66"/>
      <c r="C348" s="48"/>
      <c r="D348" s="48"/>
      <c r="E348" s="49"/>
      <c r="F348" s="49"/>
      <c r="G348" s="49">
        <f t="shared" si="21"/>
        <v>0</v>
      </c>
      <c r="H348" s="49" t="str">
        <f t="shared" si="22"/>
        <v>ครบ</v>
      </c>
      <c r="I348" s="49"/>
      <c r="J348" s="49" t="e">
        <f>VLOOKUP(I348,Sheet2!$B$10:$C$18,2,FALSE)</f>
        <v>#N/A</v>
      </c>
      <c r="K348" s="67"/>
      <c r="L348" s="49"/>
      <c r="M348" s="49" t="e">
        <f>VLOOKUP(L348,Sheet2!$B$10:$C$18,2,FALSE)</f>
        <v>#N/A</v>
      </c>
      <c r="N348" s="67"/>
      <c r="O348" s="49"/>
      <c r="P348" s="49" t="e">
        <f>VLOOKUP(O348,Sheet2!$B$10:$C$18,2,FALSE)</f>
        <v>#N/A</v>
      </c>
      <c r="Q348" s="67"/>
      <c r="R348" s="49"/>
      <c r="S348" s="49" t="e">
        <f>VLOOKUP(R348,Sheet2!$B$10:$C$18,2,FALSE)</f>
        <v>#N/A</v>
      </c>
      <c r="T348" s="67"/>
      <c r="U348" s="67">
        <f t="shared" si="20"/>
        <v>0</v>
      </c>
      <c r="V348" s="67"/>
      <c r="W348" s="67"/>
      <c r="X348" s="67"/>
      <c r="Y348" s="66"/>
      <c r="Z348" s="66"/>
      <c r="AA348" s="66"/>
      <c r="AB348" s="66"/>
      <c r="AC348" s="66"/>
      <c r="AD348" s="42" t="str">
        <f t="shared" si="23"/>
        <v>ทันกำหนด</v>
      </c>
      <c r="AE348" s="43"/>
      <c r="AF348" s="43"/>
      <c r="AG348" s="43"/>
      <c r="AH348" s="44"/>
    </row>
    <row r="349" spans="1:34" ht="27.75" customHeight="1">
      <c r="A349" s="41">
        <v>346</v>
      </c>
      <c r="B349" s="66"/>
      <c r="C349" s="48"/>
      <c r="D349" s="48"/>
      <c r="E349" s="49"/>
      <c r="F349" s="49"/>
      <c r="G349" s="49">
        <f t="shared" si="21"/>
        <v>0</v>
      </c>
      <c r="H349" s="49" t="str">
        <f t="shared" si="22"/>
        <v>ครบ</v>
      </c>
      <c r="I349" s="49"/>
      <c r="J349" s="49" t="e">
        <f>VLOOKUP(I349,Sheet2!$B$10:$C$18,2,FALSE)</f>
        <v>#N/A</v>
      </c>
      <c r="K349" s="67"/>
      <c r="L349" s="49"/>
      <c r="M349" s="49" t="e">
        <f>VLOOKUP(L349,Sheet2!$B$10:$C$18,2,FALSE)</f>
        <v>#N/A</v>
      </c>
      <c r="N349" s="67"/>
      <c r="O349" s="49"/>
      <c r="P349" s="49" t="e">
        <f>VLOOKUP(O349,Sheet2!$B$10:$C$18,2,FALSE)</f>
        <v>#N/A</v>
      </c>
      <c r="Q349" s="67"/>
      <c r="R349" s="49"/>
      <c r="S349" s="49" t="e">
        <f>VLOOKUP(R349,Sheet2!$B$10:$C$18,2,FALSE)</f>
        <v>#N/A</v>
      </c>
      <c r="T349" s="67"/>
      <c r="U349" s="67">
        <f t="shared" si="20"/>
        <v>0</v>
      </c>
      <c r="V349" s="67"/>
      <c r="W349" s="67"/>
      <c r="X349" s="67"/>
      <c r="Y349" s="66"/>
      <c r="Z349" s="66"/>
      <c r="AA349" s="66"/>
      <c r="AB349" s="66"/>
      <c r="AC349" s="66"/>
      <c r="AD349" s="42" t="str">
        <f t="shared" si="23"/>
        <v>ทันกำหนด</v>
      </c>
      <c r="AE349" s="43"/>
      <c r="AF349" s="43"/>
      <c r="AG349" s="43"/>
      <c r="AH349" s="44"/>
    </row>
    <row r="350" spans="1:34" ht="27.75" customHeight="1">
      <c r="A350" s="41">
        <v>347</v>
      </c>
      <c r="B350" s="66"/>
      <c r="C350" s="48"/>
      <c r="D350" s="48"/>
      <c r="E350" s="49"/>
      <c r="F350" s="49"/>
      <c r="G350" s="49">
        <f t="shared" si="21"/>
        <v>0</v>
      </c>
      <c r="H350" s="49" t="str">
        <f t="shared" si="22"/>
        <v>ครบ</v>
      </c>
      <c r="I350" s="49"/>
      <c r="J350" s="49" t="e">
        <f>VLOOKUP(I350,Sheet2!$B$10:$C$18,2,FALSE)</f>
        <v>#N/A</v>
      </c>
      <c r="K350" s="67"/>
      <c r="L350" s="49"/>
      <c r="M350" s="49" t="e">
        <f>VLOOKUP(L350,Sheet2!$B$10:$C$18,2,FALSE)</f>
        <v>#N/A</v>
      </c>
      <c r="N350" s="67"/>
      <c r="O350" s="49"/>
      <c r="P350" s="49" t="e">
        <f>VLOOKUP(O350,Sheet2!$B$10:$C$18,2,FALSE)</f>
        <v>#N/A</v>
      </c>
      <c r="Q350" s="67"/>
      <c r="R350" s="49"/>
      <c r="S350" s="49" t="e">
        <f>VLOOKUP(R350,Sheet2!$B$10:$C$18,2,FALSE)</f>
        <v>#N/A</v>
      </c>
      <c r="T350" s="67"/>
      <c r="U350" s="67">
        <f t="shared" si="20"/>
        <v>0</v>
      </c>
      <c r="V350" s="67"/>
      <c r="W350" s="67"/>
      <c r="X350" s="67"/>
      <c r="Y350" s="66"/>
      <c r="Z350" s="66"/>
      <c r="AA350" s="66"/>
      <c r="AB350" s="66"/>
      <c r="AC350" s="66"/>
      <c r="AD350" s="42" t="str">
        <f t="shared" si="23"/>
        <v>ทันกำหนด</v>
      </c>
      <c r="AE350" s="43"/>
      <c r="AF350" s="43"/>
      <c r="AG350" s="43"/>
      <c r="AH350" s="44"/>
    </row>
    <row r="351" spans="1:34" ht="27.75" customHeight="1">
      <c r="A351" s="41">
        <v>348</v>
      </c>
      <c r="B351" s="66"/>
      <c r="C351" s="48"/>
      <c r="D351" s="48"/>
      <c r="E351" s="49"/>
      <c r="F351" s="49"/>
      <c r="G351" s="49">
        <f t="shared" si="21"/>
        <v>0</v>
      </c>
      <c r="H351" s="49" t="str">
        <f t="shared" si="22"/>
        <v>ครบ</v>
      </c>
      <c r="I351" s="49"/>
      <c r="J351" s="49" t="e">
        <f>VLOOKUP(I351,Sheet2!$B$10:$C$18,2,FALSE)</f>
        <v>#N/A</v>
      </c>
      <c r="K351" s="67"/>
      <c r="L351" s="49"/>
      <c r="M351" s="49" t="e">
        <f>VLOOKUP(L351,Sheet2!$B$10:$C$18,2,FALSE)</f>
        <v>#N/A</v>
      </c>
      <c r="N351" s="67"/>
      <c r="O351" s="49"/>
      <c r="P351" s="49" t="e">
        <f>VLOOKUP(O351,Sheet2!$B$10:$C$18,2,FALSE)</f>
        <v>#N/A</v>
      </c>
      <c r="Q351" s="67"/>
      <c r="R351" s="49"/>
      <c r="S351" s="49" t="e">
        <f>VLOOKUP(R351,Sheet2!$B$10:$C$18,2,FALSE)</f>
        <v>#N/A</v>
      </c>
      <c r="T351" s="67"/>
      <c r="U351" s="67">
        <f t="shared" si="20"/>
        <v>0</v>
      </c>
      <c r="V351" s="67"/>
      <c r="W351" s="67"/>
      <c r="X351" s="67"/>
      <c r="Y351" s="66"/>
      <c r="Z351" s="66"/>
      <c r="AA351" s="66"/>
      <c r="AB351" s="66"/>
      <c r="AC351" s="66"/>
      <c r="AD351" s="42" t="str">
        <f t="shared" si="23"/>
        <v>ทันกำหนด</v>
      </c>
      <c r="AE351" s="43"/>
      <c r="AF351" s="43"/>
      <c r="AG351" s="43"/>
      <c r="AH351" s="44"/>
    </row>
    <row r="352" spans="1:34" ht="27.75" customHeight="1">
      <c r="A352" s="41">
        <v>349</v>
      </c>
      <c r="B352" s="66"/>
      <c r="C352" s="48"/>
      <c r="D352" s="48"/>
      <c r="E352" s="49"/>
      <c r="F352" s="49"/>
      <c r="G352" s="49">
        <f t="shared" si="21"/>
        <v>0</v>
      </c>
      <c r="H352" s="49" t="str">
        <f t="shared" si="22"/>
        <v>ครบ</v>
      </c>
      <c r="I352" s="49"/>
      <c r="J352" s="49" t="e">
        <f>VLOOKUP(I352,Sheet2!$B$10:$C$18,2,FALSE)</f>
        <v>#N/A</v>
      </c>
      <c r="K352" s="67"/>
      <c r="L352" s="49"/>
      <c r="M352" s="49" t="e">
        <f>VLOOKUP(L352,Sheet2!$B$10:$C$18,2,FALSE)</f>
        <v>#N/A</v>
      </c>
      <c r="N352" s="67"/>
      <c r="O352" s="49"/>
      <c r="P352" s="49" t="e">
        <f>VLOOKUP(O352,Sheet2!$B$10:$C$18,2,FALSE)</f>
        <v>#N/A</v>
      </c>
      <c r="Q352" s="67"/>
      <c r="R352" s="49"/>
      <c r="S352" s="49" t="e">
        <f>VLOOKUP(R352,Sheet2!$B$10:$C$18,2,FALSE)</f>
        <v>#N/A</v>
      </c>
      <c r="T352" s="67"/>
      <c r="U352" s="67">
        <f t="shared" si="20"/>
        <v>0</v>
      </c>
      <c r="V352" s="67"/>
      <c r="W352" s="67"/>
      <c r="X352" s="67"/>
      <c r="Y352" s="66"/>
      <c r="Z352" s="66"/>
      <c r="AA352" s="66"/>
      <c r="AB352" s="66"/>
      <c r="AC352" s="66"/>
      <c r="AD352" s="42" t="str">
        <f t="shared" si="23"/>
        <v>ทันกำหนด</v>
      </c>
      <c r="AE352" s="43"/>
      <c r="AF352" s="43"/>
      <c r="AG352" s="43"/>
      <c r="AH352" s="44"/>
    </row>
    <row r="353" spans="1:34" ht="27.75" customHeight="1">
      <c r="A353" s="41">
        <v>350</v>
      </c>
      <c r="B353" s="66"/>
      <c r="C353" s="48"/>
      <c r="D353" s="48"/>
      <c r="E353" s="49"/>
      <c r="F353" s="49"/>
      <c r="G353" s="49">
        <f t="shared" si="21"/>
        <v>0</v>
      </c>
      <c r="H353" s="49" t="str">
        <f t="shared" si="22"/>
        <v>ครบ</v>
      </c>
      <c r="I353" s="49"/>
      <c r="J353" s="49" t="e">
        <f>VLOOKUP(I353,Sheet2!$B$10:$C$18,2,FALSE)</f>
        <v>#N/A</v>
      </c>
      <c r="K353" s="67"/>
      <c r="L353" s="49"/>
      <c r="M353" s="49" t="e">
        <f>VLOOKUP(L353,Sheet2!$B$10:$C$18,2,FALSE)</f>
        <v>#N/A</v>
      </c>
      <c r="N353" s="67"/>
      <c r="O353" s="49"/>
      <c r="P353" s="49" t="e">
        <f>VLOOKUP(O353,Sheet2!$B$10:$C$18,2,FALSE)</f>
        <v>#N/A</v>
      </c>
      <c r="Q353" s="67"/>
      <c r="R353" s="49"/>
      <c r="S353" s="49" t="e">
        <f>VLOOKUP(R353,Sheet2!$B$10:$C$18,2,FALSE)</f>
        <v>#N/A</v>
      </c>
      <c r="T353" s="67"/>
      <c r="U353" s="67">
        <f t="shared" si="20"/>
        <v>0</v>
      </c>
      <c r="V353" s="67"/>
      <c r="W353" s="67"/>
      <c r="X353" s="67"/>
      <c r="Y353" s="66"/>
      <c r="Z353" s="66"/>
      <c r="AA353" s="66"/>
      <c r="AB353" s="66"/>
      <c r="AC353" s="66"/>
      <c r="AD353" s="42" t="str">
        <f t="shared" si="23"/>
        <v>ทันกำหนด</v>
      </c>
      <c r="AE353" s="43"/>
      <c r="AF353" s="43"/>
      <c r="AG353" s="43"/>
      <c r="AH353" s="44"/>
    </row>
    <row r="354" spans="1:34" ht="27.75" customHeight="1">
      <c r="A354" s="41">
        <v>351</v>
      </c>
      <c r="B354" s="66"/>
      <c r="C354" s="48"/>
      <c r="D354" s="48"/>
      <c r="E354" s="49"/>
      <c r="F354" s="49"/>
      <c r="G354" s="49">
        <f t="shared" si="21"/>
        <v>0</v>
      </c>
      <c r="H354" s="49" t="str">
        <f t="shared" si="22"/>
        <v>ครบ</v>
      </c>
      <c r="I354" s="49"/>
      <c r="J354" s="49" t="e">
        <f>VLOOKUP(I354,Sheet2!$B$10:$C$18,2,FALSE)</f>
        <v>#N/A</v>
      </c>
      <c r="K354" s="67"/>
      <c r="L354" s="49"/>
      <c r="M354" s="49" t="e">
        <f>VLOOKUP(L354,Sheet2!$B$10:$C$18,2,FALSE)</f>
        <v>#N/A</v>
      </c>
      <c r="N354" s="67"/>
      <c r="O354" s="49"/>
      <c r="P354" s="49" t="e">
        <f>VLOOKUP(O354,Sheet2!$B$10:$C$18,2,FALSE)</f>
        <v>#N/A</v>
      </c>
      <c r="Q354" s="67"/>
      <c r="R354" s="49"/>
      <c r="S354" s="49" t="e">
        <f>VLOOKUP(R354,Sheet2!$B$10:$C$18,2,FALSE)</f>
        <v>#N/A</v>
      </c>
      <c r="T354" s="67"/>
      <c r="U354" s="67">
        <f t="shared" si="20"/>
        <v>0</v>
      </c>
      <c r="V354" s="67"/>
      <c r="W354" s="67"/>
      <c r="X354" s="67"/>
      <c r="Y354" s="66"/>
      <c r="Z354" s="66"/>
      <c r="AA354" s="66"/>
      <c r="AB354" s="66"/>
      <c r="AC354" s="66"/>
      <c r="AD354" s="42" t="str">
        <f t="shared" si="23"/>
        <v>ทันกำหนด</v>
      </c>
      <c r="AE354" s="43"/>
      <c r="AF354" s="43"/>
      <c r="AG354" s="43"/>
      <c r="AH354" s="44"/>
    </row>
    <row r="355" spans="1:34" ht="27.75" customHeight="1">
      <c r="A355" s="41">
        <v>352</v>
      </c>
      <c r="B355" s="66"/>
      <c r="C355" s="48"/>
      <c r="D355" s="48"/>
      <c r="E355" s="49"/>
      <c r="F355" s="49"/>
      <c r="G355" s="49">
        <f t="shared" si="21"/>
        <v>0</v>
      </c>
      <c r="H355" s="49" t="str">
        <f t="shared" si="22"/>
        <v>ครบ</v>
      </c>
      <c r="I355" s="49"/>
      <c r="J355" s="49" t="e">
        <f>VLOOKUP(I355,Sheet2!$B$10:$C$18,2,FALSE)</f>
        <v>#N/A</v>
      </c>
      <c r="K355" s="67"/>
      <c r="L355" s="49"/>
      <c r="M355" s="49" t="e">
        <f>VLOOKUP(L355,Sheet2!$B$10:$C$18,2,FALSE)</f>
        <v>#N/A</v>
      </c>
      <c r="N355" s="67"/>
      <c r="O355" s="49"/>
      <c r="P355" s="49" t="e">
        <f>VLOOKUP(O355,Sheet2!$B$10:$C$18,2,FALSE)</f>
        <v>#N/A</v>
      </c>
      <c r="Q355" s="67"/>
      <c r="R355" s="49"/>
      <c r="S355" s="49" t="e">
        <f>VLOOKUP(R355,Sheet2!$B$10:$C$18,2,FALSE)</f>
        <v>#N/A</v>
      </c>
      <c r="T355" s="67"/>
      <c r="U355" s="67">
        <f t="shared" si="20"/>
        <v>0</v>
      </c>
      <c r="V355" s="67"/>
      <c r="W355" s="67"/>
      <c r="X355" s="67"/>
      <c r="Y355" s="66"/>
      <c r="Z355" s="66"/>
      <c r="AA355" s="66"/>
      <c r="AB355" s="66"/>
      <c r="AC355" s="66"/>
      <c r="AD355" s="42" t="str">
        <f t="shared" si="23"/>
        <v>ทันกำหนด</v>
      </c>
      <c r="AE355" s="43"/>
      <c r="AF355" s="43"/>
      <c r="AG355" s="43"/>
      <c r="AH355" s="44"/>
    </row>
    <row r="356" spans="1:34" ht="27.75" customHeight="1">
      <c r="A356" s="41">
        <v>353</v>
      </c>
      <c r="B356" s="66"/>
      <c r="C356" s="48"/>
      <c r="D356" s="48"/>
      <c r="E356" s="49"/>
      <c r="F356" s="49"/>
      <c r="G356" s="49">
        <f t="shared" si="21"/>
        <v>0</v>
      </c>
      <c r="H356" s="49" t="str">
        <f t="shared" si="22"/>
        <v>ครบ</v>
      </c>
      <c r="I356" s="49"/>
      <c r="J356" s="49" t="e">
        <f>VLOOKUP(I356,Sheet2!$B$10:$C$18,2,FALSE)</f>
        <v>#N/A</v>
      </c>
      <c r="K356" s="67"/>
      <c r="L356" s="49"/>
      <c r="M356" s="49" t="e">
        <f>VLOOKUP(L356,Sheet2!$B$10:$C$18,2,FALSE)</f>
        <v>#N/A</v>
      </c>
      <c r="N356" s="67"/>
      <c r="O356" s="49"/>
      <c r="P356" s="49" t="e">
        <f>VLOOKUP(O356,Sheet2!$B$10:$C$18,2,FALSE)</f>
        <v>#N/A</v>
      </c>
      <c r="Q356" s="67"/>
      <c r="R356" s="49"/>
      <c r="S356" s="49" t="e">
        <f>VLOOKUP(R356,Sheet2!$B$10:$C$18,2,FALSE)</f>
        <v>#N/A</v>
      </c>
      <c r="T356" s="67"/>
      <c r="U356" s="67">
        <f t="shared" si="20"/>
        <v>0</v>
      </c>
      <c r="V356" s="67"/>
      <c r="W356" s="67"/>
      <c r="X356" s="67"/>
      <c r="Y356" s="66"/>
      <c r="Z356" s="66"/>
      <c r="AA356" s="66"/>
      <c r="AB356" s="66"/>
      <c r="AC356" s="66"/>
      <c r="AD356" s="42" t="str">
        <f t="shared" si="23"/>
        <v>ทันกำหนด</v>
      </c>
      <c r="AE356" s="43"/>
      <c r="AF356" s="43"/>
      <c r="AG356" s="43"/>
      <c r="AH356" s="44"/>
    </row>
    <row r="357" spans="1:34" ht="27.75" customHeight="1">
      <c r="A357" s="41">
        <v>354</v>
      </c>
      <c r="B357" s="66"/>
      <c r="C357" s="48"/>
      <c r="D357" s="48"/>
      <c r="E357" s="49"/>
      <c r="F357" s="49"/>
      <c r="G357" s="49">
        <f t="shared" si="21"/>
        <v>0</v>
      </c>
      <c r="H357" s="49" t="str">
        <f t="shared" si="22"/>
        <v>ครบ</v>
      </c>
      <c r="I357" s="49"/>
      <c r="J357" s="49" t="e">
        <f>VLOOKUP(I357,Sheet2!$B$10:$C$18,2,FALSE)</f>
        <v>#N/A</v>
      </c>
      <c r="K357" s="67"/>
      <c r="L357" s="49"/>
      <c r="M357" s="49" t="e">
        <f>VLOOKUP(L357,Sheet2!$B$10:$C$18,2,FALSE)</f>
        <v>#N/A</v>
      </c>
      <c r="N357" s="67"/>
      <c r="O357" s="49"/>
      <c r="P357" s="49" t="e">
        <f>VLOOKUP(O357,Sheet2!$B$10:$C$18,2,FALSE)</f>
        <v>#N/A</v>
      </c>
      <c r="Q357" s="67"/>
      <c r="R357" s="49"/>
      <c r="S357" s="49" t="e">
        <f>VLOOKUP(R357,Sheet2!$B$10:$C$18,2,FALSE)</f>
        <v>#N/A</v>
      </c>
      <c r="T357" s="67"/>
      <c r="U357" s="67">
        <f t="shared" si="20"/>
        <v>0</v>
      </c>
      <c r="V357" s="67"/>
      <c r="W357" s="67"/>
      <c r="X357" s="67"/>
      <c r="Y357" s="66"/>
      <c r="Z357" s="66"/>
      <c r="AA357" s="66"/>
      <c r="AB357" s="66"/>
      <c r="AC357" s="66"/>
      <c r="AD357" s="42" t="str">
        <f t="shared" si="23"/>
        <v>ทันกำหนด</v>
      </c>
      <c r="AE357" s="43"/>
      <c r="AF357" s="43"/>
      <c r="AG357" s="43"/>
      <c r="AH357" s="44"/>
    </row>
    <row r="358" spans="1:34" ht="27.75" customHeight="1">
      <c r="A358" s="41">
        <v>355</v>
      </c>
      <c r="B358" s="66"/>
      <c r="C358" s="48"/>
      <c r="D358" s="48"/>
      <c r="E358" s="49"/>
      <c r="F358" s="49"/>
      <c r="G358" s="49">
        <f t="shared" si="21"/>
        <v>0</v>
      </c>
      <c r="H358" s="49" t="str">
        <f t="shared" si="22"/>
        <v>ครบ</v>
      </c>
      <c r="I358" s="49"/>
      <c r="J358" s="49" t="e">
        <f>VLOOKUP(I358,Sheet2!$B$10:$C$18,2,FALSE)</f>
        <v>#N/A</v>
      </c>
      <c r="K358" s="67"/>
      <c r="L358" s="49"/>
      <c r="M358" s="49" t="e">
        <f>VLOOKUP(L358,Sheet2!$B$10:$C$18,2,FALSE)</f>
        <v>#N/A</v>
      </c>
      <c r="N358" s="67"/>
      <c r="O358" s="49"/>
      <c r="P358" s="49" t="e">
        <f>VLOOKUP(O358,Sheet2!$B$10:$C$18,2,FALSE)</f>
        <v>#N/A</v>
      </c>
      <c r="Q358" s="67"/>
      <c r="R358" s="49"/>
      <c r="S358" s="49" t="e">
        <f>VLOOKUP(R358,Sheet2!$B$10:$C$18,2,FALSE)</f>
        <v>#N/A</v>
      </c>
      <c r="T358" s="67"/>
      <c r="U358" s="67">
        <f t="shared" si="20"/>
        <v>0</v>
      </c>
      <c r="V358" s="67"/>
      <c r="W358" s="67"/>
      <c r="X358" s="67"/>
      <c r="Y358" s="66"/>
      <c r="Z358" s="66"/>
      <c r="AA358" s="66"/>
      <c r="AB358" s="66"/>
      <c r="AC358" s="66"/>
      <c r="AD358" s="42" t="str">
        <f t="shared" si="23"/>
        <v>ทันกำหนด</v>
      </c>
      <c r="AE358" s="43"/>
      <c r="AF358" s="43"/>
      <c r="AG358" s="43"/>
      <c r="AH358" s="44"/>
    </row>
    <row r="359" spans="1:34" ht="27.75" customHeight="1">
      <c r="A359" s="41">
        <v>356</v>
      </c>
      <c r="B359" s="66"/>
      <c r="C359" s="48"/>
      <c r="D359" s="48"/>
      <c r="E359" s="49"/>
      <c r="F359" s="49"/>
      <c r="G359" s="49">
        <f t="shared" si="21"/>
        <v>0</v>
      </c>
      <c r="H359" s="49" t="str">
        <f t="shared" si="22"/>
        <v>ครบ</v>
      </c>
      <c r="I359" s="49"/>
      <c r="J359" s="49" t="e">
        <f>VLOOKUP(I359,Sheet2!$B$10:$C$18,2,FALSE)</f>
        <v>#N/A</v>
      </c>
      <c r="K359" s="67"/>
      <c r="L359" s="49"/>
      <c r="M359" s="49" t="e">
        <f>VLOOKUP(L359,Sheet2!$B$10:$C$18,2,FALSE)</f>
        <v>#N/A</v>
      </c>
      <c r="N359" s="67"/>
      <c r="O359" s="49"/>
      <c r="P359" s="49" t="e">
        <f>VLOOKUP(O359,Sheet2!$B$10:$C$18,2,FALSE)</f>
        <v>#N/A</v>
      </c>
      <c r="Q359" s="67"/>
      <c r="R359" s="49"/>
      <c r="S359" s="49" t="e">
        <f>VLOOKUP(R359,Sheet2!$B$10:$C$18,2,FALSE)</f>
        <v>#N/A</v>
      </c>
      <c r="T359" s="67"/>
      <c r="U359" s="67">
        <f t="shared" si="20"/>
        <v>0</v>
      </c>
      <c r="V359" s="67"/>
      <c r="W359" s="67"/>
      <c r="X359" s="67"/>
      <c r="Y359" s="66"/>
      <c r="Z359" s="66"/>
      <c r="AA359" s="66"/>
      <c r="AB359" s="66"/>
      <c r="AC359" s="66"/>
      <c r="AD359" s="42" t="str">
        <f t="shared" si="23"/>
        <v>ทันกำหนด</v>
      </c>
      <c r="AE359" s="43"/>
      <c r="AF359" s="43"/>
      <c r="AG359" s="43"/>
      <c r="AH359" s="44"/>
    </row>
    <row r="360" spans="1:34" ht="27.75" customHeight="1">
      <c r="A360" s="41">
        <v>357</v>
      </c>
      <c r="B360" s="66"/>
      <c r="C360" s="48"/>
      <c r="D360" s="71"/>
      <c r="E360" s="49"/>
      <c r="F360" s="49"/>
      <c r="G360" s="49">
        <f t="shared" si="21"/>
        <v>0</v>
      </c>
      <c r="H360" s="49" t="str">
        <f t="shared" si="22"/>
        <v>ครบ</v>
      </c>
      <c r="I360" s="49"/>
      <c r="J360" s="49" t="e">
        <f>VLOOKUP(I360,Sheet2!$B$10:$C$18,2,FALSE)</f>
        <v>#N/A</v>
      </c>
      <c r="K360" s="67"/>
      <c r="L360" s="49"/>
      <c r="M360" s="49" t="e">
        <f>VLOOKUP(L360,Sheet2!$B$10:$C$18,2,FALSE)</f>
        <v>#N/A</v>
      </c>
      <c r="N360" s="67"/>
      <c r="O360" s="49"/>
      <c r="P360" s="49" t="e">
        <f>VLOOKUP(O360,Sheet2!$B$10:$C$18,2,FALSE)</f>
        <v>#N/A</v>
      </c>
      <c r="Q360" s="67"/>
      <c r="R360" s="49"/>
      <c r="S360" s="49" t="e">
        <f>VLOOKUP(R360,Sheet2!$B$10:$C$18,2,FALSE)</f>
        <v>#N/A</v>
      </c>
      <c r="T360" s="67"/>
      <c r="U360" s="67">
        <f t="shared" si="20"/>
        <v>0</v>
      </c>
      <c r="V360" s="67"/>
      <c r="W360" s="67"/>
      <c r="X360" s="67"/>
      <c r="Y360" s="66"/>
      <c r="Z360" s="66"/>
      <c r="AA360" s="66"/>
      <c r="AB360" s="66"/>
      <c r="AC360" s="66"/>
      <c r="AD360" s="42" t="str">
        <f t="shared" si="23"/>
        <v>ทันกำหนด</v>
      </c>
      <c r="AE360" s="43"/>
      <c r="AF360" s="43"/>
      <c r="AG360" s="43"/>
      <c r="AH360" s="44"/>
    </row>
    <row r="361" spans="1:34" ht="27.75" customHeight="1">
      <c r="A361" s="41">
        <v>358</v>
      </c>
      <c r="B361" s="66"/>
      <c r="C361" s="48"/>
      <c r="D361" s="71"/>
      <c r="E361" s="49"/>
      <c r="F361" s="49"/>
      <c r="G361" s="49">
        <f t="shared" si="21"/>
        <v>0</v>
      </c>
      <c r="H361" s="49" t="str">
        <f t="shared" si="22"/>
        <v>ครบ</v>
      </c>
      <c r="I361" s="49"/>
      <c r="J361" s="49" t="e">
        <f>VLOOKUP(I361,Sheet2!$B$10:$C$18,2,FALSE)</f>
        <v>#N/A</v>
      </c>
      <c r="K361" s="67"/>
      <c r="L361" s="49"/>
      <c r="M361" s="49" t="e">
        <f>VLOOKUP(L361,Sheet2!$B$10:$C$18,2,FALSE)</f>
        <v>#N/A</v>
      </c>
      <c r="N361" s="67"/>
      <c r="O361" s="49"/>
      <c r="P361" s="49" t="e">
        <f>VLOOKUP(O361,Sheet2!$B$10:$C$18,2,FALSE)</f>
        <v>#N/A</v>
      </c>
      <c r="Q361" s="67"/>
      <c r="R361" s="49"/>
      <c r="S361" s="49" t="e">
        <f>VLOOKUP(R361,Sheet2!$B$10:$C$18,2,FALSE)</f>
        <v>#N/A</v>
      </c>
      <c r="T361" s="67"/>
      <c r="U361" s="67">
        <f t="shared" si="20"/>
        <v>0</v>
      </c>
      <c r="V361" s="67"/>
      <c r="W361" s="67"/>
      <c r="X361" s="67"/>
      <c r="Y361" s="66"/>
      <c r="Z361" s="66"/>
      <c r="AA361" s="66"/>
      <c r="AB361" s="66"/>
      <c r="AC361" s="66"/>
      <c r="AD361" s="42" t="str">
        <f t="shared" si="23"/>
        <v>ทันกำหนด</v>
      </c>
      <c r="AE361" s="43"/>
      <c r="AF361" s="43"/>
      <c r="AG361" s="43"/>
      <c r="AH361" s="44"/>
    </row>
    <row r="362" spans="1:34" ht="27.75" customHeight="1">
      <c r="A362" s="41">
        <v>359</v>
      </c>
      <c r="B362" s="66"/>
      <c r="C362" s="48"/>
      <c r="D362" s="48"/>
      <c r="E362" s="49"/>
      <c r="F362" s="49"/>
      <c r="G362" s="49">
        <f t="shared" si="21"/>
        <v>0</v>
      </c>
      <c r="H362" s="49" t="str">
        <f t="shared" si="22"/>
        <v>ครบ</v>
      </c>
      <c r="I362" s="49"/>
      <c r="J362" s="49" t="e">
        <f>VLOOKUP(I362,Sheet2!$B$10:$C$18,2,FALSE)</f>
        <v>#N/A</v>
      </c>
      <c r="K362" s="67"/>
      <c r="L362" s="49"/>
      <c r="M362" s="49" t="e">
        <f>VLOOKUP(L362,Sheet2!$B$10:$C$18,2,FALSE)</f>
        <v>#N/A</v>
      </c>
      <c r="N362" s="67"/>
      <c r="O362" s="49"/>
      <c r="P362" s="49" t="e">
        <f>VLOOKUP(O362,Sheet2!$B$10:$C$18,2,FALSE)</f>
        <v>#N/A</v>
      </c>
      <c r="Q362" s="67"/>
      <c r="R362" s="49"/>
      <c r="S362" s="49" t="e">
        <f>VLOOKUP(R362,Sheet2!$B$10:$C$18,2,FALSE)</f>
        <v>#N/A</v>
      </c>
      <c r="T362" s="67"/>
      <c r="U362" s="67">
        <f t="shared" si="20"/>
        <v>0</v>
      </c>
      <c r="V362" s="67"/>
      <c r="W362" s="67"/>
      <c r="X362" s="67"/>
      <c r="Y362" s="66"/>
      <c r="Z362" s="66"/>
      <c r="AA362" s="66"/>
      <c r="AB362" s="66"/>
      <c r="AC362" s="66"/>
      <c r="AD362" s="42" t="str">
        <f t="shared" si="23"/>
        <v>ทันกำหนด</v>
      </c>
      <c r="AE362" s="43"/>
      <c r="AF362" s="43"/>
      <c r="AG362" s="43"/>
      <c r="AH362" s="44"/>
    </row>
    <row r="363" spans="1:34" ht="27.75" customHeight="1">
      <c r="A363" s="41">
        <v>360</v>
      </c>
      <c r="B363" s="66"/>
      <c r="C363" s="48"/>
      <c r="D363" s="48"/>
      <c r="E363" s="49"/>
      <c r="F363" s="49"/>
      <c r="G363" s="49">
        <f t="shared" si="21"/>
        <v>0</v>
      </c>
      <c r="H363" s="49" t="str">
        <f t="shared" si="22"/>
        <v>ครบ</v>
      </c>
      <c r="I363" s="49"/>
      <c r="J363" s="49" t="e">
        <f>VLOOKUP(I363,Sheet2!$B$10:$C$18,2,FALSE)</f>
        <v>#N/A</v>
      </c>
      <c r="K363" s="67"/>
      <c r="L363" s="49"/>
      <c r="M363" s="49" t="e">
        <f>VLOOKUP(L363,Sheet2!$B$10:$C$18,2,FALSE)</f>
        <v>#N/A</v>
      </c>
      <c r="N363" s="67"/>
      <c r="O363" s="49"/>
      <c r="P363" s="49" t="e">
        <f>VLOOKUP(O363,Sheet2!$B$10:$C$18,2,FALSE)</f>
        <v>#N/A</v>
      </c>
      <c r="Q363" s="67"/>
      <c r="R363" s="49"/>
      <c r="S363" s="49" t="e">
        <f>VLOOKUP(R363,Sheet2!$B$10:$C$18,2,FALSE)</f>
        <v>#N/A</v>
      </c>
      <c r="T363" s="67"/>
      <c r="U363" s="67">
        <f t="shared" si="20"/>
        <v>0</v>
      </c>
      <c r="V363" s="67"/>
      <c r="W363" s="67"/>
      <c r="X363" s="67"/>
      <c r="Y363" s="66"/>
      <c r="Z363" s="66"/>
      <c r="AA363" s="66"/>
      <c r="AB363" s="66"/>
      <c r="AC363" s="66"/>
      <c r="AD363" s="42" t="str">
        <f t="shared" si="23"/>
        <v>ทันกำหนด</v>
      </c>
      <c r="AE363" s="43"/>
      <c r="AF363" s="43"/>
      <c r="AG363" s="43"/>
      <c r="AH363" s="44"/>
    </row>
    <row r="364" spans="1:34" ht="27.75" customHeight="1">
      <c r="A364" s="41">
        <v>361</v>
      </c>
      <c r="B364" s="66"/>
      <c r="C364" s="48"/>
      <c r="D364" s="48"/>
      <c r="E364" s="49"/>
      <c r="F364" s="49"/>
      <c r="G364" s="49">
        <f t="shared" si="21"/>
        <v>0</v>
      </c>
      <c r="H364" s="49" t="str">
        <f t="shared" si="22"/>
        <v>ครบ</v>
      </c>
      <c r="I364" s="49"/>
      <c r="J364" s="49" t="e">
        <f>VLOOKUP(I364,Sheet2!$B$10:$C$18,2,FALSE)</f>
        <v>#N/A</v>
      </c>
      <c r="K364" s="67"/>
      <c r="L364" s="49"/>
      <c r="M364" s="49" t="e">
        <f>VLOOKUP(L364,Sheet2!$B$10:$C$18,2,FALSE)</f>
        <v>#N/A</v>
      </c>
      <c r="N364" s="67"/>
      <c r="O364" s="49"/>
      <c r="P364" s="49" t="e">
        <f>VLOOKUP(O364,Sheet2!$B$10:$C$18,2,FALSE)</f>
        <v>#N/A</v>
      </c>
      <c r="Q364" s="67"/>
      <c r="R364" s="49"/>
      <c r="S364" s="49" t="e">
        <f>VLOOKUP(R364,Sheet2!$B$10:$C$18,2,FALSE)</f>
        <v>#N/A</v>
      </c>
      <c r="T364" s="67"/>
      <c r="U364" s="67">
        <f t="shared" si="20"/>
        <v>0</v>
      </c>
      <c r="V364" s="67"/>
      <c r="W364" s="67"/>
      <c r="X364" s="67"/>
      <c r="Y364" s="66"/>
      <c r="Z364" s="66"/>
      <c r="AA364" s="66"/>
      <c r="AB364" s="66"/>
      <c r="AC364" s="66"/>
      <c r="AD364" s="42" t="str">
        <f t="shared" si="23"/>
        <v>ทันกำหนด</v>
      </c>
      <c r="AE364" s="43"/>
      <c r="AF364" s="43"/>
      <c r="AG364" s="43"/>
      <c r="AH364" s="44"/>
    </row>
    <row r="365" spans="1:34" ht="27.75" customHeight="1">
      <c r="A365" s="41">
        <v>362</v>
      </c>
      <c r="B365" s="66"/>
      <c r="C365" s="48"/>
      <c r="D365" s="48"/>
      <c r="E365" s="49"/>
      <c r="F365" s="49"/>
      <c r="G365" s="49">
        <f t="shared" si="21"/>
        <v>0</v>
      </c>
      <c r="H365" s="49" t="str">
        <f t="shared" si="22"/>
        <v>ครบ</v>
      </c>
      <c r="I365" s="49"/>
      <c r="J365" s="49" t="e">
        <f>VLOOKUP(I365,Sheet2!$B$10:$C$18,2,FALSE)</f>
        <v>#N/A</v>
      </c>
      <c r="K365" s="67"/>
      <c r="L365" s="49"/>
      <c r="M365" s="49" t="e">
        <f>VLOOKUP(L365,Sheet2!$B$10:$C$18,2,FALSE)</f>
        <v>#N/A</v>
      </c>
      <c r="N365" s="67"/>
      <c r="O365" s="49"/>
      <c r="P365" s="49" t="e">
        <f>VLOOKUP(O365,Sheet2!$B$10:$C$18,2,FALSE)</f>
        <v>#N/A</v>
      </c>
      <c r="Q365" s="67"/>
      <c r="R365" s="49"/>
      <c r="S365" s="49" t="e">
        <f>VLOOKUP(R365,Sheet2!$B$10:$C$18,2,FALSE)</f>
        <v>#N/A</v>
      </c>
      <c r="T365" s="67"/>
      <c r="U365" s="67">
        <f t="shared" si="20"/>
        <v>0</v>
      </c>
      <c r="V365" s="67"/>
      <c r="W365" s="67"/>
      <c r="X365" s="67"/>
      <c r="Y365" s="66"/>
      <c r="Z365" s="66"/>
      <c r="AA365" s="66"/>
      <c r="AB365" s="66"/>
      <c r="AC365" s="66"/>
      <c r="AD365" s="42" t="str">
        <f t="shared" si="23"/>
        <v>ทันกำหนด</v>
      </c>
      <c r="AE365" s="43"/>
      <c r="AF365" s="43"/>
      <c r="AG365" s="43"/>
      <c r="AH365" s="44"/>
    </row>
    <row r="366" spans="1:34" ht="27.75" customHeight="1">
      <c r="A366" s="41">
        <v>363</v>
      </c>
      <c r="B366" s="66"/>
      <c r="C366" s="48"/>
      <c r="D366" s="71"/>
      <c r="E366" s="49"/>
      <c r="F366" s="49"/>
      <c r="G366" s="49">
        <f t="shared" si="21"/>
        <v>0</v>
      </c>
      <c r="H366" s="49" t="str">
        <f t="shared" si="22"/>
        <v>ครบ</v>
      </c>
      <c r="I366" s="49"/>
      <c r="J366" s="49" t="e">
        <f>VLOOKUP(I366,Sheet2!$B$10:$C$18,2,FALSE)</f>
        <v>#N/A</v>
      </c>
      <c r="K366" s="67"/>
      <c r="L366" s="49"/>
      <c r="M366" s="49" t="e">
        <f>VLOOKUP(L366,Sheet2!$B$10:$C$18,2,FALSE)</f>
        <v>#N/A</v>
      </c>
      <c r="N366" s="67"/>
      <c r="O366" s="49"/>
      <c r="P366" s="49" t="e">
        <f>VLOOKUP(O366,Sheet2!$B$10:$C$18,2,FALSE)</f>
        <v>#N/A</v>
      </c>
      <c r="Q366" s="67"/>
      <c r="R366" s="49"/>
      <c r="S366" s="49" t="e">
        <f>VLOOKUP(R366,Sheet2!$B$10:$C$18,2,FALSE)</f>
        <v>#N/A</v>
      </c>
      <c r="T366" s="67"/>
      <c r="U366" s="67">
        <f t="shared" si="20"/>
        <v>0</v>
      </c>
      <c r="V366" s="67"/>
      <c r="W366" s="67"/>
      <c r="X366" s="67"/>
      <c r="Y366" s="66"/>
      <c r="Z366" s="66"/>
      <c r="AA366" s="66"/>
      <c r="AB366" s="66"/>
      <c r="AC366" s="66"/>
      <c r="AD366" s="42" t="str">
        <f t="shared" si="23"/>
        <v>ทันกำหนด</v>
      </c>
      <c r="AE366" s="43"/>
      <c r="AF366" s="43"/>
      <c r="AG366" s="43"/>
      <c r="AH366" s="44"/>
    </row>
    <row r="367" spans="1:34" ht="27.75" customHeight="1">
      <c r="A367" s="41">
        <v>364</v>
      </c>
      <c r="B367" s="66"/>
      <c r="C367" s="48"/>
      <c r="D367" s="48"/>
      <c r="E367" s="49"/>
      <c r="F367" s="49"/>
      <c r="G367" s="49">
        <f t="shared" si="21"/>
        <v>0</v>
      </c>
      <c r="H367" s="49" t="str">
        <f t="shared" si="22"/>
        <v>ครบ</v>
      </c>
      <c r="I367" s="49"/>
      <c r="J367" s="49" t="e">
        <f>VLOOKUP(I367,Sheet2!$B$10:$C$18,2,FALSE)</f>
        <v>#N/A</v>
      </c>
      <c r="K367" s="67"/>
      <c r="L367" s="49"/>
      <c r="M367" s="49" t="e">
        <f>VLOOKUP(L367,Sheet2!$B$10:$C$18,2,FALSE)</f>
        <v>#N/A</v>
      </c>
      <c r="N367" s="67"/>
      <c r="O367" s="49"/>
      <c r="P367" s="49" t="e">
        <f>VLOOKUP(O367,Sheet2!$B$10:$C$18,2,FALSE)</f>
        <v>#N/A</v>
      </c>
      <c r="Q367" s="67"/>
      <c r="R367" s="49"/>
      <c r="S367" s="49" t="e">
        <f>VLOOKUP(R367,Sheet2!$B$10:$C$18,2,FALSE)</f>
        <v>#N/A</v>
      </c>
      <c r="T367" s="67"/>
      <c r="U367" s="67">
        <f t="shared" si="20"/>
        <v>0</v>
      </c>
      <c r="V367" s="67"/>
      <c r="W367" s="67"/>
      <c r="X367" s="67"/>
      <c r="Y367" s="66"/>
      <c r="Z367" s="66"/>
      <c r="AA367" s="66"/>
      <c r="AB367" s="66"/>
      <c r="AC367" s="66"/>
      <c r="AD367" s="42" t="str">
        <f t="shared" si="23"/>
        <v>ทันกำหนด</v>
      </c>
      <c r="AE367" s="43"/>
      <c r="AF367" s="43"/>
      <c r="AG367" s="43"/>
      <c r="AH367" s="44"/>
    </row>
    <row r="368" spans="1:34" ht="27.75" customHeight="1">
      <c r="A368" s="41">
        <v>365</v>
      </c>
      <c r="B368" s="66"/>
      <c r="C368" s="48"/>
      <c r="D368" s="48"/>
      <c r="E368" s="49"/>
      <c r="F368" s="49"/>
      <c r="G368" s="49">
        <f t="shared" si="21"/>
        <v>0</v>
      </c>
      <c r="H368" s="49" t="str">
        <f t="shared" si="22"/>
        <v>ครบ</v>
      </c>
      <c r="I368" s="49"/>
      <c r="J368" s="49" t="e">
        <f>VLOOKUP(I368,Sheet2!$B$10:$C$18,2,FALSE)</f>
        <v>#N/A</v>
      </c>
      <c r="K368" s="67"/>
      <c r="L368" s="49"/>
      <c r="M368" s="49" t="e">
        <f>VLOOKUP(L368,Sheet2!$B$10:$C$18,2,FALSE)</f>
        <v>#N/A</v>
      </c>
      <c r="N368" s="67"/>
      <c r="O368" s="49"/>
      <c r="P368" s="49" t="e">
        <f>VLOOKUP(O368,Sheet2!$B$10:$C$18,2,FALSE)</f>
        <v>#N/A</v>
      </c>
      <c r="Q368" s="67"/>
      <c r="R368" s="49"/>
      <c r="S368" s="49" t="e">
        <f>VLOOKUP(R368,Sheet2!$B$10:$C$18,2,FALSE)</f>
        <v>#N/A</v>
      </c>
      <c r="T368" s="67"/>
      <c r="U368" s="67">
        <f t="shared" si="20"/>
        <v>0</v>
      </c>
      <c r="V368" s="67"/>
      <c r="W368" s="67"/>
      <c r="X368" s="67"/>
      <c r="Y368" s="66"/>
      <c r="Z368" s="66"/>
      <c r="AA368" s="66"/>
      <c r="AB368" s="66"/>
      <c r="AC368" s="66"/>
      <c r="AD368" s="42" t="str">
        <f t="shared" si="23"/>
        <v>ทันกำหนด</v>
      </c>
      <c r="AE368" s="43"/>
      <c r="AF368" s="43"/>
      <c r="AG368" s="43"/>
      <c r="AH368" s="44"/>
    </row>
    <row r="369" spans="1:34" ht="27.75" customHeight="1">
      <c r="A369" s="41">
        <v>366</v>
      </c>
      <c r="B369" s="66"/>
      <c r="C369" s="48"/>
      <c r="D369" s="48"/>
      <c r="E369" s="49"/>
      <c r="F369" s="49"/>
      <c r="G369" s="49">
        <f t="shared" si="21"/>
        <v>0</v>
      </c>
      <c r="H369" s="49" t="str">
        <f t="shared" si="22"/>
        <v>ครบ</v>
      </c>
      <c r="I369" s="49"/>
      <c r="J369" s="49" t="e">
        <f>VLOOKUP(I369,Sheet2!$B$10:$C$18,2,FALSE)</f>
        <v>#N/A</v>
      </c>
      <c r="K369" s="67"/>
      <c r="L369" s="49"/>
      <c r="M369" s="49" t="e">
        <f>VLOOKUP(L369,Sheet2!$B$10:$C$18,2,FALSE)</f>
        <v>#N/A</v>
      </c>
      <c r="N369" s="67"/>
      <c r="O369" s="49"/>
      <c r="P369" s="49" t="e">
        <f>VLOOKUP(O369,Sheet2!$B$10:$C$18,2,FALSE)</f>
        <v>#N/A</v>
      </c>
      <c r="Q369" s="67"/>
      <c r="R369" s="49"/>
      <c r="S369" s="49" t="e">
        <f>VLOOKUP(R369,Sheet2!$B$10:$C$18,2,FALSE)</f>
        <v>#N/A</v>
      </c>
      <c r="T369" s="67"/>
      <c r="U369" s="67">
        <f t="shared" si="20"/>
        <v>0</v>
      </c>
      <c r="V369" s="67"/>
      <c r="W369" s="67"/>
      <c r="X369" s="67"/>
      <c r="Y369" s="66"/>
      <c r="Z369" s="66"/>
      <c r="AA369" s="66"/>
      <c r="AB369" s="66"/>
      <c r="AC369" s="66"/>
      <c r="AD369" s="42" t="str">
        <f t="shared" si="23"/>
        <v>ทันกำหนด</v>
      </c>
      <c r="AE369" s="43"/>
      <c r="AF369" s="43"/>
      <c r="AG369" s="43"/>
      <c r="AH369" s="44"/>
    </row>
    <row r="370" spans="1:34" ht="27.75" customHeight="1">
      <c r="A370" s="41">
        <v>367</v>
      </c>
      <c r="B370" s="66"/>
      <c r="C370" s="48"/>
      <c r="D370" s="48"/>
      <c r="E370" s="49"/>
      <c r="F370" s="49"/>
      <c r="G370" s="49">
        <f t="shared" si="21"/>
        <v>0</v>
      </c>
      <c r="H370" s="49" t="str">
        <f t="shared" si="22"/>
        <v>ครบ</v>
      </c>
      <c r="I370" s="49"/>
      <c r="J370" s="49" t="e">
        <f>VLOOKUP(I370,Sheet2!$B$10:$C$18,2,FALSE)</f>
        <v>#N/A</v>
      </c>
      <c r="K370" s="67"/>
      <c r="L370" s="49"/>
      <c r="M370" s="49" t="e">
        <f>VLOOKUP(L370,Sheet2!$B$10:$C$18,2,FALSE)</f>
        <v>#N/A</v>
      </c>
      <c r="N370" s="67"/>
      <c r="O370" s="49"/>
      <c r="P370" s="49" t="e">
        <f>VLOOKUP(O370,Sheet2!$B$10:$C$18,2,FALSE)</f>
        <v>#N/A</v>
      </c>
      <c r="Q370" s="67"/>
      <c r="R370" s="49"/>
      <c r="S370" s="49" t="e">
        <f>VLOOKUP(R370,Sheet2!$B$10:$C$18,2,FALSE)</f>
        <v>#N/A</v>
      </c>
      <c r="T370" s="67"/>
      <c r="U370" s="67">
        <f t="shared" si="20"/>
        <v>0</v>
      </c>
      <c r="V370" s="67"/>
      <c r="W370" s="67"/>
      <c r="X370" s="67"/>
      <c r="Y370" s="66"/>
      <c r="Z370" s="66"/>
      <c r="AA370" s="66"/>
      <c r="AB370" s="66"/>
      <c r="AC370" s="66"/>
      <c r="AD370" s="42" t="str">
        <f t="shared" si="23"/>
        <v>ทันกำหนด</v>
      </c>
      <c r="AE370" s="43"/>
      <c r="AF370" s="43"/>
      <c r="AG370" s="43"/>
      <c r="AH370" s="44"/>
    </row>
    <row r="371" spans="1:34" ht="27.75" customHeight="1">
      <c r="A371" s="41">
        <v>368</v>
      </c>
      <c r="B371" s="66"/>
      <c r="C371" s="48"/>
      <c r="D371" s="48"/>
      <c r="E371" s="49"/>
      <c r="F371" s="49"/>
      <c r="G371" s="49">
        <f t="shared" si="21"/>
        <v>0</v>
      </c>
      <c r="H371" s="49" t="str">
        <f t="shared" si="22"/>
        <v>ครบ</v>
      </c>
      <c r="I371" s="49"/>
      <c r="J371" s="49" t="e">
        <f>VLOOKUP(I371,Sheet2!$B$10:$C$18,2,FALSE)</f>
        <v>#N/A</v>
      </c>
      <c r="K371" s="67"/>
      <c r="L371" s="49"/>
      <c r="M371" s="49" t="e">
        <f>VLOOKUP(L371,Sheet2!$B$10:$C$18,2,FALSE)</f>
        <v>#N/A</v>
      </c>
      <c r="N371" s="67"/>
      <c r="O371" s="49"/>
      <c r="P371" s="49" t="e">
        <f>VLOOKUP(O371,Sheet2!$B$10:$C$18,2,FALSE)</f>
        <v>#N/A</v>
      </c>
      <c r="Q371" s="67"/>
      <c r="R371" s="49"/>
      <c r="S371" s="49" t="e">
        <f>VLOOKUP(R371,Sheet2!$B$10:$C$18,2,FALSE)</f>
        <v>#N/A</v>
      </c>
      <c r="T371" s="67"/>
      <c r="U371" s="67">
        <f t="shared" si="20"/>
        <v>0</v>
      </c>
      <c r="V371" s="67"/>
      <c r="W371" s="67"/>
      <c r="X371" s="67"/>
      <c r="Y371" s="66"/>
      <c r="Z371" s="66"/>
      <c r="AA371" s="66"/>
      <c r="AB371" s="66"/>
      <c r="AC371" s="66"/>
      <c r="AD371" s="42" t="str">
        <f t="shared" si="23"/>
        <v>ทันกำหนด</v>
      </c>
      <c r="AE371" s="43"/>
      <c r="AF371" s="43"/>
      <c r="AG371" s="43"/>
      <c r="AH371" s="44"/>
    </row>
    <row r="372" spans="1:34" ht="27.75" customHeight="1">
      <c r="A372" s="41">
        <v>369</v>
      </c>
      <c r="B372" s="66"/>
      <c r="C372" s="48"/>
      <c r="D372" s="48"/>
      <c r="E372" s="49"/>
      <c r="F372" s="49"/>
      <c r="G372" s="49">
        <f t="shared" si="21"/>
        <v>0</v>
      </c>
      <c r="H372" s="49" t="str">
        <f t="shared" si="22"/>
        <v>ครบ</v>
      </c>
      <c r="I372" s="49"/>
      <c r="J372" s="49" t="e">
        <f>VLOOKUP(I372,Sheet2!$B$10:$C$18,2,FALSE)</f>
        <v>#N/A</v>
      </c>
      <c r="K372" s="67"/>
      <c r="L372" s="49"/>
      <c r="M372" s="49" t="e">
        <f>VLOOKUP(L372,Sheet2!$B$10:$C$18,2,FALSE)</f>
        <v>#N/A</v>
      </c>
      <c r="N372" s="67"/>
      <c r="O372" s="49"/>
      <c r="P372" s="49" t="e">
        <f>VLOOKUP(O372,Sheet2!$B$10:$C$18,2,FALSE)</f>
        <v>#N/A</v>
      </c>
      <c r="Q372" s="67"/>
      <c r="R372" s="49"/>
      <c r="S372" s="49" t="e">
        <f>VLOOKUP(R372,Sheet2!$B$10:$C$18,2,FALSE)</f>
        <v>#N/A</v>
      </c>
      <c r="T372" s="67"/>
      <c r="U372" s="67">
        <f t="shared" si="20"/>
        <v>0</v>
      </c>
      <c r="V372" s="67"/>
      <c r="W372" s="67"/>
      <c r="X372" s="67"/>
      <c r="Y372" s="66"/>
      <c r="Z372" s="66"/>
      <c r="AA372" s="66"/>
      <c r="AB372" s="66"/>
      <c r="AC372" s="66"/>
      <c r="AD372" s="42" t="str">
        <f t="shared" si="23"/>
        <v>ทันกำหนด</v>
      </c>
      <c r="AE372" s="43"/>
      <c r="AF372" s="43"/>
      <c r="AG372" s="43"/>
      <c r="AH372" s="44"/>
    </row>
    <row r="373" spans="1:34" ht="27.75" customHeight="1">
      <c r="A373" s="41">
        <v>370</v>
      </c>
      <c r="B373" s="66"/>
      <c r="C373" s="48"/>
      <c r="D373" s="48"/>
      <c r="E373" s="49"/>
      <c r="F373" s="49"/>
      <c r="G373" s="49">
        <f t="shared" si="21"/>
        <v>0</v>
      </c>
      <c r="H373" s="49" t="str">
        <f t="shared" si="22"/>
        <v>ครบ</v>
      </c>
      <c r="I373" s="49"/>
      <c r="J373" s="49" t="e">
        <f>VLOOKUP(I373,Sheet2!$B$10:$C$18,2,FALSE)</f>
        <v>#N/A</v>
      </c>
      <c r="K373" s="67"/>
      <c r="L373" s="49"/>
      <c r="M373" s="49" t="e">
        <f>VLOOKUP(L373,Sheet2!$B$10:$C$18,2,FALSE)</f>
        <v>#N/A</v>
      </c>
      <c r="N373" s="67"/>
      <c r="O373" s="49"/>
      <c r="P373" s="49" t="e">
        <f>VLOOKUP(O373,Sheet2!$B$10:$C$18,2,FALSE)</f>
        <v>#N/A</v>
      </c>
      <c r="Q373" s="67"/>
      <c r="R373" s="49"/>
      <c r="S373" s="49" t="e">
        <f>VLOOKUP(R373,Sheet2!$B$10:$C$18,2,FALSE)</f>
        <v>#N/A</v>
      </c>
      <c r="T373" s="67"/>
      <c r="U373" s="67">
        <f t="shared" si="20"/>
        <v>0</v>
      </c>
      <c r="V373" s="67"/>
      <c r="W373" s="67"/>
      <c r="X373" s="67"/>
      <c r="Y373" s="66"/>
      <c r="Z373" s="66"/>
      <c r="AA373" s="66"/>
      <c r="AB373" s="66"/>
      <c r="AC373" s="66"/>
      <c r="AD373" s="42" t="str">
        <f t="shared" si="23"/>
        <v>ทันกำหนด</v>
      </c>
      <c r="AE373" s="43"/>
      <c r="AF373" s="43"/>
      <c r="AG373" s="43"/>
      <c r="AH373" s="44"/>
    </row>
    <row r="374" spans="1:34" ht="27.75" customHeight="1">
      <c r="A374" s="41">
        <v>371</v>
      </c>
      <c r="B374" s="66"/>
      <c r="C374" s="48"/>
      <c r="D374" s="48"/>
      <c r="E374" s="49"/>
      <c r="F374" s="49"/>
      <c r="G374" s="49">
        <f t="shared" si="21"/>
        <v>0</v>
      </c>
      <c r="H374" s="49" t="str">
        <f t="shared" si="22"/>
        <v>ครบ</v>
      </c>
      <c r="I374" s="49"/>
      <c r="J374" s="49" t="e">
        <f>VLOOKUP(I374,Sheet2!$B$10:$C$18,2,FALSE)</f>
        <v>#N/A</v>
      </c>
      <c r="K374" s="67"/>
      <c r="L374" s="49"/>
      <c r="M374" s="49" t="e">
        <f>VLOOKUP(L374,Sheet2!$B$10:$C$18,2,FALSE)</f>
        <v>#N/A</v>
      </c>
      <c r="N374" s="67"/>
      <c r="O374" s="49"/>
      <c r="P374" s="49" t="e">
        <f>VLOOKUP(O374,Sheet2!$B$10:$C$18,2,FALSE)</f>
        <v>#N/A</v>
      </c>
      <c r="Q374" s="67"/>
      <c r="R374" s="49"/>
      <c r="S374" s="49" t="e">
        <f>VLOOKUP(R374,Sheet2!$B$10:$C$18,2,FALSE)</f>
        <v>#N/A</v>
      </c>
      <c r="T374" s="67"/>
      <c r="U374" s="67">
        <f t="shared" si="20"/>
        <v>0</v>
      </c>
      <c r="V374" s="67"/>
      <c r="W374" s="67"/>
      <c r="X374" s="67"/>
      <c r="Y374" s="66"/>
      <c r="Z374" s="66"/>
      <c r="AA374" s="66"/>
      <c r="AB374" s="66"/>
      <c r="AC374" s="66"/>
      <c r="AD374" s="42" t="str">
        <f t="shared" si="23"/>
        <v>ทันกำหนด</v>
      </c>
      <c r="AE374" s="43"/>
      <c r="AF374" s="43"/>
      <c r="AG374" s="43"/>
      <c r="AH374" s="44"/>
    </row>
    <row r="375" spans="1:34" ht="27.75" customHeight="1">
      <c r="A375" s="41">
        <v>372</v>
      </c>
      <c r="B375" s="66"/>
      <c r="C375" s="48"/>
      <c r="D375" s="48"/>
      <c r="E375" s="49"/>
      <c r="F375" s="49"/>
      <c r="G375" s="49">
        <f t="shared" si="21"/>
        <v>0</v>
      </c>
      <c r="H375" s="49" t="str">
        <f t="shared" si="22"/>
        <v>ครบ</v>
      </c>
      <c r="I375" s="49"/>
      <c r="J375" s="49" t="e">
        <f>VLOOKUP(I375,Sheet2!$B$10:$C$18,2,FALSE)</f>
        <v>#N/A</v>
      </c>
      <c r="K375" s="67"/>
      <c r="L375" s="49"/>
      <c r="M375" s="49" t="e">
        <f>VLOOKUP(L375,Sheet2!$B$10:$C$18,2,FALSE)</f>
        <v>#N/A</v>
      </c>
      <c r="N375" s="67"/>
      <c r="O375" s="49"/>
      <c r="P375" s="49" t="e">
        <f>VLOOKUP(O375,Sheet2!$B$10:$C$18,2,FALSE)</f>
        <v>#N/A</v>
      </c>
      <c r="Q375" s="67"/>
      <c r="R375" s="49"/>
      <c r="S375" s="49" t="e">
        <f>VLOOKUP(R375,Sheet2!$B$10:$C$18,2,FALSE)</f>
        <v>#N/A</v>
      </c>
      <c r="T375" s="67"/>
      <c r="U375" s="67">
        <f t="shared" si="20"/>
        <v>0</v>
      </c>
      <c r="V375" s="67"/>
      <c r="W375" s="67"/>
      <c r="X375" s="67"/>
      <c r="Y375" s="66"/>
      <c r="Z375" s="66"/>
      <c r="AA375" s="66"/>
      <c r="AB375" s="66"/>
      <c r="AC375" s="66"/>
      <c r="AD375" s="42" t="str">
        <f t="shared" si="23"/>
        <v>ทันกำหนด</v>
      </c>
      <c r="AE375" s="43"/>
      <c r="AF375" s="43"/>
      <c r="AG375" s="43"/>
      <c r="AH375" s="44"/>
    </row>
    <row r="376" spans="1:34" ht="27.75" customHeight="1">
      <c r="A376" s="41">
        <v>373</v>
      </c>
      <c r="B376" s="66"/>
      <c r="C376" s="48"/>
      <c r="D376" s="48"/>
      <c r="E376" s="49"/>
      <c r="F376" s="49"/>
      <c r="G376" s="49">
        <f t="shared" si="21"/>
        <v>0</v>
      </c>
      <c r="H376" s="49" t="str">
        <f t="shared" si="22"/>
        <v>ครบ</v>
      </c>
      <c r="I376" s="49"/>
      <c r="J376" s="49" t="e">
        <f>VLOOKUP(I376,Sheet2!$B$10:$C$18,2,FALSE)</f>
        <v>#N/A</v>
      </c>
      <c r="K376" s="67"/>
      <c r="L376" s="49"/>
      <c r="M376" s="49" t="e">
        <f>VLOOKUP(L376,Sheet2!$B$10:$C$18,2,FALSE)</f>
        <v>#N/A</v>
      </c>
      <c r="N376" s="67"/>
      <c r="O376" s="49"/>
      <c r="P376" s="49" t="e">
        <f>VLOOKUP(O376,Sheet2!$B$10:$C$18,2,FALSE)</f>
        <v>#N/A</v>
      </c>
      <c r="Q376" s="67"/>
      <c r="R376" s="49"/>
      <c r="S376" s="49" t="e">
        <f>VLOOKUP(R376,Sheet2!$B$10:$C$18,2,FALSE)</f>
        <v>#N/A</v>
      </c>
      <c r="T376" s="67"/>
      <c r="U376" s="67">
        <f t="shared" si="20"/>
        <v>0</v>
      </c>
      <c r="V376" s="67"/>
      <c r="W376" s="67"/>
      <c r="X376" s="67"/>
      <c r="Y376" s="66"/>
      <c r="Z376" s="66"/>
      <c r="AA376" s="66"/>
      <c r="AB376" s="66"/>
      <c r="AC376" s="66"/>
      <c r="AD376" s="42" t="str">
        <f t="shared" si="23"/>
        <v>ทันกำหนด</v>
      </c>
      <c r="AE376" s="43"/>
      <c r="AF376" s="43"/>
      <c r="AG376" s="43"/>
      <c r="AH376" s="44"/>
    </row>
    <row r="377" spans="1:34" ht="27.75" customHeight="1">
      <c r="A377" s="41">
        <v>374</v>
      </c>
      <c r="B377" s="66"/>
      <c r="C377" s="48"/>
      <c r="D377" s="48"/>
      <c r="E377" s="49"/>
      <c r="F377" s="49"/>
      <c r="G377" s="49">
        <f t="shared" si="21"/>
        <v>0</v>
      </c>
      <c r="H377" s="49" t="str">
        <f t="shared" si="22"/>
        <v>ครบ</v>
      </c>
      <c r="I377" s="49"/>
      <c r="J377" s="49" t="e">
        <f>VLOOKUP(I377,Sheet2!$B$10:$C$18,2,FALSE)</f>
        <v>#N/A</v>
      </c>
      <c r="K377" s="67"/>
      <c r="L377" s="49"/>
      <c r="M377" s="49" t="e">
        <f>VLOOKUP(L377,Sheet2!$B$10:$C$18,2,FALSE)</f>
        <v>#N/A</v>
      </c>
      <c r="N377" s="67"/>
      <c r="O377" s="49"/>
      <c r="P377" s="49" t="e">
        <f>VLOOKUP(O377,Sheet2!$B$10:$C$18,2,FALSE)</f>
        <v>#N/A</v>
      </c>
      <c r="Q377" s="67"/>
      <c r="R377" s="49"/>
      <c r="S377" s="49" t="e">
        <f>VLOOKUP(R377,Sheet2!$B$10:$C$18,2,FALSE)</f>
        <v>#N/A</v>
      </c>
      <c r="T377" s="67"/>
      <c r="U377" s="67">
        <f t="shared" si="20"/>
        <v>0</v>
      </c>
      <c r="V377" s="67"/>
      <c r="W377" s="67"/>
      <c r="X377" s="67"/>
      <c r="Y377" s="66"/>
      <c r="Z377" s="66"/>
      <c r="AA377" s="66"/>
      <c r="AB377" s="66"/>
      <c r="AC377" s="66"/>
      <c r="AD377" s="42" t="str">
        <f t="shared" si="23"/>
        <v>ทันกำหนด</v>
      </c>
      <c r="AE377" s="43"/>
      <c r="AF377" s="43"/>
      <c r="AG377" s="43"/>
      <c r="AH377" s="44"/>
    </row>
    <row r="378" spans="1:34" ht="27.75" customHeight="1">
      <c r="A378" s="41">
        <v>375</v>
      </c>
      <c r="B378" s="66"/>
      <c r="C378" s="48"/>
      <c r="D378" s="48"/>
      <c r="E378" s="49"/>
      <c r="F378" s="49"/>
      <c r="G378" s="49">
        <f t="shared" si="21"/>
        <v>0</v>
      </c>
      <c r="H378" s="49" t="str">
        <f t="shared" si="22"/>
        <v>ครบ</v>
      </c>
      <c r="I378" s="49"/>
      <c r="J378" s="49" t="e">
        <f>VLOOKUP(I378,Sheet2!$B$10:$C$18,2,FALSE)</f>
        <v>#N/A</v>
      </c>
      <c r="K378" s="67"/>
      <c r="L378" s="49"/>
      <c r="M378" s="49" t="e">
        <f>VLOOKUP(L378,Sheet2!$B$10:$C$18,2,FALSE)</f>
        <v>#N/A</v>
      </c>
      <c r="N378" s="67"/>
      <c r="O378" s="49"/>
      <c r="P378" s="49" t="e">
        <f>VLOOKUP(O378,Sheet2!$B$10:$C$18,2,FALSE)</f>
        <v>#N/A</v>
      </c>
      <c r="Q378" s="67"/>
      <c r="R378" s="49"/>
      <c r="S378" s="49" t="e">
        <f>VLOOKUP(R378,Sheet2!$B$10:$C$18,2,FALSE)</f>
        <v>#N/A</v>
      </c>
      <c r="T378" s="67"/>
      <c r="U378" s="67">
        <f t="shared" si="20"/>
        <v>0</v>
      </c>
      <c r="V378" s="67"/>
      <c r="W378" s="67"/>
      <c r="X378" s="67"/>
      <c r="Y378" s="66"/>
      <c r="Z378" s="66"/>
      <c r="AA378" s="66"/>
      <c r="AB378" s="66"/>
      <c r="AC378" s="66"/>
      <c r="AD378" s="42" t="str">
        <f t="shared" si="23"/>
        <v>ทันกำหนด</v>
      </c>
      <c r="AE378" s="43"/>
      <c r="AF378" s="43"/>
      <c r="AG378" s="43"/>
      <c r="AH378" s="44"/>
    </row>
    <row r="379" spans="1:34" ht="27.75" customHeight="1">
      <c r="A379" s="41">
        <v>376</v>
      </c>
      <c r="B379" s="66"/>
      <c r="C379" s="48"/>
      <c r="D379" s="48"/>
      <c r="E379" s="49"/>
      <c r="F379" s="49"/>
      <c r="G379" s="49">
        <f t="shared" si="21"/>
        <v>0</v>
      </c>
      <c r="H379" s="49" t="str">
        <f t="shared" si="22"/>
        <v>ครบ</v>
      </c>
      <c r="I379" s="49"/>
      <c r="J379" s="49" t="e">
        <f>VLOOKUP(I379,Sheet2!$B$10:$C$18,2,FALSE)</f>
        <v>#N/A</v>
      </c>
      <c r="K379" s="67"/>
      <c r="L379" s="49"/>
      <c r="M379" s="49" t="e">
        <f>VLOOKUP(L379,Sheet2!$B$10:$C$18,2,FALSE)</f>
        <v>#N/A</v>
      </c>
      <c r="N379" s="67"/>
      <c r="O379" s="49"/>
      <c r="P379" s="49" t="e">
        <f>VLOOKUP(O379,Sheet2!$B$10:$C$18,2,FALSE)</f>
        <v>#N/A</v>
      </c>
      <c r="Q379" s="67"/>
      <c r="R379" s="49"/>
      <c r="S379" s="49" t="e">
        <f>VLOOKUP(R379,Sheet2!$B$10:$C$18,2,FALSE)</f>
        <v>#N/A</v>
      </c>
      <c r="T379" s="67"/>
      <c r="U379" s="67">
        <f t="shared" si="20"/>
        <v>0</v>
      </c>
      <c r="V379" s="67"/>
      <c r="W379" s="67"/>
      <c r="X379" s="67"/>
      <c r="Y379" s="66"/>
      <c r="Z379" s="66"/>
      <c r="AA379" s="66"/>
      <c r="AB379" s="66"/>
      <c r="AC379" s="66"/>
      <c r="AD379" s="42" t="str">
        <f t="shared" si="23"/>
        <v>ทันกำหนด</v>
      </c>
      <c r="AE379" s="43"/>
      <c r="AF379" s="43"/>
      <c r="AG379" s="43"/>
      <c r="AH379" s="44"/>
    </row>
    <row r="380" spans="1:34" ht="27.75" customHeight="1">
      <c r="A380" s="41">
        <v>377</v>
      </c>
      <c r="B380" s="66"/>
      <c r="C380" s="48"/>
      <c r="D380" s="48"/>
      <c r="E380" s="49"/>
      <c r="F380" s="49"/>
      <c r="G380" s="49">
        <f t="shared" si="21"/>
        <v>0</v>
      </c>
      <c r="H380" s="49" t="str">
        <f t="shared" si="22"/>
        <v>ครบ</v>
      </c>
      <c r="I380" s="49"/>
      <c r="J380" s="49" t="e">
        <f>VLOOKUP(I380,Sheet2!$B$10:$C$18,2,FALSE)</f>
        <v>#N/A</v>
      </c>
      <c r="K380" s="67"/>
      <c r="L380" s="49"/>
      <c r="M380" s="49" t="e">
        <f>VLOOKUP(L380,Sheet2!$B$10:$C$18,2,FALSE)</f>
        <v>#N/A</v>
      </c>
      <c r="N380" s="67"/>
      <c r="O380" s="49"/>
      <c r="P380" s="49" t="e">
        <f>VLOOKUP(O380,Sheet2!$B$10:$C$18,2,FALSE)</f>
        <v>#N/A</v>
      </c>
      <c r="Q380" s="67"/>
      <c r="R380" s="49"/>
      <c r="S380" s="49" t="e">
        <f>VLOOKUP(R380,Sheet2!$B$10:$C$18,2,FALSE)</f>
        <v>#N/A</v>
      </c>
      <c r="T380" s="67"/>
      <c r="U380" s="67">
        <f t="shared" si="20"/>
        <v>0</v>
      </c>
      <c r="V380" s="67"/>
      <c r="W380" s="67"/>
      <c r="X380" s="67"/>
      <c r="Y380" s="66"/>
      <c r="Z380" s="66"/>
      <c r="AA380" s="66"/>
      <c r="AB380" s="66"/>
      <c r="AC380" s="66"/>
      <c r="AD380" s="42" t="str">
        <f t="shared" si="23"/>
        <v>ทันกำหนด</v>
      </c>
      <c r="AE380" s="43"/>
      <c r="AF380" s="43"/>
      <c r="AG380" s="43"/>
      <c r="AH380" s="44"/>
    </row>
    <row r="381" spans="1:34" ht="27.75" customHeight="1">
      <c r="A381" s="41">
        <v>378</v>
      </c>
      <c r="B381" s="66"/>
      <c r="C381" s="48"/>
      <c r="D381" s="48"/>
      <c r="E381" s="49"/>
      <c r="F381" s="49"/>
      <c r="G381" s="49">
        <f t="shared" si="21"/>
        <v>0</v>
      </c>
      <c r="H381" s="49" t="str">
        <f t="shared" si="22"/>
        <v>ครบ</v>
      </c>
      <c r="I381" s="49"/>
      <c r="J381" s="49" t="e">
        <f>VLOOKUP(I381,Sheet2!$B$10:$C$18,2,FALSE)</f>
        <v>#N/A</v>
      </c>
      <c r="K381" s="67"/>
      <c r="L381" s="49"/>
      <c r="M381" s="49" t="e">
        <f>VLOOKUP(L381,Sheet2!$B$10:$C$18,2,FALSE)</f>
        <v>#N/A</v>
      </c>
      <c r="N381" s="67"/>
      <c r="O381" s="49"/>
      <c r="P381" s="49" t="e">
        <f>VLOOKUP(O381,Sheet2!$B$10:$C$18,2,FALSE)</f>
        <v>#N/A</v>
      </c>
      <c r="Q381" s="67"/>
      <c r="R381" s="49"/>
      <c r="S381" s="49" t="e">
        <f>VLOOKUP(R381,Sheet2!$B$10:$C$18,2,FALSE)</f>
        <v>#N/A</v>
      </c>
      <c r="T381" s="67"/>
      <c r="U381" s="67">
        <f t="shared" si="20"/>
        <v>0</v>
      </c>
      <c r="V381" s="67"/>
      <c r="W381" s="67"/>
      <c r="X381" s="67"/>
      <c r="Y381" s="66"/>
      <c r="Z381" s="66"/>
      <c r="AA381" s="66"/>
      <c r="AB381" s="66"/>
      <c r="AC381" s="66"/>
      <c r="AD381" s="42" t="str">
        <f t="shared" si="23"/>
        <v>ทันกำหนด</v>
      </c>
      <c r="AE381" s="43"/>
      <c r="AF381" s="43"/>
      <c r="AG381" s="43"/>
      <c r="AH381" s="44"/>
    </row>
    <row r="382" spans="1:34" ht="27.75" customHeight="1">
      <c r="A382" s="41">
        <v>379</v>
      </c>
      <c r="B382" s="66"/>
      <c r="C382" s="48"/>
      <c r="D382" s="48"/>
      <c r="E382" s="49"/>
      <c r="F382" s="49"/>
      <c r="G382" s="49">
        <f t="shared" si="21"/>
        <v>0</v>
      </c>
      <c r="H382" s="49" t="str">
        <f t="shared" si="22"/>
        <v>ครบ</v>
      </c>
      <c r="I382" s="49"/>
      <c r="J382" s="49" t="e">
        <f>VLOOKUP(I382,Sheet2!$B$10:$C$18,2,FALSE)</f>
        <v>#N/A</v>
      </c>
      <c r="K382" s="67"/>
      <c r="L382" s="49"/>
      <c r="M382" s="49" t="e">
        <f>VLOOKUP(L382,Sheet2!$B$10:$C$18,2,FALSE)</f>
        <v>#N/A</v>
      </c>
      <c r="N382" s="67"/>
      <c r="O382" s="49"/>
      <c r="P382" s="49" t="e">
        <f>VLOOKUP(O382,Sheet2!$B$10:$C$18,2,FALSE)</f>
        <v>#N/A</v>
      </c>
      <c r="Q382" s="67"/>
      <c r="R382" s="49"/>
      <c r="S382" s="49" t="e">
        <f>VLOOKUP(R382,Sheet2!$B$10:$C$18,2,FALSE)</f>
        <v>#N/A</v>
      </c>
      <c r="T382" s="67"/>
      <c r="U382" s="67">
        <f t="shared" si="20"/>
        <v>0</v>
      </c>
      <c r="V382" s="67"/>
      <c r="W382" s="67"/>
      <c r="X382" s="67"/>
      <c r="Y382" s="66"/>
      <c r="Z382" s="66"/>
      <c r="AA382" s="66"/>
      <c r="AB382" s="66"/>
      <c r="AC382" s="66"/>
      <c r="AD382" s="42" t="str">
        <f t="shared" si="23"/>
        <v>ทันกำหนด</v>
      </c>
      <c r="AE382" s="43"/>
      <c r="AF382" s="43"/>
      <c r="AG382" s="43"/>
      <c r="AH382" s="44"/>
    </row>
    <row r="383" spans="1:34" ht="27.75" customHeight="1">
      <c r="A383" s="41">
        <v>380</v>
      </c>
      <c r="B383" s="66"/>
      <c r="C383" s="48"/>
      <c r="D383" s="48"/>
      <c r="E383" s="49"/>
      <c r="F383" s="49"/>
      <c r="G383" s="49">
        <f t="shared" si="21"/>
        <v>0</v>
      </c>
      <c r="H383" s="49" t="str">
        <f t="shared" si="22"/>
        <v>ครบ</v>
      </c>
      <c r="I383" s="49"/>
      <c r="J383" s="49" t="e">
        <f>VLOOKUP(I383,Sheet2!$B$10:$C$18,2,FALSE)</f>
        <v>#N/A</v>
      </c>
      <c r="K383" s="67"/>
      <c r="L383" s="49"/>
      <c r="M383" s="49" t="e">
        <f>VLOOKUP(L383,Sheet2!$B$10:$C$18,2,FALSE)</f>
        <v>#N/A</v>
      </c>
      <c r="N383" s="67"/>
      <c r="O383" s="49"/>
      <c r="P383" s="49" t="e">
        <f>VLOOKUP(O383,Sheet2!$B$10:$C$18,2,FALSE)</f>
        <v>#N/A</v>
      </c>
      <c r="Q383" s="67"/>
      <c r="R383" s="49"/>
      <c r="S383" s="49" t="e">
        <f>VLOOKUP(R383,Sheet2!$B$10:$C$18,2,FALSE)</f>
        <v>#N/A</v>
      </c>
      <c r="T383" s="67"/>
      <c r="U383" s="67">
        <f t="shared" si="20"/>
        <v>0</v>
      </c>
      <c r="V383" s="67"/>
      <c r="W383" s="67"/>
      <c r="X383" s="67"/>
      <c r="Y383" s="66"/>
      <c r="Z383" s="66"/>
      <c r="AA383" s="66"/>
      <c r="AB383" s="66"/>
      <c r="AC383" s="66"/>
      <c r="AD383" s="42" t="str">
        <f t="shared" si="23"/>
        <v>ทันกำหนด</v>
      </c>
      <c r="AE383" s="43"/>
      <c r="AF383" s="43"/>
      <c r="AG383" s="43"/>
      <c r="AH383" s="44"/>
    </row>
    <row r="384" spans="1:34" ht="27.75" customHeight="1">
      <c r="A384" s="41">
        <v>381</v>
      </c>
      <c r="B384" s="66"/>
      <c r="C384" s="48"/>
      <c r="D384" s="48"/>
      <c r="E384" s="49"/>
      <c r="F384" s="49"/>
      <c r="G384" s="49">
        <f t="shared" si="21"/>
        <v>0</v>
      </c>
      <c r="H384" s="49" t="str">
        <f t="shared" si="22"/>
        <v>ครบ</v>
      </c>
      <c r="I384" s="49"/>
      <c r="J384" s="49" t="e">
        <f>VLOOKUP(I384,Sheet2!$B$10:$C$18,2,FALSE)</f>
        <v>#N/A</v>
      </c>
      <c r="K384" s="67"/>
      <c r="L384" s="49"/>
      <c r="M384" s="49" t="e">
        <f>VLOOKUP(L384,Sheet2!$B$10:$C$18,2,FALSE)</f>
        <v>#N/A</v>
      </c>
      <c r="N384" s="67"/>
      <c r="O384" s="49"/>
      <c r="P384" s="49" t="e">
        <f>VLOOKUP(O384,Sheet2!$B$10:$C$18,2,FALSE)</f>
        <v>#N/A</v>
      </c>
      <c r="Q384" s="67"/>
      <c r="R384" s="49"/>
      <c r="S384" s="49" t="e">
        <f>VLOOKUP(R384,Sheet2!$B$10:$C$18,2,FALSE)</f>
        <v>#N/A</v>
      </c>
      <c r="T384" s="67"/>
      <c r="U384" s="67">
        <f t="shared" si="20"/>
        <v>0</v>
      </c>
      <c r="V384" s="67"/>
      <c r="W384" s="67"/>
      <c r="X384" s="67"/>
      <c r="Y384" s="66"/>
      <c r="Z384" s="66"/>
      <c r="AA384" s="66"/>
      <c r="AB384" s="66"/>
      <c r="AC384" s="66"/>
      <c r="AD384" s="42" t="str">
        <f t="shared" si="23"/>
        <v>ทันกำหนด</v>
      </c>
      <c r="AE384" s="43"/>
      <c r="AF384" s="43"/>
      <c r="AG384" s="43"/>
      <c r="AH384" s="44"/>
    </row>
    <row r="385" spans="1:34" ht="27.75" customHeight="1">
      <c r="A385" s="41">
        <v>382</v>
      </c>
      <c r="B385" s="66"/>
      <c r="C385" s="48"/>
      <c r="D385" s="48"/>
      <c r="E385" s="49"/>
      <c r="F385" s="49"/>
      <c r="G385" s="49">
        <f t="shared" si="21"/>
        <v>0</v>
      </c>
      <c r="H385" s="49" t="str">
        <f t="shared" si="22"/>
        <v>ครบ</v>
      </c>
      <c r="I385" s="49"/>
      <c r="J385" s="49" t="e">
        <f>VLOOKUP(I385,Sheet2!$B$10:$C$18,2,FALSE)</f>
        <v>#N/A</v>
      </c>
      <c r="K385" s="67"/>
      <c r="L385" s="49"/>
      <c r="M385" s="49" t="e">
        <f>VLOOKUP(L385,Sheet2!$B$10:$C$18,2,FALSE)</f>
        <v>#N/A</v>
      </c>
      <c r="N385" s="67"/>
      <c r="O385" s="49"/>
      <c r="P385" s="49" t="e">
        <f>VLOOKUP(O385,Sheet2!$B$10:$C$18,2,FALSE)</f>
        <v>#N/A</v>
      </c>
      <c r="Q385" s="67"/>
      <c r="R385" s="49"/>
      <c r="S385" s="49" t="e">
        <f>VLOOKUP(R385,Sheet2!$B$10:$C$18,2,FALSE)</f>
        <v>#N/A</v>
      </c>
      <c r="T385" s="67"/>
      <c r="U385" s="67">
        <f t="shared" si="20"/>
        <v>0</v>
      </c>
      <c r="V385" s="67"/>
      <c r="W385" s="67"/>
      <c r="X385" s="67"/>
      <c r="Y385" s="66"/>
      <c r="Z385" s="66"/>
      <c r="AA385" s="66"/>
      <c r="AB385" s="66"/>
      <c r="AC385" s="66"/>
      <c r="AD385" s="42" t="str">
        <f t="shared" si="23"/>
        <v>ทันกำหนด</v>
      </c>
      <c r="AE385" s="43"/>
      <c r="AF385" s="43"/>
      <c r="AG385" s="43"/>
      <c r="AH385" s="44"/>
    </row>
    <row r="386" spans="1:34" ht="27.75" customHeight="1">
      <c r="A386" s="41">
        <v>383</v>
      </c>
      <c r="B386" s="66"/>
      <c r="C386" s="48"/>
      <c r="D386" s="48"/>
      <c r="E386" s="49"/>
      <c r="F386" s="49"/>
      <c r="G386" s="49">
        <f t="shared" si="21"/>
        <v>0</v>
      </c>
      <c r="H386" s="49" t="str">
        <f t="shared" si="22"/>
        <v>ครบ</v>
      </c>
      <c r="I386" s="49"/>
      <c r="J386" s="49" t="e">
        <f>VLOOKUP(I386,Sheet2!$B$10:$C$18,2,FALSE)</f>
        <v>#N/A</v>
      </c>
      <c r="K386" s="67"/>
      <c r="L386" s="49"/>
      <c r="M386" s="49" t="e">
        <f>VLOOKUP(L386,Sheet2!$B$10:$C$18,2,FALSE)</f>
        <v>#N/A</v>
      </c>
      <c r="N386" s="67"/>
      <c r="O386" s="49"/>
      <c r="P386" s="49" t="e">
        <f>VLOOKUP(O386,Sheet2!$B$10:$C$18,2,FALSE)</f>
        <v>#N/A</v>
      </c>
      <c r="Q386" s="67"/>
      <c r="R386" s="49"/>
      <c r="S386" s="49" t="e">
        <f>VLOOKUP(R386,Sheet2!$B$10:$C$18,2,FALSE)</f>
        <v>#N/A</v>
      </c>
      <c r="T386" s="67"/>
      <c r="U386" s="67">
        <f t="shared" si="20"/>
        <v>0</v>
      </c>
      <c r="V386" s="67"/>
      <c r="W386" s="67"/>
      <c r="X386" s="67"/>
      <c r="Y386" s="66"/>
      <c r="Z386" s="66"/>
      <c r="AA386" s="66"/>
      <c r="AB386" s="66"/>
      <c r="AC386" s="66"/>
      <c r="AD386" s="42" t="str">
        <f t="shared" si="23"/>
        <v>ทันกำหนด</v>
      </c>
      <c r="AE386" s="43"/>
      <c r="AF386" s="43"/>
      <c r="AG386" s="43"/>
      <c r="AH386" s="44"/>
    </row>
    <row r="387" spans="1:34" ht="27.75" customHeight="1">
      <c r="A387" s="41">
        <v>384</v>
      </c>
      <c r="B387" s="66"/>
      <c r="C387" s="48"/>
      <c r="D387" s="48"/>
      <c r="E387" s="49"/>
      <c r="F387" s="49"/>
      <c r="G387" s="49">
        <f t="shared" si="21"/>
        <v>0</v>
      </c>
      <c r="H387" s="49" t="str">
        <f t="shared" si="22"/>
        <v>ครบ</v>
      </c>
      <c r="I387" s="49"/>
      <c r="J387" s="49" t="e">
        <f>VLOOKUP(I387,Sheet2!$B$10:$C$18,2,FALSE)</f>
        <v>#N/A</v>
      </c>
      <c r="K387" s="67"/>
      <c r="L387" s="49"/>
      <c r="M387" s="49" t="e">
        <f>VLOOKUP(L387,Sheet2!$B$10:$C$18,2,FALSE)</f>
        <v>#N/A</v>
      </c>
      <c r="N387" s="67"/>
      <c r="O387" s="49"/>
      <c r="P387" s="49" t="e">
        <f>VLOOKUP(O387,Sheet2!$B$10:$C$18,2,FALSE)</f>
        <v>#N/A</v>
      </c>
      <c r="Q387" s="67"/>
      <c r="R387" s="49"/>
      <c r="S387" s="49" t="e">
        <f>VLOOKUP(R387,Sheet2!$B$10:$C$18,2,FALSE)</f>
        <v>#N/A</v>
      </c>
      <c r="T387" s="67"/>
      <c r="U387" s="67">
        <f t="shared" si="20"/>
        <v>0</v>
      </c>
      <c r="V387" s="67"/>
      <c r="W387" s="67"/>
      <c r="X387" s="67"/>
      <c r="Y387" s="66"/>
      <c r="Z387" s="66"/>
      <c r="AA387" s="66"/>
      <c r="AB387" s="66"/>
      <c r="AC387" s="66"/>
      <c r="AD387" s="42" t="str">
        <f t="shared" si="23"/>
        <v>ทันกำหนด</v>
      </c>
      <c r="AE387" s="43"/>
      <c r="AF387" s="43"/>
      <c r="AG387" s="43"/>
      <c r="AH387" s="44"/>
    </row>
    <row r="388" spans="1:34" ht="27.75" customHeight="1">
      <c r="A388" s="41">
        <v>385</v>
      </c>
      <c r="B388" s="66"/>
      <c r="C388" s="48"/>
      <c r="D388" s="48"/>
      <c r="E388" s="49"/>
      <c r="F388" s="49"/>
      <c r="G388" s="49">
        <f t="shared" si="21"/>
        <v>0</v>
      </c>
      <c r="H388" s="49" t="str">
        <f t="shared" si="22"/>
        <v>ครบ</v>
      </c>
      <c r="I388" s="49"/>
      <c r="J388" s="49" t="e">
        <f>VLOOKUP(I388,Sheet2!$B$10:$C$18,2,FALSE)</f>
        <v>#N/A</v>
      </c>
      <c r="K388" s="67"/>
      <c r="L388" s="49"/>
      <c r="M388" s="49" t="e">
        <f>VLOOKUP(L388,Sheet2!$B$10:$C$18,2,FALSE)</f>
        <v>#N/A</v>
      </c>
      <c r="N388" s="67"/>
      <c r="O388" s="49"/>
      <c r="P388" s="49" t="e">
        <f>VLOOKUP(O388,Sheet2!$B$10:$C$18,2,FALSE)</f>
        <v>#N/A</v>
      </c>
      <c r="Q388" s="67"/>
      <c r="R388" s="49"/>
      <c r="S388" s="49" t="e">
        <f>VLOOKUP(R388,Sheet2!$B$10:$C$18,2,FALSE)</f>
        <v>#N/A</v>
      </c>
      <c r="T388" s="67"/>
      <c r="U388" s="67">
        <f t="shared" si="20"/>
        <v>0</v>
      </c>
      <c r="V388" s="67"/>
      <c r="W388" s="67"/>
      <c r="X388" s="67"/>
      <c r="Y388" s="66"/>
      <c r="Z388" s="66"/>
      <c r="AA388" s="66"/>
      <c r="AB388" s="66"/>
      <c r="AC388" s="66"/>
      <c r="AD388" s="42" t="str">
        <f t="shared" si="23"/>
        <v>ทันกำหนด</v>
      </c>
      <c r="AE388" s="43"/>
      <c r="AF388" s="43"/>
      <c r="AG388" s="43"/>
      <c r="AH388" s="44"/>
    </row>
    <row r="389" spans="1:34" ht="27.75" customHeight="1">
      <c r="A389" s="41">
        <v>386</v>
      </c>
      <c r="B389" s="66"/>
      <c r="C389" s="48"/>
      <c r="D389" s="73"/>
      <c r="E389" s="49"/>
      <c r="F389" s="49"/>
      <c r="G389" s="49">
        <f t="shared" si="21"/>
        <v>0</v>
      </c>
      <c r="H389" s="49" t="str">
        <f t="shared" si="22"/>
        <v>ครบ</v>
      </c>
      <c r="I389" s="49"/>
      <c r="J389" s="49" t="e">
        <f>VLOOKUP(I389,Sheet2!$B$10:$C$18,2,FALSE)</f>
        <v>#N/A</v>
      </c>
      <c r="K389" s="67"/>
      <c r="L389" s="49"/>
      <c r="M389" s="49" t="e">
        <f>VLOOKUP(L389,Sheet2!$B$10:$C$18,2,FALSE)</f>
        <v>#N/A</v>
      </c>
      <c r="N389" s="67"/>
      <c r="O389" s="49"/>
      <c r="P389" s="49" t="e">
        <f>VLOOKUP(O389,Sheet2!$B$10:$C$18,2,FALSE)</f>
        <v>#N/A</v>
      </c>
      <c r="Q389" s="67"/>
      <c r="R389" s="49"/>
      <c r="S389" s="49" t="e">
        <f>VLOOKUP(R389,Sheet2!$B$10:$C$18,2,FALSE)</f>
        <v>#N/A</v>
      </c>
      <c r="T389" s="67"/>
      <c r="U389" s="67">
        <f t="shared" ref="U389:U452" si="24">$K389+$N389+$Q389+$T389</f>
        <v>0</v>
      </c>
      <c r="V389" s="67"/>
      <c r="W389" s="67"/>
      <c r="X389" s="67"/>
      <c r="Y389" s="66"/>
      <c r="Z389" s="66"/>
      <c r="AA389" s="66"/>
      <c r="AB389" s="66"/>
      <c r="AC389" s="66"/>
      <c r="AD389" s="42" t="str">
        <f t="shared" si="23"/>
        <v>ทันกำหนด</v>
      </c>
      <c r="AE389" s="43"/>
      <c r="AF389" s="43"/>
      <c r="AG389" s="43"/>
      <c r="AH389" s="44"/>
    </row>
    <row r="390" spans="1:34" ht="27.75" customHeight="1">
      <c r="A390" s="41">
        <v>387</v>
      </c>
      <c r="B390" s="66"/>
      <c r="C390" s="48"/>
      <c r="D390" s="48"/>
      <c r="E390" s="49"/>
      <c r="F390" s="49"/>
      <c r="G390" s="49">
        <f t="shared" ref="G390:G603" si="25">$E390-$F390</f>
        <v>0</v>
      </c>
      <c r="H390" s="49" t="str">
        <f t="shared" si="22"/>
        <v>ครบ</v>
      </c>
      <c r="I390" s="49"/>
      <c r="J390" s="49" t="e">
        <f>VLOOKUP(I390,Sheet2!$B$10:$C$18,2,FALSE)</f>
        <v>#N/A</v>
      </c>
      <c r="K390" s="67"/>
      <c r="L390" s="49"/>
      <c r="M390" s="49" t="e">
        <f>VLOOKUP(L390,Sheet2!$B$10:$C$18,2,FALSE)</f>
        <v>#N/A</v>
      </c>
      <c r="N390" s="67"/>
      <c r="O390" s="49"/>
      <c r="P390" s="49" t="e">
        <f>VLOOKUP(O390,Sheet2!$B$10:$C$18,2,FALSE)</f>
        <v>#N/A</v>
      </c>
      <c r="Q390" s="67"/>
      <c r="R390" s="49"/>
      <c r="S390" s="49" t="e">
        <f>VLOOKUP(R390,Sheet2!$B$10:$C$18,2,FALSE)</f>
        <v>#N/A</v>
      </c>
      <c r="T390" s="67"/>
      <c r="U390" s="67">
        <f t="shared" si="24"/>
        <v>0</v>
      </c>
      <c r="V390" s="67"/>
      <c r="W390" s="67"/>
      <c r="X390" s="67"/>
      <c r="Y390" s="66"/>
      <c r="Z390" s="66"/>
      <c r="AA390" s="66"/>
      <c r="AB390" s="66"/>
      <c r="AC390" s="66"/>
      <c r="AD390" s="42" t="str">
        <f t="shared" si="23"/>
        <v>ทันกำหนด</v>
      </c>
      <c r="AE390" s="43"/>
      <c r="AF390" s="43"/>
      <c r="AG390" s="43"/>
      <c r="AH390" s="44"/>
    </row>
    <row r="391" spans="1:34" ht="27.75" customHeight="1">
      <c r="A391" s="41">
        <v>388</v>
      </c>
      <c r="B391" s="66"/>
      <c r="C391" s="48"/>
      <c r="D391" s="48"/>
      <c r="E391" s="49"/>
      <c r="F391" s="49"/>
      <c r="G391" s="49">
        <f t="shared" si="25"/>
        <v>0</v>
      </c>
      <c r="H391" s="49" t="str">
        <f t="shared" si="22"/>
        <v>ครบ</v>
      </c>
      <c r="I391" s="49"/>
      <c r="J391" s="49" t="e">
        <f>VLOOKUP(I391,Sheet2!$B$10:$C$18,2,FALSE)</f>
        <v>#N/A</v>
      </c>
      <c r="K391" s="67"/>
      <c r="L391" s="49"/>
      <c r="M391" s="49" t="e">
        <f>VLOOKUP(L391,Sheet2!$B$10:$C$18,2,FALSE)</f>
        <v>#N/A</v>
      </c>
      <c r="N391" s="67"/>
      <c r="O391" s="49"/>
      <c r="P391" s="49" t="e">
        <f>VLOOKUP(O391,Sheet2!$B$10:$C$18,2,FALSE)</f>
        <v>#N/A</v>
      </c>
      <c r="Q391" s="67"/>
      <c r="R391" s="49"/>
      <c r="S391" s="49" t="e">
        <f>VLOOKUP(R391,Sheet2!$B$10:$C$18,2,FALSE)</f>
        <v>#N/A</v>
      </c>
      <c r="T391" s="67"/>
      <c r="U391" s="67">
        <f t="shared" si="24"/>
        <v>0</v>
      </c>
      <c r="V391" s="67"/>
      <c r="W391" s="67"/>
      <c r="X391" s="67"/>
      <c r="Y391" s="66"/>
      <c r="Z391" s="66"/>
      <c r="AA391" s="66"/>
      <c r="AB391" s="66"/>
      <c r="AC391" s="66"/>
      <c r="AD391" s="42" t="str">
        <f t="shared" si="23"/>
        <v>ทันกำหนด</v>
      </c>
      <c r="AE391" s="43"/>
      <c r="AF391" s="43"/>
      <c r="AG391" s="43"/>
      <c r="AH391" s="44"/>
    </row>
    <row r="392" spans="1:34" ht="27.75" customHeight="1">
      <c r="A392" s="41">
        <v>389</v>
      </c>
      <c r="B392" s="66"/>
      <c r="C392" s="48"/>
      <c r="D392" s="48"/>
      <c r="E392" s="49"/>
      <c r="F392" s="49"/>
      <c r="G392" s="49">
        <f t="shared" si="25"/>
        <v>0</v>
      </c>
      <c r="H392" s="49" t="str">
        <f t="shared" ref="H392:H603" si="26">IF($G392=0,"ครบ","ไม่ครบ")</f>
        <v>ครบ</v>
      </c>
      <c r="I392" s="49"/>
      <c r="J392" s="49" t="e">
        <f>VLOOKUP(I392,Sheet2!$B$10:$C$18,2,FALSE)</f>
        <v>#N/A</v>
      </c>
      <c r="K392" s="67"/>
      <c r="L392" s="49"/>
      <c r="M392" s="49" t="e">
        <f>VLOOKUP(L392,Sheet2!$B$10:$C$18,2,FALSE)</f>
        <v>#N/A</v>
      </c>
      <c r="N392" s="67"/>
      <c r="O392" s="49"/>
      <c r="P392" s="49" t="e">
        <f>VLOOKUP(O392,Sheet2!$B$10:$C$18,2,FALSE)</f>
        <v>#N/A</v>
      </c>
      <c r="Q392" s="67"/>
      <c r="R392" s="49"/>
      <c r="S392" s="49" t="e">
        <f>VLOOKUP(R392,Sheet2!$B$10:$C$18,2,FALSE)</f>
        <v>#N/A</v>
      </c>
      <c r="T392" s="67"/>
      <c r="U392" s="67">
        <f t="shared" si="24"/>
        <v>0</v>
      </c>
      <c r="V392" s="67"/>
      <c r="W392" s="67"/>
      <c r="X392" s="67"/>
      <c r="Y392" s="66"/>
      <c r="Z392" s="66"/>
      <c r="AA392" s="66"/>
      <c r="AB392" s="66"/>
      <c r="AC392" s="66"/>
      <c r="AD392" s="42" t="str">
        <f t="shared" si="23"/>
        <v>ทันกำหนด</v>
      </c>
      <c r="AE392" s="43"/>
      <c r="AF392" s="43"/>
      <c r="AG392" s="43"/>
      <c r="AH392" s="44"/>
    </row>
    <row r="393" spans="1:34" ht="27.75" customHeight="1">
      <c r="A393" s="41">
        <v>390</v>
      </c>
      <c r="B393" s="66"/>
      <c r="C393" s="48"/>
      <c r="D393" s="48"/>
      <c r="E393" s="49"/>
      <c r="F393" s="49"/>
      <c r="G393" s="49">
        <f t="shared" si="25"/>
        <v>0</v>
      </c>
      <c r="H393" s="49" t="str">
        <f t="shared" si="26"/>
        <v>ครบ</v>
      </c>
      <c r="I393" s="49"/>
      <c r="J393" s="49" t="e">
        <f>VLOOKUP(I393,Sheet2!$B$10:$C$18,2,FALSE)</f>
        <v>#N/A</v>
      </c>
      <c r="K393" s="67"/>
      <c r="L393" s="49"/>
      <c r="M393" s="49" t="e">
        <f>VLOOKUP(L393,Sheet2!$B$10:$C$18,2,FALSE)</f>
        <v>#N/A</v>
      </c>
      <c r="N393" s="67"/>
      <c r="O393" s="49"/>
      <c r="P393" s="49" t="e">
        <f>VLOOKUP(O393,Sheet2!$B$10:$C$18,2,FALSE)</f>
        <v>#N/A</v>
      </c>
      <c r="Q393" s="67"/>
      <c r="R393" s="49"/>
      <c r="S393" s="49" t="e">
        <f>VLOOKUP(R393,Sheet2!$B$10:$C$18,2,FALSE)</f>
        <v>#N/A</v>
      </c>
      <c r="T393" s="67"/>
      <c r="U393" s="67">
        <f t="shared" si="24"/>
        <v>0</v>
      </c>
      <c r="V393" s="67"/>
      <c r="W393" s="67"/>
      <c r="X393" s="67"/>
      <c r="Y393" s="66"/>
      <c r="Z393" s="66"/>
      <c r="AA393" s="66"/>
      <c r="AB393" s="66"/>
      <c r="AC393" s="66"/>
      <c r="AD393" s="42" t="str">
        <f t="shared" si="23"/>
        <v>ทันกำหนด</v>
      </c>
      <c r="AE393" s="43"/>
      <c r="AF393" s="43"/>
      <c r="AG393" s="43"/>
      <c r="AH393" s="44"/>
    </row>
    <row r="394" spans="1:34" ht="27.75" customHeight="1">
      <c r="A394" s="41">
        <v>391</v>
      </c>
      <c r="B394" s="66"/>
      <c r="C394" s="48"/>
      <c r="D394" s="48"/>
      <c r="E394" s="49"/>
      <c r="F394" s="49"/>
      <c r="G394" s="49">
        <f t="shared" si="25"/>
        <v>0</v>
      </c>
      <c r="H394" s="49" t="str">
        <f t="shared" si="26"/>
        <v>ครบ</v>
      </c>
      <c r="I394" s="49"/>
      <c r="J394" s="49" t="e">
        <f>VLOOKUP(I394,Sheet2!$B$10:$C$18,2,FALSE)</f>
        <v>#N/A</v>
      </c>
      <c r="K394" s="67"/>
      <c r="L394" s="49"/>
      <c r="M394" s="49" t="e">
        <f>VLOOKUP(L394,Sheet2!$B$10:$C$18,2,FALSE)</f>
        <v>#N/A</v>
      </c>
      <c r="N394" s="67"/>
      <c r="O394" s="49"/>
      <c r="P394" s="49" t="e">
        <f>VLOOKUP(O394,Sheet2!$B$10:$C$18,2,FALSE)</f>
        <v>#N/A</v>
      </c>
      <c r="Q394" s="67"/>
      <c r="R394" s="49"/>
      <c r="S394" s="49" t="e">
        <f>VLOOKUP(R394,Sheet2!$B$10:$C$18,2,FALSE)</f>
        <v>#N/A</v>
      </c>
      <c r="T394" s="67"/>
      <c r="U394" s="67">
        <f t="shared" si="24"/>
        <v>0</v>
      </c>
      <c r="V394" s="67"/>
      <c r="W394" s="67"/>
      <c r="X394" s="67"/>
      <c r="Y394" s="66"/>
      <c r="Z394" s="66"/>
      <c r="AA394" s="66"/>
      <c r="AB394" s="66"/>
      <c r="AC394" s="66"/>
      <c r="AD394" s="42" t="str">
        <f t="shared" si="23"/>
        <v>ทันกำหนด</v>
      </c>
      <c r="AE394" s="43"/>
      <c r="AF394" s="43"/>
      <c r="AG394" s="43"/>
      <c r="AH394" s="44"/>
    </row>
    <row r="395" spans="1:34" ht="27.75" customHeight="1">
      <c r="A395" s="41">
        <v>392</v>
      </c>
      <c r="B395" s="66"/>
      <c r="C395" s="48"/>
      <c r="D395" s="48"/>
      <c r="E395" s="49"/>
      <c r="F395" s="49"/>
      <c r="G395" s="49">
        <f t="shared" si="25"/>
        <v>0</v>
      </c>
      <c r="H395" s="49" t="str">
        <f t="shared" si="26"/>
        <v>ครบ</v>
      </c>
      <c r="I395" s="49"/>
      <c r="J395" s="49" t="e">
        <f>VLOOKUP(I395,Sheet2!$B$10:$C$18,2,FALSE)</f>
        <v>#N/A</v>
      </c>
      <c r="K395" s="67"/>
      <c r="L395" s="49"/>
      <c r="M395" s="49" t="e">
        <f>VLOOKUP(L395,Sheet2!$B$10:$C$18,2,FALSE)</f>
        <v>#N/A</v>
      </c>
      <c r="N395" s="67"/>
      <c r="O395" s="49"/>
      <c r="P395" s="49" t="e">
        <f>VLOOKUP(O395,Sheet2!$B$10:$C$18,2,FALSE)</f>
        <v>#N/A</v>
      </c>
      <c r="Q395" s="67"/>
      <c r="R395" s="49"/>
      <c r="S395" s="49" t="e">
        <f>VLOOKUP(R395,Sheet2!$B$10:$C$18,2,FALSE)</f>
        <v>#N/A</v>
      </c>
      <c r="T395" s="67"/>
      <c r="U395" s="67">
        <f t="shared" si="24"/>
        <v>0</v>
      </c>
      <c r="V395" s="67"/>
      <c r="W395" s="67"/>
      <c r="X395" s="67"/>
      <c r="Y395" s="66"/>
      <c r="Z395" s="66"/>
      <c r="AA395" s="66"/>
      <c r="AB395" s="66"/>
      <c r="AC395" s="66"/>
      <c r="AD395" s="42" t="str">
        <f t="shared" si="23"/>
        <v>ทันกำหนด</v>
      </c>
      <c r="AE395" s="43"/>
      <c r="AF395" s="43"/>
      <c r="AG395" s="43"/>
      <c r="AH395" s="44"/>
    </row>
    <row r="396" spans="1:34" ht="27.75" customHeight="1">
      <c r="A396" s="41">
        <v>393</v>
      </c>
      <c r="B396" s="66"/>
      <c r="C396" s="48"/>
      <c r="D396" s="48"/>
      <c r="E396" s="49"/>
      <c r="F396" s="49"/>
      <c r="G396" s="49">
        <f t="shared" si="25"/>
        <v>0</v>
      </c>
      <c r="H396" s="49" t="str">
        <f t="shared" si="26"/>
        <v>ครบ</v>
      </c>
      <c r="I396" s="49"/>
      <c r="J396" s="49" t="e">
        <f>VLOOKUP(I396,Sheet2!$B$10:$C$18,2,FALSE)</f>
        <v>#N/A</v>
      </c>
      <c r="K396" s="67"/>
      <c r="L396" s="49"/>
      <c r="M396" s="49" t="e">
        <f>VLOOKUP(L396,Sheet2!$B$10:$C$18,2,FALSE)</f>
        <v>#N/A</v>
      </c>
      <c r="N396" s="67"/>
      <c r="O396" s="49"/>
      <c r="P396" s="49" t="e">
        <f>VLOOKUP(O396,Sheet2!$B$10:$C$18,2,FALSE)</f>
        <v>#N/A</v>
      </c>
      <c r="Q396" s="67"/>
      <c r="R396" s="49"/>
      <c r="S396" s="49" t="e">
        <f>VLOOKUP(R396,Sheet2!$B$10:$C$18,2,FALSE)</f>
        <v>#N/A</v>
      </c>
      <c r="T396" s="67"/>
      <c r="U396" s="67">
        <f t="shared" si="24"/>
        <v>0</v>
      </c>
      <c r="V396" s="67"/>
      <c r="W396" s="67"/>
      <c r="X396" s="67"/>
      <c r="Y396" s="66"/>
      <c r="Z396" s="66"/>
      <c r="AA396" s="66"/>
      <c r="AB396" s="66"/>
      <c r="AC396" s="66"/>
      <c r="AD396" s="42" t="str">
        <f t="shared" si="23"/>
        <v>ทันกำหนด</v>
      </c>
      <c r="AE396" s="43"/>
      <c r="AF396" s="43"/>
      <c r="AG396" s="43"/>
      <c r="AH396" s="44"/>
    </row>
    <row r="397" spans="1:34" ht="27.75" customHeight="1">
      <c r="A397" s="41">
        <v>394</v>
      </c>
      <c r="B397" s="66"/>
      <c r="C397" s="48"/>
      <c r="D397" s="48"/>
      <c r="E397" s="49"/>
      <c r="F397" s="49"/>
      <c r="G397" s="49">
        <f t="shared" si="25"/>
        <v>0</v>
      </c>
      <c r="H397" s="49" t="str">
        <f t="shared" si="26"/>
        <v>ครบ</v>
      </c>
      <c r="I397" s="49"/>
      <c r="J397" s="49" t="e">
        <f>VLOOKUP(I397,Sheet2!$B$10:$C$18,2,FALSE)</f>
        <v>#N/A</v>
      </c>
      <c r="K397" s="67"/>
      <c r="L397" s="49"/>
      <c r="M397" s="49" t="e">
        <f>VLOOKUP(L397,Sheet2!$B$10:$C$18,2,FALSE)</f>
        <v>#N/A</v>
      </c>
      <c r="N397" s="67"/>
      <c r="O397" s="49"/>
      <c r="P397" s="49" t="e">
        <f>VLOOKUP(O397,Sheet2!$B$10:$C$18,2,FALSE)</f>
        <v>#N/A</v>
      </c>
      <c r="Q397" s="67"/>
      <c r="R397" s="49"/>
      <c r="S397" s="49" t="e">
        <f>VLOOKUP(R397,Sheet2!$B$10:$C$18,2,FALSE)</f>
        <v>#N/A</v>
      </c>
      <c r="T397" s="67"/>
      <c r="U397" s="67">
        <f t="shared" si="24"/>
        <v>0</v>
      </c>
      <c r="V397" s="67"/>
      <c r="W397" s="67"/>
      <c r="X397" s="67"/>
      <c r="Y397" s="66"/>
      <c r="Z397" s="66"/>
      <c r="AA397" s="66"/>
      <c r="AB397" s="66"/>
      <c r="AC397" s="66"/>
      <c r="AD397" s="42" t="str">
        <f t="shared" si="23"/>
        <v>ทันกำหนด</v>
      </c>
      <c r="AE397" s="43"/>
      <c r="AF397" s="43"/>
      <c r="AG397" s="43"/>
      <c r="AH397" s="44"/>
    </row>
    <row r="398" spans="1:34" ht="27.75" customHeight="1">
      <c r="A398" s="41">
        <v>395</v>
      </c>
      <c r="B398" s="66"/>
      <c r="C398" s="48"/>
      <c r="D398" s="48"/>
      <c r="E398" s="49"/>
      <c r="F398" s="49"/>
      <c r="G398" s="49">
        <f t="shared" si="25"/>
        <v>0</v>
      </c>
      <c r="H398" s="49" t="str">
        <f t="shared" si="26"/>
        <v>ครบ</v>
      </c>
      <c r="I398" s="49"/>
      <c r="J398" s="49" t="e">
        <f>VLOOKUP(I398,Sheet2!$B$10:$C$18,2,FALSE)</f>
        <v>#N/A</v>
      </c>
      <c r="K398" s="67"/>
      <c r="L398" s="49"/>
      <c r="M398" s="49" t="e">
        <f>VLOOKUP(L398,Sheet2!$B$10:$C$18,2,FALSE)</f>
        <v>#N/A</v>
      </c>
      <c r="N398" s="67"/>
      <c r="O398" s="49"/>
      <c r="P398" s="49" t="e">
        <f>VLOOKUP(O398,Sheet2!$B$10:$C$18,2,FALSE)</f>
        <v>#N/A</v>
      </c>
      <c r="Q398" s="67"/>
      <c r="R398" s="49"/>
      <c r="S398" s="49" t="e">
        <f>VLOOKUP(R398,Sheet2!$B$10:$C$18,2,FALSE)</f>
        <v>#N/A</v>
      </c>
      <c r="T398" s="67"/>
      <c r="U398" s="67">
        <f t="shared" si="24"/>
        <v>0</v>
      </c>
      <c r="V398" s="67"/>
      <c r="W398" s="67"/>
      <c r="X398" s="67"/>
      <c r="Y398" s="66"/>
      <c r="Z398" s="66"/>
      <c r="AA398" s="66"/>
      <c r="AB398" s="66"/>
      <c r="AC398" s="66"/>
      <c r="AD398" s="42" t="str">
        <f t="shared" si="23"/>
        <v>ทันกำหนด</v>
      </c>
      <c r="AE398" s="43"/>
      <c r="AF398" s="43"/>
      <c r="AG398" s="43"/>
      <c r="AH398" s="44"/>
    </row>
    <row r="399" spans="1:34" ht="27.75" customHeight="1">
      <c r="A399" s="41">
        <v>396</v>
      </c>
      <c r="B399" s="66"/>
      <c r="C399" s="48"/>
      <c r="D399" s="48"/>
      <c r="E399" s="49"/>
      <c r="F399" s="49"/>
      <c r="G399" s="49">
        <f t="shared" si="25"/>
        <v>0</v>
      </c>
      <c r="H399" s="49" t="str">
        <f t="shared" si="26"/>
        <v>ครบ</v>
      </c>
      <c r="I399" s="49"/>
      <c r="J399" s="49" t="e">
        <f>VLOOKUP(I399,Sheet2!$B$10:$C$18,2,FALSE)</f>
        <v>#N/A</v>
      </c>
      <c r="K399" s="67"/>
      <c r="L399" s="49"/>
      <c r="M399" s="49" t="e">
        <f>VLOOKUP(L399,Sheet2!$B$10:$C$18,2,FALSE)</f>
        <v>#N/A</v>
      </c>
      <c r="N399" s="67"/>
      <c r="O399" s="49"/>
      <c r="P399" s="49" t="e">
        <f>VLOOKUP(O399,Sheet2!$B$10:$C$18,2,FALSE)</f>
        <v>#N/A</v>
      </c>
      <c r="Q399" s="67"/>
      <c r="R399" s="49"/>
      <c r="S399" s="49" t="e">
        <f>VLOOKUP(R399,Sheet2!$B$10:$C$18,2,FALSE)</f>
        <v>#N/A</v>
      </c>
      <c r="T399" s="67"/>
      <c r="U399" s="67">
        <f t="shared" si="24"/>
        <v>0</v>
      </c>
      <c r="V399" s="67"/>
      <c r="W399" s="67"/>
      <c r="X399" s="67"/>
      <c r="Y399" s="66"/>
      <c r="Z399" s="66"/>
      <c r="AA399" s="66"/>
      <c r="AB399" s="66"/>
      <c r="AC399" s="66"/>
      <c r="AD399" s="42" t="str">
        <f t="shared" si="23"/>
        <v>ทันกำหนด</v>
      </c>
      <c r="AE399" s="43"/>
      <c r="AF399" s="43"/>
      <c r="AG399" s="43"/>
      <c r="AH399" s="44"/>
    </row>
    <row r="400" spans="1:34" ht="27.75" customHeight="1">
      <c r="A400" s="41">
        <v>397</v>
      </c>
      <c r="B400" s="66"/>
      <c r="C400" s="48"/>
      <c r="D400" s="48"/>
      <c r="E400" s="49"/>
      <c r="F400" s="49"/>
      <c r="G400" s="49">
        <f t="shared" si="25"/>
        <v>0</v>
      </c>
      <c r="H400" s="49" t="str">
        <f t="shared" si="26"/>
        <v>ครบ</v>
      </c>
      <c r="I400" s="49"/>
      <c r="J400" s="49" t="e">
        <f>VLOOKUP(I400,Sheet2!$B$10:$C$18,2,FALSE)</f>
        <v>#N/A</v>
      </c>
      <c r="K400" s="67"/>
      <c r="L400" s="49"/>
      <c r="M400" s="49" t="e">
        <f>VLOOKUP(L400,Sheet2!$B$10:$C$18,2,FALSE)</f>
        <v>#N/A</v>
      </c>
      <c r="N400" s="67"/>
      <c r="O400" s="49"/>
      <c r="P400" s="49" t="e">
        <f>VLOOKUP(O400,Sheet2!$B$10:$C$18,2,FALSE)</f>
        <v>#N/A</v>
      </c>
      <c r="Q400" s="67"/>
      <c r="R400" s="49"/>
      <c r="S400" s="49" t="e">
        <f>VLOOKUP(R400,Sheet2!$B$10:$C$18,2,FALSE)</f>
        <v>#N/A</v>
      </c>
      <c r="T400" s="67"/>
      <c r="U400" s="67">
        <f t="shared" si="24"/>
        <v>0</v>
      </c>
      <c r="V400" s="67"/>
      <c r="W400" s="67"/>
      <c r="X400" s="67"/>
      <c r="Y400" s="66"/>
      <c r="Z400" s="66"/>
      <c r="AA400" s="66"/>
      <c r="AB400" s="66"/>
      <c r="AC400" s="66"/>
      <c r="AD400" s="42" t="str">
        <f t="shared" si="23"/>
        <v>ทันกำหนด</v>
      </c>
      <c r="AE400" s="43"/>
      <c r="AF400" s="43"/>
      <c r="AG400" s="43"/>
      <c r="AH400" s="44"/>
    </row>
    <row r="401" spans="1:34" ht="27.75" customHeight="1">
      <c r="A401" s="41">
        <v>398</v>
      </c>
      <c r="B401" s="66"/>
      <c r="C401" s="48"/>
      <c r="D401" s="48"/>
      <c r="E401" s="49"/>
      <c r="F401" s="49"/>
      <c r="G401" s="49">
        <f t="shared" si="25"/>
        <v>0</v>
      </c>
      <c r="H401" s="49" t="str">
        <f t="shared" si="26"/>
        <v>ครบ</v>
      </c>
      <c r="I401" s="49"/>
      <c r="J401" s="49" t="e">
        <f>VLOOKUP(I401,Sheet2!$B$10:$C$18,2,FALSE)</f>
        <v>#N/A</v>
      </c>
      <c r="K401" s="67"/>
      <c r="L401" s="49"/>
      <c r="M401" s="49" t="e">
        <f>VLOOKUP(L401,Sheet2!$B$10:$C$18,2,FALSE)</f>
        <v>#N/A</v>
      </c>
      <c r="N401" s="67"/>
      <c r="O401" s="49"/>
      <c r="P401" s="49" t="e">
        <f>VLOOKUP(O401,Sheet2!$B$10:$C$18,2,FALSE)</f>
        <v>#N/A</v>
      </c>
      <c r="Q401" s="67"/>
      <c r="R401" s="49"/>
      <c r="S401" s="49" t="e">
        <f>VLOOKUP(R401,Sheet2!$B$10:$C$18,2,FALSE)</f>
        <v>#N/A</v>
      </c>
      <c r="T401" s="67"/>
      <c r="U401" s="67">
        <f t="shared" si="24"/>
        <v>0</v>
      </c>
      <c r="V401" s="67"/>
      <c r="W401" s="67"/>
      <c r="X401" s="67"/>
      <c r="Y401" s="66"/>
      <c r="Z401" s="66"/>
      <c r="AA401" s="66"/>
      <c r="AB401" s="66"/>
      <c r="AC401" s="66"/>
      <c r="AD401" s="42" t="str">
        <f t="shared" si="23"/>
        <v>ทันกำหนด</v>
      </c>
      <c r="AE401" s="43"/>
      <c r="AF401" s="43"/>
      <c r="AG401" s="43"/>
      <c r="AH401" s="44"/>
    </row>
    <row r="402" spans="1:34" ht="27.75" customHeight="1">
      <c r="A402" s="41">
        <v>399</v>
      </c>
      <c r="B402" s="66"/>
      <c r="C402" s="48"/>
      <c r="D402" s="48"/>
      <c r="E402" s="49"/>
      <c r="F402" s="49"/>
      <c r="G402" s="49">
        <f t="shared" si="25"/>
        <v>0</v>
      </c>
      <c r="H402" s="49" t="str">
        <f t="shared" si="26"/>
        <v>ครบ</v>
      </c>
      <c r="I402" s="49"/>
      <c r="J402" s="49" t="e">
        <f>VLOOKUP(I402,Sheet2!$B$10:$C$18,2,FALSE)</f>
        <v>#N/A</v>
      </c>
      <c r="K402" s="67"/>
      <c r="L402" s="49"/>
      <c r="M402" s="49" t="e">
        <f>VLOOKUP(L402,Sheet2!$B$10:$C$18,2,FALSE)</f>
        <v>#N/A</v>
      </c>
      <c r="N402" s="67"/>
      <c r="O402" s="49"/>
      <c r="P402" s="49" t="e">
        <f>VLOOKUP(O402,Sheet2!$B$10:$C$18,2,FALSE)</f>
        <v>#N/A</v>
      </c>
      <c r="Q402" s="67"/>
      <c r="R402" s="49"/>
      <c r="S402" s="49" t="e">
        <f>VLOOKUP(R402,Sheet2!$B$10:$C$18,2,FALSE)</f>
        <v>#N/A</v>
      </c>
      <c r="T402" s="67"/>
      <c r="U402" s="67">
        <f t="shared" si="24"/>
        <v>0</v>
      </c>
      <c r="V402" s="67"/>
      <c r="W402" s="67"/>
      <c r="X402" s="67"/>
      <c r="Y402" s="66"/>
      <c r="Z402" s="66"/>
      <c r="AA402" s="66"/>
      <c r="AB402" s="66"/>
      <c r="AC402" s="66"/>
      <c r="AD402" s="42" t="str">
        <f t="shared" si="23"/>
        <v>ทันกำหนด</v>
      </c>
      <c r="AE402" s="43"/>
      <c r="AF402" s="43"/>
      <c r="AG402" s="43"/>
      <c r="AH402" s="44"/>
    </row>
    <row r="403" spans="1:34" ht="27.75" customHeight="1">
      <c r="A403" s="41">
        <v>400</v>
      </c>
      <c r="B403" s="66"/>
      <c r="C403" s="48"/>
      <c r="D403" s="48"/>
      <c r="E403" s="49"/>
      <c r="F403" s="49"/>
      <c r="G403" s="49">
        <f t="shared" si="25"/>
        <v>0</v>
      </c>
      <c r="H403" s="49" t="str">
        <f t="shared" si="26"/>
        <v>ครบ</v>
      </c>
      <c r="I403" s="49"/>
      <c r="J403" s="49" t="e">
        <f>VLOOKUP(I403,Sheet2!$B$10:$C$18,2,FALSE)</f>
        <v>#N/A</v>
      </c>
      <c r="K403" s="67"/>
      <c r="L403" s="49"/>
      <c r="M403" s="49" t="e">
        <f>VLOOKUP(L403,Sheet2!$B$10:$C$18,2,FALSE)</f>
        <v>#N/A</v>
      </c>
      <c r="N403" s="67"/>
      <c r="O403" s="49"/>
      <c r="P403" s="49" t="e">
        <f>VLOOKUP(O403,Sheet2!$B$10:$C$18,2,FALSE)</f>
        <v>#N/A</v>
      </c>
      <c r="Q403" s="67"/>
      <c r="R403" s="49"/>
      <c r="S403" s="49" t="e">
        <f>VLOOKUP(R403,Sheet2!$B$10:$C$18,2,FALSE)</f>
        <v>#N/A</v>
      </c>
      <c r="T403" s="67"/>
      <c r="U403" s="67">
        <f t="shared" si="24"/>
        <v>0</v>
      </c>
      <c r="V403" s="67"/>
      <c r="W403" s="67"/>
      <c r="X403" s="67"/>
      <c r="Y403" s="66"/>
      <c r="Z403" s="66"/>
      <c r="AA403" s="66"/>
      <c r="AB403" s="66"/>
      <c r="AC403" s="66"/>
      <c r="AD403" s="42" t="str">
        <f t="shared" si="23"/>
        <v>ทันกำหนด</v>
      </c>
      <c r="AE403" s="43"/>
      <c r="AF403" s="43"/>
      <c r="AG403" s="43"/>
      <c r="AH403" s="44"/>
    </row>
    <row r="404" spans="1:34" ht="27.75" customHeight="1">
      <c r="A404" s="41">
        <v>401</v>
      </c>
      <c r="B404" s="66"/>
      <c r="C404" s="48"/>
      <c r="D404" s="48"/>
      <c r="E404" s="49"/>
      <c r="F404" s="49"/>
      <c r="G404" s="49">
        <f t="shared" si="25"/>
        <v>0</v>
      </c>
      <c r="H404" s="49" t="str">
        <f t="shared" si="26"/>
        <v>ครบ</v>
      </c>
      <c r="I404" s="49"/>
      <c r="J404" s="49" t="e">
        <f>VLOOKUP(I404,Sheet2!$B$10:$C$18,2,FALSE)</f>
        <v>#N/A</v>
      </c>
      <c r="K404" s="67"/>
      <c r="L404" s="49"/>
      <c r="M404" s="49" t="e">
        <f>VLOOKUP(L404,Sheet2!$B$10:$C$18,2,FALSE)</f>
        <v>#N/A</v>
      </c>
      <c r="N404" s="67"/>
      <c r="O404" s="49"/>
      <c r="P404" s="49" t="e">
        <f>VLOOKUP(O404,Sheet2!$B$10:$C$18,2,FALSE)</f>
        <v>#N/A</v>
      </c>
      <c r="Q404" s="67"/>
      <c r="R404" s="49"/>
      <c r="S404" s="49" t="e">
        <f>VLOOKUP(R404,Sheet2!$B$10:$C$18,2,FALSE)</f>
        <v>#N/A</v>
      </c>
      <c r="T404" s="67"/>
      <c r="U404" s="67">
        <f t="shared" si="24"/>
        <v>0</v>
      </c>
      <c r="V404" s="67"/>
      <c r="W404" s="67"/>
      <c r="X404" s="67"/>
      <c r="Y404" s="66"/>
      <c r="Z404" s="66"/>
      <c r="AA404" s="66"/>
      <c r="AB404" s="66"/>
      <c r="AC404" s="66"/>
      <c r="AD404" s="42" t="str">
        <f t="shared" si="23"/>
        <v>ทันกำหนด</v>
      </c>
      <c r="AE404" s="43"/>
      <c r="AF404" s="43"/>
      <c r="AG404" s="43"/>
      <c r="AH404" s="44"/>
    </row>
    <row r="405" spans="1:34" ht="27.75" customHeight="1">
      <c r="A405" s="41">
        <v>402</v>
      </c>
      <c r="B405" s="66"/>
      <c r="C405" s="48"/>
      <c r="D405" s="48"/>
      <c r="E405" s="49"/>
      <c r="F405" s="49"/>
      <c r="G405" s="49">
        <f t="shared" si="25"/>
        <v>0</v>
      </c>
      <c r="H405" s="49" t="str">
        <f t="shared" si="26"/>
        <v>ครบ</v>
      </c>
      <c r="I405" s="49"/>
      <c r="J405" s="49" t="e">
        <f>VLOOKUP(I405,Sheet2!$B$10:$C$18,2,FALSE)</f>
        <v>#N/A</v>
      </c>
      <c r="K405" s="67"/>
      <c r="L405" s="49"/>
      <c r="M405" s="49" t="e">
        <f>VLOOKUP(L405,Sheet2!$B$10:$C$18,2,FALSE)</f>
        <v>#N/A</v>
      </c>
      <c r="N405" s="67"/>
      <c r="O405" s="49"/>
      <c r="P405" s="49" t="e">
        <f>VLOOKUP(O405,Sheet2!$B$10:$C$18,2,FALSE)</f>
        <v>#N/A</v>
      </c>
      <c r="Q405" s="67"/>
      <c r="R405" s="49"/>
      <c r="S405" s="49" t="e">
        <f>VLOOKUP(R405,Sheet2!$B$10:$C$18,2,FALSE)</f>
        <v>#N/A</v>
      </c>
      <c r="T405" s="67"/>
      <c r="U405" s="67">
        <f t="shared" si="24"/>
        <v>0</v>
      </c>
      <c r="V405" s="67"/>
      <c r="W405" s="67"/>
      <c r="X405" s="67"/>
      <c r="Y405" s="66"/>
      <c r="Z405" s="66"/>
      <c r="AA405" s="66"/>
      <c r="AB405" s="66"/>
      <c r="AC405" s="66"/>
      <c r="AD405" s="42" t="str">
        <f t="shared" si="23"/>
        <v>ทันกำหนด</v>
      </c>
      <c r="AE405" s="43"/>
      <c r="AF405" s="43"/>
      <c r="AG405" s="43"/>
      <c r="AH405" s="44"/>
    </row>
    <row r="406" spans="1:34" ht="27.75" customHeight="1">
      <c r="A406" s="41">
        <v>403</v>
      </c>
      <c r="B406" s="66"/>
      <c r="C406" s="48"/>
      <c r="D406" s="48"/>
      <c r="E406" s="49"/>
      <c r="F406" s="49"/>
      <c r="G406" s="49">
        <f t="shared" si="25"/>
        <v>0</v>
      </c>
      <c r="H406" s="49" t="str">
        <f t="shared" si="26"/>
        <v>ครบ</v>
      </c>
      <c r="I406" s="49"/>
      <c r="J406" s="49" t="e">
        <f>VLOOKUP(I406,Sheet2!$B$10:$C$18,2,FALSE)</f>
        <v>#N/A</v>
      </c>
      <c r="K406" s="67"/>
      <c r="L406" s="49"/>
      <c r="M406" s="49" t="e">
        <f>VLOOKUP(L406,Sheet2!$B$10:$C$18,2,FALSE)</f>
        <v>#N/A</v>
      </c>
      <c r="N406" s="67"/>
      <c r="O406" s="49"/>
      <c r="P406" s="49" t="e">
        <f>VLOOKUP(O406,Sheet2!$B$10:$C$18,2,FALSE)</f>
        <v>#N/A</v>
      </c>
      <c r="Q406" s="67"/>
      <c r="R406" s="49"/>
      <c r="S406" s="49" t="e">
        <f>VLOOKUP(R406,Sheet2!$B$10:$C$18,2,FALSE)</f>
        <v>#N/A</v>
      </c>
      <c r="T406" s="67"/>
      <c r="U406" s="67">
        <f t="shared" si="24"/>
        <v>0</v>
      </c>
      <c r="V406" s="67"/>
      <c r="W406" s="67"/>
      <c r="X406" s="67"/>
      <c r="Y406" s="66"/>
      <c r="Z406" s="66"/>
      <c r="AA406" s="66"/>
      <c r="AB406" s="66"/>
      <c r="AC406" s="66"/>
      <c r="AD406" s="42" t="str">
        <f t="shared" si="23"/>
        <v>ทันกำหนด</v>
      </c>
      <c r="AE406" s="43"/>
      <c r="AF406" s="43"/>
      <c r="AG406" s="43"/>
      <c r="AH406" s="44"/>
    </row>
    <row r="407" spans="1:34" ht="27.75" customHeight="1">
      <c r="A407" s="41">
        <v>404</v>
      </c>
      <c r="B407" s="66"/>
      <c r="C407" s="48"/>
      <c r="D407" s="48"/>
      <c r="E407" s="49"/>
      <c r="F407" s="49"/>
      <c r="G407" s="49">
        <f t="shared" si="25"/>
        <v>0</v>
      </c>
      <c r="H407" s="49" t="str">
        <f t="shared" si="26"/>
        <v>ครบ</v>
      </c>
      <c r="I407" s="49"/>
      <c r="J407" s="49" t="e">
        <f>VLOOKUP(I407,Sheet2!$B$10:$C$18,2,FALSE)</f>
        <v>#N/A</v>
      </c>
      <c r="K407" s="67"/>
      <c r="L407" s="49"/>
      <c r="M407" s="49" t="e">
        <f>VLOOKUP(L407,Sheet2!$B$10:$C$18,2,FALSE)</f>
        <v>#N/A</v>
      </c>
      <c r="N407" s="67"/>
      <c r="O407" s="49"/>
      <c r="P407" s="49" t="e">
        <f>VLOOKUP(O407,Sheet2!$B$10:$C$18,2,FALSE)</f>
        <v>#N/A</v>
      </c>
      <c r="Q407" s="67"/>
      <c r="R407" s="49"/>
      <c r="S407" s="49" t="e">
        <f>VLOOKUP(R407,Sheet2!$B$10:$C$18,2,FALSE)</f>
        <v>#N/A</v>
      </c>
      <c r="T407" s="67"/>
      <c r="U407" s="67">
        <f t="shared" si="24"/>
        <v>0</v>
      </c>
      <c r="V407" s="67"/>
      <c r="W407" s="67"/>
      <c r="X407" s="67"/>
      <c r="Y407" s="66"/>
      <c r="Z407" s="66"/>
      <c r="AA407" s="66"/>
      <c r="AB407" s="66"/>
      <c r="AC407" s="66"/>
      <c r="AD407" s="42" t="str">
        <f t="shared" si="23"/>
        <v>ทันกำหนด</v>
      </c>
      <c r="AE407" s="43"/>
      <c r="AF407" s="43"/>
      <c r="AG407" s="43"/>
      <c r="AH407" s="44"/>
    </row>
    <row r="408" spans="1:34" ht="27.75" customHeight="1">
      <c r="A408" s="41">
        <v>405</v>
      </c>
      <c r="B408" s="66"/>
      <c r="C408" s="48"/>
      <c r="D408" s="48"/>
      <c r="E408" s="49"/>
      <c r="F408" s="49"/>
      <c r="G408" s="49">
        <f t="shared" si="25"/>
        <v>0</v>
      </c>
      <c r="H408" s="49" t="str">
        <f t="shared" si="26"/>
        <v>ครบ</v>
      </c>
      <c r="I408" s="49"/>
      <c r="J408" s="49" t="e">
        <f>VLOOKUP(I408,Sheet2!$B$10:$C$18,2,FALSE)</f>
        <v>#N/A</v>
      </c>
      <c r="K408" s="67"/>
      <c r="L408" s="49"/>
      <c r="M408" s="49" t="e">
        <f>VLOOKUP(L408,Sheet2!$B$10:$C$18,2,FALSE)</f>
        <v>#N/A</v>
      </c>
      <c r="N408" s="67"/>
      <c r="O408" s="49"/>
      <c r="P408" s="49" t="e">
        <f>VLOOKUP(O408,Sheet2!$B$10:$C$18,2,FALSE)</f>
        <v>#N/A</v>
      </c>
      <c r="Q408" s="67"/>
      <c r="R408" s="49"/>
      <c r="S408" s="49" t="e">
        <f>VLOOKUP(R408,Sheet2!$B$10:$C$18,2,FALSE)</f>
        <v>#N/A</v>
      </c>
      <c r="T408" s="67"/>
      <c r="U408" s="67">
        <f t="shared" si="24"/>
        <v>0</v>
      </c>
      <c r="V408" s="67"/>
      <c r="W408" s="67"/>
      <c r="X408" s="67"/>
      <c r="Y408" s="66"/>
      <c r="Z408" s="66"/>
      <c r="AA408" s="66"/>
      <c r="AB408" s="66"/>
      <c r="AC408" s="66"/>
      <c r="AD408" s="42" t="str">
        <f t="shared" si="23"/>
        <v>ทันกำหนด</v>
      </c>
      <c r="AE408" s="43"/>
      <c r="AF408" s="43"/>
      <c r="AG408" s="43"/>
      <c r="AH408" s="44"/>
    </row>
    <row r="409" spans="1:34" ht="27.75" customHeight="1">
      <c r="A409" s="41">
        <v>406</v>
      </c>
      <c r="B409" s="66"/>
      <c r="C409" s="48"/>
      <c r="D409" s="48"/>
      <c r="E409" s="49"/>
      <c r="F409" s="49"/>
      <c r="G409" s="49">
        <f t="shared" si="25"/>
        <v>0</v>
      </c>
      <c r="H409" s="49" t="str">
        <f t="shared" si="26"/>
        <v>ครบ</v>
      </c>
      <c r="I409" s="49"/>
      <c r="J409" s="49" t="e">
        <f>VLOOKUP(I409,Sheet2!$B$10:$C$18,2,FALSE)</f>
        <v>#N/A</v>
      </c>
      <c r="K409" s="67"/>
      <c r="L409" s="49"/>
      <c r="M409" s="49" t="e">
        <f>VLOOKUP(L409,Sheet2!$B$10:$C$18,2,FALSE)</f>
        <v>#N/A</v>
      </c>
      <c r="N409" s="67"/>
      <c r="O409" s="49"/>
      <c r="P409" s="49" t="e">
        <f>VLOOKUP(O409,Sheet2!$B$10:$C$18,2,FALSE)</f>
        <v>#N/A</v>
      </c>
      <c r="Q409" s="67"/>
      <c r="R409" s="49"/>
      <c r="S409" s="49" t="e">
        <f>VLOOKUP(R409,Sheet2!$B$10:$C$18,2,FALSE)</f>
        <v>#N/A</v>
      </c>
      <c r="T409" s="67"/>
      <c r="U409" s="67">
        <f t="shared" si="24"/>
        <v>0</v>
      </c>
      <c r="V409" s="67"/>
      <c r="W409" s="67"/>
      <c r="X409" s="67"/>
      <c r="Y409" s="66"/>
      <c r="Z409" s="66"/>
      <c r="AA409" s="66"/>
      <c r="AB409" s="66"/>
      <c r="AC409" s="66"/>
      <c r="AD409" s="42" t="str">
        <f t="shared" si="23"/>
        <v>ทันกำหนด</v>
      </c>
      <c r="AE409" s="43"/>
      <c r="AF409" s="43"/>
      <c r="AG409" s="43"/>
      <c r="AH409" s="44"/>
    </row>
    <row r="410" spans="1:34" ht="27.75" customHeight="1">
      <c r="A410" s="41">
        <v>407</v>
      </c>
      <c r="B410" s="66"/>
      <c r="C410" s="48"/>
      <c r="D410" s="48"/>
      <c r="E410" s="49"/>
      <c r="F410" s="49"/>
      <c r="G410" s="49">
        <f t="shared" si="25"/>
        <v>0</v>
      </c>
      <c r="H410" s="49" t="str">
        <f t="shared" si="26"/>
        <v>ครบ</v>
      </c>
      <c r="I410" s="49"/>
      <c r="J410" s="49" t="e">
        <f>VLOOKUP(I410,Sheet2!$B$10:$C$18,2,FALSE)</f>
        <v>#N/A</v>
      </c>
      <c r="K410" s="67"/>
      <c r="L410" s="49"/>
      <c r="M410" s="49" t="e">
        <f>VLOOKUP(L410,Sheet2!$B$10:$C$18,2,FALSE)</f>
        <v>#N/A</v>
      </c>
      <c r="N410" s="67"/>
      <c r="O410" s="49"/>
      <c r="P410" s="49" t="e">
        <f>VLOOKUP(O410,Sheet2!$B$10:$C$18,2,FALSE)</f>
        <v>#N/A</v>
      </c>
      <c r="Q410" s="67"/>
      <c r="R410" s="49"/>
      <c r="S410" s="49" t="e">
        <f>VLOOKUP(R410,Sheet2!$B$10:$C$18,2,FALSE)</f>
        <v>#N/A</v>
      </c>
      <c r="T410" s="67"/>
      <c r="U410" s="67">
        <f t="shared" si="24"/>
        <v>0</v>
      </c>
      <c r="V410" s="67"/>
      <c r="W410" s="67"/>
      <c r="X410" s="67"/>
      <c r="Y410" s="66"/>
      <c r="Z410" s="66"/>
      <c r="AA410" s="66"/>
      <c r="AB410" s="66"/>
      <c r="AC410" s="66"/>
      <c r="AD410" s="42" t="str">
        <f t="shared" si="23"/>
        <v>ทันกำหนด</v>
      </c>
      <c r="AE410" s="43"/>
      <c r="AF410" s="43"/>
      <c r="AG410" s="43"/>
      <c r="AH410" s="44"/>
    </row>
    <row r="411" spans="1:34" ht="27.75" customHeight="1">
      <c r="A411" s="41">
        <v>408</v>
      </c>
      <c r="B411" s="66"/>
      <c r="C411" s="48"/>
      <c r="D411" s="48"/>
      <c r="E411" s="49"/>
      <c r="F411" s="49"/>
      <c r="G411" s="49">
        <f t="shared" si="25"/>
        <v>0</v>
      </c>
      <c r="H411" s="49" t="str">
        <f t="shared" si="26"/>
        <v>ครบ</v>
      </c>
      <c r="I411" s="49"/>
      <c r="J411" s="49" t="e">
        <f>VLOOKUP(I411,Sheet2!$B$10:$C$18,2,FALSE)</f>
        <v>#N/A</v>
      </c>
      <c r="K411" s="67"/>
      <c r="L411" s="49"/>
      <c r="M411" s="49" t="e">
        <f>VLOOKUP(L411,Sheet2!$B$10:$C$18,2,FALSE)</f>
        <v>#N/A</v>
      </c>
      <c r="N411" s="67"/>
      <c r="O411" s="49"/>
      <c r="P411" s="49" t="e">
        <f>VLOOKUP(O411,Sheet2!$B$10:$C$18,2,FALSE)</f>
        <v>#N/A</v>
      </c>
      <c r="Q411" s="67"/>
      <c r="R411" s="49"/>
      <c r="S411" s="49" t="e">
        <f>VLOOKUP(R411,Sheet2!$B$10:$C$18,2,FALSE)</f>
        <v>#N/A</v>
      </c>
      <c r="T411" s="67"/>
      <c r="U411" s="67">
        <f t="shared" si="24"/>
        <v>0</v>
      </c>
      <c r="V411" s="67"/>
      <c r="W411" s="67"/>
      <c r="X411" s="67"/>
      <c r="Y411" s="66"/>
      <c r="Z411" s="66"/>
      <c r="AA411" s="66"/>
      <c r="AB411" s="66"/>
      <c r="AC411" s="66"/>
      <c r="AD411" s="42" t="str">
        <f t="shared" si="23"/>
        <v>ทันกำหนด</v>
      </c>
      <c r="AE411" s="43"/>
      <c r="AF411" s="43"/>
      <c r="AG411" s="43"/>
      <c r="AH411" s="44"/>
    </row>
    <row r="412" spans="1:34" ht="27.75" customHeight="1">
      <c r="A412" s="41">
        <v>409</v>
      </c>
      <c r="B412" s="66"/>
      <c r="C412" s="48"/>
      <c r="D412" s="48"/>
      <c r="E412" s="49"/>
      <c r="F412" s="49"/>
      <c r="G412" s="49">
        <f t="shared" si="25"/>
        <v>0</v>
      </c>
      <c r="H412" s="49" t="str">
        <f t="shared" si="26"/>
        <v>ครบ</v>
      </c>
      <c r="I412" s="49"/>
      <c r="J412" s="49" t="e">
        <f>VLOOKUP(I412,Sheet2!$B$10:$C$18,2,FALSE)</f>
        <v>#N/A</v>
      </c>
      <c r="K412" s="67"/>
      <c r="L412" s="49"/>
      <c r="M412" s="49" t="e">
        <f>VLOOKUP(L412,Sheet2!$B$10:$C$18,2,FALSE)</f>
        <v>#N/A</v>
      </c>
      <c r="N412" s="67"/>
      <c r="O412" s="49"/>
      <c r="P412" s="49" t="e">
        <f>VLOOKUP(O412,Sheet2!$B$10:$C$18,2,FALSE)</f>
        <v>#N/A</v>
      </c>
      <c r="Q412" s="67"/>
      <c r="R412" s="49"/>
      <c r="S412" s="49" t="e">
        <f>VLOOKUP(R412,Sheet2!$B$10:$C$18,2,FALSE)</f>
        <v>#N/A</v>
      </c>
      <c r="T412" s="67"/>
      <c r="U412" s="67">
        <f t="shared" si="24"/>
        <v>0</v>
      </c>
      <c r="V412" s="67"/>
      <c r="W412" s="67"/>
      <c r="X412" s="67"/>
      <c r="Y412" s="66"/>
      <c r="Z412" s="66"/>
      <c r="AA412" s="66"/>
      <c r="AB412" s="66"/>
      <c r="AC412" s="66"/>
      <c r="AD412" s="42" t="str">
        <f t="shared" si="23"/>
        <v>ทันกำหนด</v>
      </c>
      <c r="AE412" s="43"/>
      <c r="AF412" s="43"/>
      <c r="AG412" s="43"/>
      <c r="AH412" s="44"/>
    </row>
    <row r="413" spans="1:34" ht="27.75" customHeight="1">
      <c r="A413" s="41">
        <v>410</v>
      </c>
      <c r="B413" s="66"/>
      <c r="C413" s="48"/>
      <c r="D413" s="48"/>
      <c r="E413" s="49"/>
      <c r="F413" s="49"/>
      <c r="G413" s="49">
        <f t="shared" si="25"/>
        <v>0</v>
      </c>
      <c r="H413" s="49" t="str">
        <f t="shared" si="26"/>
        <v>ครบ</v>
      </c>
      <c r="I413" s="49"/>
      <c r="J413" s="49" t="e">
        <f>VLOOKUP(I413,Sheet2!$B$10:$C$18,2,FALSE)</f>
        <v>#N/A</v>
      </c>
      <c r="K413" s="67"/>
      <c r="L413" s="49"/>
      <c r="M413" s="49" t="e">
        <f>VLOOKUP(L413,Sheet2!$B$10:$C$18,2,FALSE)</f>
        <v>#N/A</v>
      </c>
      <c r="N413" s="67"/>
      <c r="O413" s="49"/>
      <c r="P413" s="49" t="e">
        <f>VLOOKUP(O413,Sheet2!$B$10:$C$18,2,FALSE)</f>
        <v>#N/A</v>
      </c>
      <c r="Q413" s="67"/>
      <c r="R413" s="49"/>
      <c r="S413" s="49" t="e">
        <f>VLOOKUP(R413,Sheet2!$B$10:$C$18,2,FALSE)</f>
        <v>#N/A</v>
      </c>
      <c r="T413" s="67"/>
      <c r="U413" s="67">
        <f t="shared" si="24"/>
        <v>0</v>
      </c>
      <c r="V413" s="67"/>
      <c r="W413" s="67"/>
      <c r="X413" s="67"/>
      <c r="Y413" s="66"/>
      <c r="Z413" s="66"/>
      <c r="AA413" s="66"/>
      <c r="AB413" s="66"/>
      <c r="AC413" s="66"/>
      <c r="AD413" s="42" t="str">
        <f t="shared" si="23"/>
        <v>ทันกำหนด</v>
      </c>
      <c r="AE413" s="43"/>
      <c r="AF413" s="43"/>
      <c r="AG413" s="43"/>
      <c r="AH413" s="44"/>
    </row>
    <row r="414" spans="1:34" ht="27.75" customHeight="1">
      <c r="A414" s="41">
        <v>411</v>
      </c>
      <c r="B414" s="66"/>
      <c r="C414" s="48"/>
      <c r="D414" s="48"/>
      <c r="E414" s="49"/>
      <c r="F414" s="49"/>
      <c r="G414" s="49">
        <f t="shared" si="25"/>
        <v>0</v>
      </c>
      <c r="H414" s="49" t="str">
        <f t="shared" si="26"/>
        <v>ครบ</v>
      </c>
      <c r="I414" s="49"/>
      <c r="J414" s="49" t="e">
        <f>VLOOKUP(I414,Sheet2!$B$10:$C$18,2,FALSE)</f>
        <v>#N/A</v>
      </c>
      <c r="K414" s="67"/>
      <c r="L414" s="49"/>
      <c r="M414" s="49" t="e">
        <f>VLOOKUP(L414,Sheet2!$B$10:$C$18,2,FALSE)</f>
        <v>#N/A</v>
      </c>
      <c r="N414" s="67"/>
      <c r="O414" s="49"/>
      <c r="P414" s="49" t="e">
        <f>VLOOKUP(O414,Sheet2!$B$10:$C$18,2,FALSE)</f>
        <v>#N/A</v>
      </c>
      <c r="Q414" s="67"/>
      <c r="R414" s="49"/>
      <c r="S414" s="49" t="e">
        <f>VLOOKUP(R414,Sheet2!$B$10:$C$18,2,FALSE)</f>
        <v>#N/A</v>
      </c>
      <c r="T414" s="67"/>
      <c r="U414" s="67">
        <f t="shared" si="24"/>
        <v>0</v>
      </c>
      <c r="V414" s="67"/>
      <c r="W414" s="67"/>
      <c r="X414" s="67"/>
      <c r="Y414" s="66"/>
      <c r="Z414" s="66"/>
      <c r="AA414" s="66"/>
      <c r="AB414" s="66"/>
      <c r="AC414" s="66"/>
      <c r="AD414" s="42" t="str">
        <f t="shared" si="23"/>
        <v>ทันกำหนด</v>
      </c>
      <c r="AE414" s="43"/>
      <c r="AF414" s="43"/>
      <c r="AG414" s="43"/>
      <c r="AH414" s="44"/>
    </row>
    <row r="415" spans="1:34" ht="27.75" customHeight="1">
      <c r="A415" s="41">
        <v>412</v>
      </c>
      <c r="B415" s="66"/>
      <c r="C415" s="48"/>
      <c r="D415" s="48"/>
      <c r="E415" s="49"/>
      <c r="F415" s="49"/>
      <c r="G415" s="49">
        <f t="shared" si="25"/>
        <v>0</v>
      </c>
      <c r="H415" s="49" t="str">
        <f t="shared" si="26"/>
        <v>ครบ</v>
      </c>
      <c r="I415" s="49"/>
      <c r="J415" s="49" t="e">
        <f>VLOOKUP(I415,Sheet2!$B$10:$C$18,2,FALSE)</f>
        <v>#N/A</v>
      </c>
      <c r="K415" s="67"/>
      <c r="L415" s="49"/>
      <c r="M415" s="49" t="e">
        <f>VLOOKUP(L415,Sheet2!$B$10:$C$18,2,FALSE)</f>
        <v>#N/A</v>
      </c>
      <c r="N415" s="67"/>
      <c r="O415" s="49"/>
      <c r="P415" s="49" t="e">
        <f>VLOOKUP(O415,Sheet2!$B$10:$C$18,2,FALSE)</f>
        <v>#N/A</v>
      </c>
      <c r="Q415" s="67"/>
      <c r="R415" s="49"/>
      <c r="S415" s="49" t="e">
        <f>VLOOKUP(R415,Sheet2!$B$10:$C$18,2,FALSE)</f>
        <v>#N/A</v>
      </c>
      <c r="T415" s="67"/>
      <c r="U415" s="67">
        <f t="shared" si="24"/>
        <v>0</v>
      </c>
      <c r="V415" s="67"/>
      <c r="W415" s="67"/>
      <c r="X415" s="67"/>
      <c r="Y415" s="66"/>
      <c r="Z415" s="66"/>
      <c r="AA415" s="66"/>
      <c r="AB415" s="66"/>
      <c r="AC415" s="66"/>
      <c r="AD415" s="42" t="str">
        <f t="shared" si="23"/>
        <v>ทันกำหนด</v>
      </c>
      <c r="AE415" s="43"/>
      <c r="AF415" s="43"/>
      <c r="AG415" s="43"/>
      <c r="AH415" s="44"/>
    </row>
    <row r="416" spans="1:34" ht="27.75" customHeight="1">
      <c r="A416" s="41">
        <v>413</v>
      </c>
      <c r="B416" s="66"/>
      <c r="C416" s="48"/>
      <c r="D416" s="48"/>
      <c r="E416" s="49"/>
      <c r="F416" s="49"/>
      <c r="G416" s="49">
        <f t="shared" si="25"/>
        <v>0</v>
      </c>
      <c r="H416" s="49" t="str">
        <f t="shared" si="26"/>
        <v>ครบ</v>
      </c>
      <c r="I416" s="49"/>
      <c r="J416" s="49" t="e">
        <f>VLOOKUP(I416,Sheet2!$B$10:$C$18,2,FALSE)</f>
        <v>#N/A</v>
      </c>
      <c r="K416" s="67"/>
      <c r="L416" s="49"/>
      <c r="M416" s="49" t="e">
        <f>VLOOKUP(L416,Sheet2!$B$10:$C$18,2,FALSE)</f>
        <v>#N/A</v>
      </c>
      <c r="N416" s="67"/>
      <c r="O416" s="49"/>
      <c r="P416" s="49" t="e">
        <f>VLOOKUP(O416,Sheet2!$B$10:$C$18,2,FALSE)</f>
        <v>#N/A</v>
      </c>
      <c r="Q416" s="67"/>
      <c r="R416" s="49"/>
      <c r="S416" s="49" t="e">
        <f>VLOOKUP(R416,Sheet2!$B$10:$C$18,2,FALSE)</f>
        <v>#N/A</v>
      </c>
      <c r="T416" s="67"/>
      <c r="U416" s="67">
        <f t="shared" si="24"/>
        <v>0</v>
      </c>
      <c r="V416" s="67"/>
      <c r="W416" s="67"/>
      <c r="X416" s="67"/>
      <c r="Y416" s="66"/>
      <c r="Z416" s="66"/>
      <c r="AA416" s="66"/>
      <c r="AB416" s="66"/>
      <c r="AC416" s="66"/>
      <c r="AD416" s="42" t="str">
        <f t="shared" si="23"/>
        <v>ทันกำหนด</v>
      </c>
      <c r="AE416" s="43"/>
      <c r="AF416" s="43"/>
      <c r="AG416" s="43"/>
      <c r="AH416" s="44"/>
    </row>
    <row r="417" spans="1:34" ht="27.75" customHeight="1">
      <c r="A417" s="41">
        <v>414</v>
      </c>
      <c r="B417" s="66"/>
      <c r="C417" s="48"/>
      <c r="D417" s="48"/>
      <c r="E417" s="49"/>
      <c r="F417" s="49"/>
      <c r="G417" s="49">
        <f t="shared" si="25"/>
        <v>0</v>
      </c>
      <c r="H417" s="49" t="str">
        <f t="shared" si="26"/>
        <v>ครบ</v>
      </c>
      <c r="I417" s="49"/>
      <c r="J417" s="49" t="e">
        <f>VLOOKUP(I417,Sheet2!$B$10:$C$18,2,FALSE)</f>
        <v>#N/A</v>
      </c>
      <c r="K417" s="67"/>
      <c r="L417" s="49"/>
      <c r="M417" s="49" t="e">
        <f>VLOOKUP(L417,Sheet2!$B$10:$C$18,2,FALSE)</f>
        <v>#N/A</v>
      </c>
      <c r="N417" s="67"/>
      <c r="O417" s="49"/>
      <c r="P417" s="49" t="e">
        <f>VLOOKUP(O417,Sheet2!$B$10:$C$18,2,FALSE)</f>
        <v>#N/A</v>
      </c>
      <c r="Q417" s="67"/>
      <c r="R417" s="49"/>
      <c r="S417" s="49" t="e">
        <f>VLOOKUP(R417,Sheet2!$B$10:$C$18,2,FALSE)</f>
        <v>#N/A</v>
      </c>
      <c r="T417" s="67"/>
      <c r="U417" s="67">
        <f t="shared" si="24"/>
        <v>0</v>
      </c>
      <c r="V417" s="67"/>
      <c r="W417" s="67"/>
      <c r="X417" s="67"/>
      <c r="Y417" s="66"/>
      <c r="Z417" s="66"/>
      <c r="AA417" s="66"/>
      <c r="AB417" s="66"/>
      <c r="AC417" s="66"/>
      <c r="AD417" s="42" t="str">
        <f t="shared" si="23"/>
        <v>ทันกำหนด</v>
      </c>
      <c r="AE417" s="43"/>
      <c r="AF417" s="43"/>
      <c r="AG417" s="43"/>
      <c r="AH417" s="44"/>
    </row>
    <row r="418" spans="1:34" ht="27.75" customHeight="1">
      <c r="A418" s="41">
        <v>415</v>
      </c>
      <c r="B418" s="66"/>
      <c r="C418" s="48"/>
      <c r="D418" s="48"/>
      <c r="E418" s="49"/>
      <c r="F418" s="49"/>
      <c r="G418" s="49">
        <f t="shared" si="25"/>
        <v>0</v>
      </c>
      <c r="H418" s="49" t="str">
        <f t="shared" si="26"/>
        <v>ครบ</v>
      </c>
      <c r="I418" s="49"/>
      <c r="J418" s="49" t="e">
        <f>VLOOKUP(I418,Sheet2!$B$10:$C$18,2,FALSE)</f>
        <v>#N/A</v>
      </c>
      <c r="K418" s="67"/>
      <c r="L418" s="49"/>
      <c r="M418" s="49" t="e">
        <f>VLOOKUP(L418,Sheet2!$B$10:$C$18,2,FALSE)</f>
        <v>#N/A</v>
      </c>
      <c r="N418" s="67"/>
      <c r="O418" s="49"/>
      <c r="P418" s="49" t="e">
        <f>VLOOKUP(O418,Sheet2!$B$10:$C$18,2,FALSE)</f>
        <v>#N/A</v>
      </c>
      <c r="Q418" s="67"/>
      <c r="R418" s="49"/>
      <c r="S418" s="49" t="e">
        <f>VLOOKUP(R418,Sheet2!$B$10:$C$18,2,FALSE)</f>
        <v>#N/A</v>
      </c>
      <c r="T418" s="67"/>
      <c r="U418" s="67">
        <f t="shared" si="24"/>
        <v>0</v>
      </c>
      <c r="V418" s="67"/>
      <c r="W418" s="67"/>
      <c r="X418" s="67"/>
      <c r="Y418" s="66"/>
      <c r="Z418" s="66"/>
      <c r="AA418" s="66"/>
      <c r="AB418" s="66"/>
      <c r="AC418" s="66"/>
      <c r="AD418" s="42" t="str">
        <f t="shared" si="23"/>
        <v>ทันกำหนด</v>
      </c>
      <c r="AE418" s="43"/>
      <c r="AF418" s="43"/>
      <c r="AG418" s="43"/>
      <c r="AH418" s="44"/>
    </row>
    <row r="419" spans="1:34" ht="27.75" customHeight="1">
      <c r="A419" s="41">
        <v>416</v>
      </c>
      <c r="B419" s="66"/>
      <c r="C419" s="48"/>
      <c r="D419" s="48"/>
      <c r="E419" s="49"/>
      <c r="F419" s="49"/>
      <c r="G419" s="49">
        <f t="shared" si="25"/>
        <v>0</v>
      </c>
      <c r="H419" s="49" t="str">
        <f t="shared" si="26"/>
        <v>ครบ</v>
      </c>
      <c r="I419" s="49"/>
      <c r="J419" s="49" t="e">
        <f>VLOOKUP(I419,Sheet2!$B$10:$C$18,2,FALSE)</f>
        <v>#N/A</v>
      </c>
      <c r="K419" s="67"/>
      <c r="L419" s="49"/>
      <c r="M419" s="49" t="e">
        <f>VLOOKUP(L419,Sheet2!$B$10:$C$18,2,FALSE)</f>
        <v>#N/A</v>
      </c>
      <c r="N419" s="67"/>
      <c r="O419" s="49"/>
      <c r="P419" s="49" t="e">
        <f>VLOOKUP(O419,Sheet2!$B$10:$C$18,2,FALSE)</f>
        <v>#N/A</v>
      </c>
      <c r="Q419" s="67"/>
      <c r="R419" s="49"/>
      <c r="S419" s="49" t="e">
        <f>VLOOKUP(R419,Sheet2!$B$10:$C$18,2,FALSE)</f>
        <v>#N/A</v>
      </c>
      <c r="T419" s="67"/>
      <c r="U419" s="67">
        <f t="shared" si="24"/>
        <v>0</v>
      </c>
      <c r="V419" s="67"/>
      <c r="W419" s="67"/>
      <c r="X419" s="67"/>
      <c r="Y419" s="66"/>
      <c r="Z419" s="66"/>
      <c r="AA419" s="66"/>
      <c r="AB419" s="66"/>
      <c r="AC419" s="66"/>
      <c r="AD419" s="42" t="str">
        <f t="shared" si="23"/>
        <v>ทันกำหนด</v>
      </c>
      <c r="AE419" s="43"/>
      <c r="AF419" s="43"/>
      <c r="AG419" s="43"/>
      <c r="AH419" s="44"/>
    </row>
    <row r="420" spans="1:34" ht="27.75" customHeight="1">
      <c r="A420" s="41">
        <v>417</v>
      </c>
      <c r="B420" s="66"/>
      <c r="C420" s="48"/>
      <c r="D420" s="48"/>
      <c r="E420" s="49"/>
      <c r="F420" s="49"/>
      <c r="G420" s="49">
        <f t="shared" si="25"/>
        <v>0</v>
      </c>
      <c r="H420" s="49" t="str">
        <f t="shared" si="26"/>
        <v>ครบ</v>
      </c>
      <c r="I420" s="49"/>
      <c r="J420" s="49" t="e">
        <f>VLOOKUP(I420,Sheet2!$B$10:$C$18,2,FALSE)</f>
        <v>#N/A</v>
      </c>
      <c r="K420" s="67"/>
      <c r="L420" s="49"/>
      <c r="M420" s="49" t="e">
        <f>VLOOKUP(L420,Sheet2!$B$10:$C$18,2,FALSE)</f>
        <v>#N/A</v>
      </c>
      <c r="N420" s="67"/>
      <c r="O420" s="49"/>
      <c r="P420" s="49" t="e">
        <f>VLOOKUP(O420,Sheet2!$B$10:$C$18,2,FALSE)</f>
        <v>#N/A</v>
      </c>
      <c r="Q420" s="67"/>
      <c r="R420" s="49"/>
      <c r="S420" s="49" t="e">
        <f>VLOOKUP(R420,Sheet2!$B$10:$C$18,2,FALSE)</f>
        <v>#N/A</v>
      </c>
      <c r="T420" s="67"/>
      <c r="U420" s="67">
        <f t="shared" si="24"/>
        <v>0</v>
      </c>
      <c r="V420" s="67"/>
      <c r="W420" s="67"/>
      <c r="X420" s="67"/>
      <c r="Y420" s="66"/>
      <c r="Z420" s="66"/>
      <c r="AA420" s="66"/>
      <c r="AB420" s="66"/>
      <c r="AC420" s="66"/>
      <c r="AD420" s="42" t="str">
        <f t="shared" si="23"/>
        <v>ทันกำหนด</v>
      </c>
      <c r="AE420" s="43"/>
      <c r="AF420" s="43"/>
      <c r="AG420" s="43"/>
      <c r="AH420" s="44"/>
    </row>
    <row r="421" spans="1:34" ht="27.75" customHeight="1">
      <c r="A421" s="41">
        <v>418</v>
      </c>
      <c r="B421" s="66"/>
      <c r="C421" s="48"/>
      <c r="D421" s="48"/>
      <c r="E421" s="49"/>
      <c r="F421" s="49"/>
      <c r="G421" s="49">
        <f t="shared" si="25"/>
        <v>0</v>
      </c>
      <c r="H421" s="49" t="str">
        <f t="shared" si="26"/>
        <v>ครบ</v>
      </c>
      <c r="I421" s="49"/>
      <c r="J421" s="49" t="e">
        <f>VLOOKUP(I421,Sheet2!$B$10:$C$18,2,FALSE)</f>
        <v>#N/A</v>
      </c>
      <c r="K421" s="67"/>
      <c r="L421" s="49"/>
      <c r="M421" s="49" t="e">
        <f>VLOOKUP(L421,Sheet2!$B$10:$C$18,2,FALSE)</f>
        <v>#N/A</v>
      </c>
      <c r="N421" s="67"/>
      <c r="O421" s="49"/>
      <c r="P421" s="49" t="e">
        <f>VLOOKUP(O421,Sheet2!$B$10:$C$18,2,FALSE)</f>
        <v>#N/A</v>
      </c>
      <c r="Q421" s="67"/>
      <c r="R421" s="49"/>
      <c r="S421" s="49" t="e">
        <f>VLOOKUP(R421,Sheet2!$B$10:$C$18,2,FALSE)</f>
        <v>#N/A</v>
      </c>
      <c r="T421" s="67"/>
      <c r="U421" s="67">
        <f t="shared" si="24"/>
        <v>0</v>
      </c>
      <c r="V421" s="67"/>
      <c r="W421" s="67"/>
      <c r="X421" s="67"/>
      <c r="Y421" s="66"/>
      <c r="Z421" s="66"/>
      <c r="AA421" s="66"/>
      <c r="AB421" s="66"/>
      <c r="AC421" s="66"/>
      <c r="AD421" s="42" t="str">
        <f t="shared" si="23"/>
        <v>ทันกำหนด</v>
      </c>
      <c r="AE421" s="43"/>
      <c r="AF421" s="43"/>
      <c r="AG421" s="43"/>
      <c r="AH421" s="44"/>
    </row>
    <row r="422" spans="1:34" ht="27.75" customHeight="1">
      <c r="A422" s="41">
        <v>419</v>
      </c>
      <c r="B422" s="66"/>
      <c r="C422" s="48"/>
      <c r="D422" s="48"/>
      <c r="E422" s="49"/>
      <c r="F422" s="49"/>
      <c r="G422" s="49">
        <f t="shared" si="25"/>
        <v>0</v>
      </c>
      <c r="H422" s="49" t="str">
        <f t="shared" si="26"/>
        <v>ครบ</v>
      </c>
      <c r="I422" s="49"/>
      <c r="J422" s="49" t="e">
        <f>VLOOKUP(I422,Sheet2!$B$10:$C$18,2,FALSE)</f>
        <v>#N/A</v>
      </c>
      <c r="K422" s="67"/>
      <c r="L422" s="49"/>
      <c r="M422" s="49" t="e">
        <f>VLOOKUP(L422,Sheet2!$B$10:$C$18,2,FALSE)</f>
        <v>#N/A</v>
      </c>
      <c r="N422" s="67"/>
      <c r="O422" s="49"/>
      <c r="P422" s="49" t="e">
        <f>VLOOKUP(O422,Sheet2!$B$10:$C$18,2,FALSE)</f>
        <v>#N/A</v>
      </c>
      <c r="Q422" s="67"/>
      <c r="R422" s="49"/>
      <c r="S422" s="49" t="e">
        <f>VLOOKUP(R422,Sheet2!$B$10:$C$18,2,FALSE)</f>
        <v>#N/A</v>
      </c>
      <c r="T422" s="67"/>
      <c r="U422" s="67">
        <f t="shared" si="24"/>
        <v>0</v>
      </c>
      <c r="V422" s="67"/>
      <c r="W422" s="67"/>
      <c r="X422" s="67"/>
      <c r="Y422" s="66"/>
      <c r="Z422" s="66"/>
      <c r="AA422" s="66"/>
      <c r="AB422" s="66"/>
      <c r="AC422" s="66"/>
      <c r="AD422" s="42" t="str">
        <f t="shared" si="23"/>
        <v>ทันกำหนด</v>
      </c>
      <c r="AE422" s="43"/>
      <c r="AF422" s="43"/>
      <c r="AG422" s="43"/>
      <c r="AH422" s="44"/>
    </row>
    <row r="423" spans="1:34" ht="27.75" customHeight="1">
      <c r="A423" s="41">
        <v>420</v>
      </c>
      <c r="B423" s="66"/>
      <c r="C423" s="48"/>
      <c r="D423" s="48"/>
      <c r="E423" s="49"/>
      <c r="F423" s="49"/>
      <c r="G423" s="49">
        <f t="shared" si="25"/>
        <v>0</v>
      </c>
      <c r="H423" s="49" t="str">
        <f t="shared" si="26"/>
        <v>ครบ</v>
      </c>
      <c r="I423" s="49"/>
      <c r="J423" s="49" t="e">
        <f>VLOOKUP(I423,Sheet2!$B$10:$C$18,2,FALSE)</f>
        <v>#N/A</v>
      </c>
      <c r="K423" s="67"/>
      <c r="L423" s="49"/>
      <c r="M423" s="49" t="e">
        <f>VLOOKUP(L423,Sheet2!$B$10:$C$18,2,FALSE)</f>
        <v>#N/A</v>
      </c>
      <c r="N423" s="67"/>
      <c r="O423" s="49"/>
      <c r="P423" s="49" t="e">
        <f>VLOOKUP(O423,Sheet2!$B$10:$C$18,2,FALSE)</f>
        <v>#N/A</v>
      </c>
      <c r="Q423" s="67"/>
      <c r="R423" s="49"/>
      <c r="S423" s="49" t="e">
        <f>VLOOKUP(R423,Sheet2!$B$10:$C$18,2,FALSE)</f>
        <v>#N/A</v>
      </c>
      <c r="T423" s="67"/>
      <c r="U423" s="67">
        <f t="shared" si="24"/>
        <v>0</v>
      </c>
      <c r="V423" s="67"/>
      <c r="W423" s="67"/>
      <c r="X423" s="67"/>
      <c r="Y423" s="66"/>
      <c r="Z423" s="66"/>
      <c r="AA423" s="66"/>
      <c r="AB423" s="66"/>
      <c r="AC423" s="66"/>
      <c r="AD423" s="42" t="str">
        <f t="shared" si="23"/>
        <v>ทันกำหนด</v>
      </c>
      <c r="AE423" s="43"/>
      <c r="AF423" s="43"/>
      <c r="AG423" s="43"/>
      <c r="AH423" s="44"/>
    </row>
    <row r="424" spans="1:34" ht="27.75" customHeight="1">
      <c r="A424" s="41">
        <v>421</v>
      </c>
      <c r="B424" s="66"/>
      <c r="C424" s="48"/>
      <c r="D424" s="48"/>
      <c r="E424" s="49"/>
      <c r="F424" s="49"/>
      <c r="G424" s="49">
        <f t="shared" si="25"/>
        <v>0</v>
      </c>
      <c r="H424" s="49" t="str">
        <f t="shared" si="26"/>
        <v>ครบ</v>
      </c>
      <c r="I424" s="49"/>
      <c r="J424" s="49" t="e">
        <f>VLOOKUP(I424,Sheet2!$B$10:$C$18,2,FALSE)</f>
        <v>#N/A</v>
      </c>
      <c r="K424" s="67"/>
      <c r="L424" s="49"/>
      <c r="M424" s="49" t="e">
        <f>VLOOKUP(L424,Sheet2!$B$10:$C$18,2,FALSE)</f>
        <v>#N/A</v>
      </c>
      <c r="N424" s="67"/>
      <c r="O424" s="49"/>
      <c r="P424" s="49" t="e">
        <f>VLOOKUP(O424,Sheet2!$B$10:$C$18,2,FALSE)</f>
        <v>#N/A</v>
      </c>
      <c r="Q424" s="67"/>
      <c r="R424" s="49"/>
      <c r="S424" s="49" t="e">
        <f>VLOOKUP(R424,Sheet2!$B$10:$C$18,2,FALSE)</f>
        <v>#N/A</v>
      </c>
      <c r="T424" s="67"/>
      <c r="U424" s="67">
        <f t="shared" si="24"/>
        <v>0</v>
      </c>
      <c r="V424" s="67"/>
      <c r="W424" s="67"/>
      <c r="X424" s="67"/>
      <c r="Y424" s="66"/>
      <c r="Z424" s="66"/>
      <c r="AA424" s="66"/>
      <c r="AB424" s="66"/>
      <c r="AC424" s="66"/>
      <c r="AD424" s="42" t="str">
        <f t="shared" si="23"/>
        <v>ทันกำหนด</v>
      </c>
      <c r="AE424" s="43"/>
      <c r="AF424" s="43"/>
      <c r="AG424" s="43"/>
      <c r="AH424" s="44"/>
    </row>
    <row r="425" spans="1:34" ht="27.75" customHeight="1">
      <c r="A425" s="41">
        <v>422</v>
      </c>
      <c r="B425" s="66"/>
      <c r="C425" s="48"/>
      <c r="D425" s="48"/>
      <c r="E425" s="49"/>
      <c r="F425" s="49"/>
      <c r="G425" s="49">
        <f t="shared" si="25"/>
        <v>0</v>
      </c>
      <c r="H425" s="49" t="str">
        <f t="shared" si="26"/>
        <v>ครบ</v>
      </c>
      <c r="I425" s="49"/>
      <c r="J425" s="49" t="e">
        <f>VLOOKUP(I425,Sheet2!$B$10:$C$18,2,FALSE)</f>
        <v>#N/A</v>
      </c>
      <c r="K425" s="67"/>
      <c r="L425" s="49"/>
      <c r="M425" s="49" t="e">
        <f>VLOOKUP(L425,Sheet2!$B$10:$C$18,2,FALSE)</f>
        <v>#N/A</v>
      </c>
      <c r="N425" s="67"/>
      <c r="O425" s="49"/>
      <c r="P425" s="49" t="e">
        <f>VLOOKUP(O425,Sheet2!$B$10:$C$18,2,FALSE)</f>
        <v>#N/A</v>
      </c>
      <c r="Q425" s="67"/>
      <c r="R425" s="49"/>
      <c r="S425" s="49" t="e">
        <f>VLOOKUP(R425,Sheet2!$B$10:$C$18,2,FALSE)</f>
        <v>#N/A</v>
      </c>
      <c r="T425" s="67"/>
      <c r="U425" s="67">
        <f t="shared" si="24"/>
        <v>0</v>
      </c>
      <c r="V425" s="67"/>
      <c r="W425" s="67"/>
      <c r="X425" s="67"/>
      <c r="Y425" s="66"/>
      <c r="Z425" s="66"/>
      <c r="AA425" s="66"/>
      <c r="AB425" s="66"/>
      <c r="AC425" s="66"/>
      <c r="AD425" s="42" t="str">
        <f t="shared" si="23"/>
        <v>ทันกำหนด</v>
      </c>
      <c r="AE425" s="43"/>
      <c r="AF425" s="43"/>
      <c r="AG425" s="43"/>
      <c r="AH425" s="44"/>
    </row>
    <row r="426" spans="1:34" ht="27.75" customHeight="1">
      <c r="A426" s="41">
        <v>423</v>
      </c>
      <c r="B426" s="66"/>
      <c r="C426" s="48"/>
      <c r="D426" s="48"/>
      <c r="E426" s="49"/>
      <c r="F426" s="49"/>
      <c r="G426" s="49">
        <f t="shared" si="25"/>
        <v>0</v>
      </c>
      <c r="H426" s="49" t="str">
        <f t="shared" si="26"/>
        <v>ครบ</v>
      </c>
      <c r="I426" s="49"/>
      <c r="J426" s="49" t="e">
        <f>VLOOKUP(I426,Sheet2!$B$10:$C$18,2,FALSE)</f>
        <v>#N/A</v>
      </c>
      <c r="K426" s="67"/>
      <c r="L426" s="49"/>
      <c r="M426" s="49" t="e">
        <f>VLOOKUP(L426,Sheet2!$B$10:$C$18,2,FALSE)</f>
        <v>#N/A</v>
      </c>
      <c r="N426" s="67"/>
      <c r="O426" s="49"/>
      <c r="P426" s="49" t="e">
        <f>VLOOKUP(O426,Sheet2!$B$10:$C$18,2,FALSE)</f>
        <v>#N/A</v>
      </c>
      <c r="Q426" s="67"/>
      <c r="R426" s="49"/>
      <c r="S426" s="49" t="e">
        <f>VLOOKUP(R426,Sheet2!$B$10:$C$18,2,FALSE)</f>
        <v>#N/A</v>
      </c>
      <c r="T426" s="67"/>
      <c r="U426" s="67">
        <f t="shared" si="24"/>
        <v>0</v>
      </c>
      <c r="V426" s="67"/>
      <c r="W426" s="67"/>
      <c r="X426" s="67"/>
      <c r="Y426" s="66"/>
      <c r="Z426" s="66"/>
      <c r="AA426" s="66"/>
      <c r="AB426" s="66"/>
      <c r="AC426" s="66"/>
      <c r="AD426" s="42" t="str">
        <f t="shared" si="23"/>
        <v>ทันกำหนด</v>
      </c>
      <c r="AE426" s="43"/>
      <c r="AF426" s="43"/>
      <c r="AG426" s="43"/>
      <c r="AH426" s="44"/>
    </row>
    <row r="427" spans="1:34" ht="27.75" customHeight="1">
      <c r="A427" s="41">
        <v>424</v>
      </c>
      <c r="B427" s="66"/>
      <c r="C427" s="48"/>
      <c r="D427" s="48"/>
      <c r="E427" s="49"/>
      <c r="F427" s="49"/>
      <c r="G427" s="49">
        <f t="shared" si="25"/>
        <v>0</v>
      </c>
      <c r="H427" s="49" t="str">
        <f t="shared" si="26"/>
        <v>ครบ</v>
      </c>
      <c r="I427" s="49"/>
      <c r="J427" s="49" t="e">
        <f>VLOOKUP(I427,Sheet2!$B$10:$C$18,2,FALSE)</f>
        <v>#N/A</v>
      </c>
      <c r="K427" s="67"/>
      <c r="L427" s="49"/>
      <c r="M427" s="49" t="e">
        <f>VLOOKUP(L427,Sheet2!$B$10:$C$18,2,FALSE)</f>
        <v>#N/A</v>
      </c>
      <c r="N427" s="67"/>
      <c r="O427" s="49"/>
      <c r="P427" s="49" t="e">
        <f>VLOOKUP(O427,Sheet2!$B$10:$C$18,2,FALSE)</f>
        <v>#N/A</v>
      </c>
      <c r="Q427" s="67"/>
      <c r="R427" s="49"/>
      <c r="S427" s="49" t="e">
        <f>VLOOKUP(R427,Sheet2!$B$10:$C$18,2,FALSE)</f>
        <v>#N/A</v>
      </c>
      <c r="T427" s="67"/>
      <c r="U427" s="67">
        <f t="shared" si="24"/>
        <v>0</v>
      </c>
      <c r="V427" s="67"/>
      <c r="W427" s="67"/>
      <c r="X427" s="67"/>
      <c r="Y427" s="66"/>
      <c r="Z427" s="66"/>
      <c r="AA427" s="66"/>
      <c r="AB427" s="66"/>
      <c r="AC427" s="66"/>
      <c r="AD427" s="42" t="str">
        <f t="shared" si="23"/>
        <v>ทันกำหนด</v>
      </c>
      <c r="AE427" s="43"/>
      <c r="AF427" s="43"/>
      <c r="AG427" s="43"/>
      <c r="AH427" s="44"/>
    </row>
    <row r="428" spans="1:34" ht="27.75" customHeight="1">
      <c r="A428" s="41">
        <v>425</v>
      </c>
      <c r="B428" s="66"/>
      <c r="C428" s="48"/>
      <c r="D428" s="48"/>
      <c r="E428" s="49"/>
      <c r="F428" s="49"/>
      <c r="G428" s="49">
        <f t="shared" si="25"/>
        <v>0</v>
      </c>
      <c r="H428" s="49" t="str">
        <f t="shared" si="26"/>
        <v>ครบ</v>
      </c>
      <c r="I428" s="49"/>
      <c r="J428" s="49" t="e">
        <f>VLOOKUP(I428,Sheet2!$B$10:$C$18,2,FALSE)</f>
        <v>#N/A</v>
      </c>
      <c r="K428" s="67"/>
      <c r="L428" s="49"/>
      <c r="M428" s="49" t="e">
        <f>VLOOKUP(L428,Sheet2!$B$10:$C$18,2,FALSE)</f>
        <v>#N/A</v>
      </c>
      <c r="N428" s="67"/>
      <c r="O428" s="49"/>
      <c r="P428" s="49" t="e">
        <f>VLOOKUP(O428,Sheet2!$B$10:$C$18,2,FALSE)</f>
        <v>#N/A</v>
      </c>
      <c r="Q428" s="67"/>
      <c r="R428" s="49"/>
      <c r="S428" s="49" t="e">
        <f>VLOOKUP(R428,Sheet2!$B$10:$C$18,2,FALSE)</f>
        <v>#N/A</v>
      </c>
      <c r="T428" s="67"/>
      <c r="U428" s="67">
        <f t="shared" si="24"/>
        <v>0</v>
      </c>
      <c r="V428" s="67"/>
      <c r="W428" s="67"/>
      <c r="X428" s="67"/>
      <c r="Y428" s="66"/>
      <c r="Z428" s="66"/>
      <c r="AA428" s="66"/>
      <c r="AB428" s="66"/>
      <c r="AC428" s="66"/>
      <c r="AD428" s="42" t="str">
        <f t="shared" si="23"/>
        <v>ทันกำหนด</v>
      </c>
      <c r="AE428" s="43"/>
      <c r="AF428" s="43"/>
      <c r="AG428" s="43"/>
      <c r="AH428" s="44"/>
    </row>
    <row r="429" spans="1:34" ht="27.75" customHeight="1">
      <c r="A429" s="41">
        <v>426</v>
      </c>
      <c r="B429" s="66"/>
      <c r="C429" s="48"/>
      <c r="D429" s="48"/>
      <c r="E429" s="49"/>
      <c r="F429" s="49"/>
      <c r="G429" s="49">
        <f t="shared" si="25"/>
        <v>0</v>
      </c>
      <c r="H429" s="49" t="str">
        <f t="shared" si="26"/>
        <v>ครบ</v>
      </c>
      <c r="I429" s="49"/>
      <c r="J429" s="49" t="e">
        <f>VLOOKUP(I429,Sheet2!$B$10:$C$18,2,FALSE)</f>
        <v>#N/A</v>
      </c>
      <c r="K429" s="67"/>
      <c r="L429" s="49"/>
      <c r="M429" s="49" t="e">
        <f>VLOOKUP(L429,Sheet2!$B$10:$C$18,2,FALSE)</f>
        <v>#N/A</v>
      </c>
      <c r="N429" s="67"/>
      <c r="O429" s="49"/>
      <c r="P429" s="49" t="e">
        <f>VLOOKUP(O429,Sheet2!$B$10:$C$18,2,FALSE)</f>
        <v>#N/A</v>
      </c>
      <c r="Q429" s="67"/>
      <c r="R429" s="49"/>
      <c r="S429" s="49" t="e">
        <f>VLOOKUP(R429,Sheet2!$B$10:$C$18,2,FALSE)</f>
        <v>#N/A</v>
      </c>
      <c r="T429" s="67"/>
      <c r="U429" s="67">
        <f t="shared" si="24"/>
        <v>0</v>
      </c>
      <c r="V429" s="67"/>
      <c r="W429" s="67"/>
      <c r="X429" s="67"/>
      <c r="Y429" s="66"/>
      <c r="Z429" s="66"/>
      <c r="AA429" s="66"/>
      <c r="AB429" s="66"/>
      <c r="AC429" s="66"/>
      <c r="AD429" s="42" t="str">
        <f t="shared" si="23"/>
        <v>ทันกำหนด</v>
      </c>
      <c r="AE429" s="43"/>
      <c r="AF429" s="43"/>
      <c r="AG429" s="43"/>
      <c r="AH429" s="44"/>
    </row>
    <row r="430" spans="1:34" ht="27.75" customHeight="1">
      <c r="A430" s="41">
        <v>427</v>
      </c>
      <c r="B430" s="66"/>
      <c r="C430" s="48"/>
      <c r="D430" s="48"/>
      <c r="E430" s="49"/>
      <c r="F430" s="49"/>
      <c r="G430" s="49">
        <f t="shared" si="25"/>
        <v>0</v>
      </c>
      <c r="H430" s="49" t="str">
        <f t="shared" si="26"/>
        <v>ครบ</v>
      </c>
      <c r="I430" s="49"/>
      <c r="J430" s="49" t="e">
        <f>VLOOKUP(I430,Sheet2!$B$10:$C$18,2,FALSE)</f>
        <v>#N/A</v>
      </c>
      <c r="K430" s="67"/>
      <c r="L430" s="49"/>
      <c r="M430" s="49" t="e">
        <f>VLOOKUP(L430,Sheet2!$B$10:$C$18,2,FALSE)</f>
        <v>#N/A</v>
      </c>
      <c r="N430" s="67"/>
      <c r="O430" s="49"/>
      <c r="P430" s="49" t="e">
        <f>VLOOKUP(O430,Sheet2!$B$10:$C$18,2,FALSE)</f>
        <v>#N/A</v>
      </c>
      <c r="Q430" s="67"/>
      <c r="R430" s="49"/>
      <c r="S430" s="49" t="e">
        <f>VLOOKUP(R430,Sheet2!$B$10:$C$18,2,FALSE)</f>
        <v>#N/A</v>
      </c>
      <c r="T430" s="67"/>
      <c r="U430" s="67">
        <f t="shared" si="24"/>
        <v>0</v>
      </c>
      <c r="V430" s="67"/>
      <c r="W430" s="67"/>
      <c r="X430" s="67"/>
      <c r="Y430" s="66"/>
      <c r="Z430" s="66"/>
      <c r="AA430" s="66"/>
      <c r="AB430" s="66"/>
      <c r="AC430" s="66"/>
      <c r="AD430" s="42" t="str">
        <f t="shared" si="23"/>
        <v>ทันกำหนด</v>
      </c>
      <c r="AE430" s="43"/>
      <c r="AF430" s="43"/>
      <c r="AG430" s="43"/>
      <c r="AH430" s="44"/>
    </row>
    <row r="431" spans="1:34" ht="27.75" customHeight="1">
      <c r="A431" s="41">
        <v>428</v>
      </c>
      <c r="B431" s="66"/>
      <c r="C431" s="48"/>
      <c r="D431" s="48"/>
      <c r="E431" s="49"/>
      <c r="F431" s="49"/>
      <c r="G431" s="49">
        <f t="shared" si="25"/>
        <v>0</v>
      </c>
      <c r="H431" s="49" t="str">
        <f t="shared" si="26"/>
        <v>ครบ</v>
      </c>
      <c r="I431" s="49"/>
      <c r="J431" s="49" t="e">
        <f>VLOOKUP(I431,Sheet2!$B$10:$C$18,2,FALSE)</f>
        <v>#N/A</v>
      </c>
      <c r="K431" s="67"/>
      <c r="L431" s="49"/>
      <c r="M431" s="49" t="e">
        <f>VLOOKUP(L431,Sheet2!$B$10:$C$18,2,FALSE)</f>
        <v>#N/A</v>
      </c>
      <c r="N431" s="67"/>
      <c r="O431" s="49"/>
      <c r="P431" s="49" t="e">
        <f>VLOOKUP(O431,Sheet2!$B$10:$C$18,2,FALSE)</f>
        <v>#N/A</v>
      </c>
      <c r="Q431" s="67"/>
      <c r="R431" s="49"/>
      <c r="S431" s="49" t="e">
        <f>VLOOKUP(R431,Sheet2!$B$10:$C$18,2,FALSE)</f>
        <v>#N/A</v>
      </c>
      <c r="T431" s="67"/>
      <c r="U431" s="67">
        <f t="shared" si="24"/>
        <v>0</v>
      </c>
      <c r="V431" s="67"/>
      <c r="W431" s="67"/>
      <c r="X431" s="67"/>
      <c r="Y431" s="66"/>
      <c r="Z431" s="66"/>
      <c r="AA431" s="66"/>
      <c r="AB431" s="66"/>
      <c r="AC431" s="66"/>
      <c r="AD431" s="42" t="str">
        <f t="shared" si="23"/>
        <v>ทันกำหนด</v>
      </c>
      <c r="AE431" s="43"/>
      <c r="AF431" s="43"/>
      <c r="AG431" s="43"/>
      <c r="AH431" s="44"/>
    </row>
    <row r="432" spans="1:34" ht="27.75" customHeight="1">
      <c r="A432" s="41">
        <v>429</v>
      </c>
      <c r="B432" s="66"/>
      <c r="C432" s="48"/>
      <c r="D432" s="48"/>
      <c r="E432" s="49"/>
      <c r="F432" s="49"/>
      <c r="G432" s="49">
        <f t="shared" si="25"/>
        <v>0</v>
      </c>
      <c r="H432" s="49" t="str">
        <f t="shared" si="26"/>
        <v>ครบ</v>
      </c>
      <c r="I432" s="49"/>
      <c r="J432" s="49" t="e">
        <f>VLOOKUP(I432,Sheet2!$B$10:$C$18,2,FALSE)</f>
        <v>#N/A</v>
      </c>
      <c r="K432" s="67"/>
      <c r="L432" s="49"/>
      <c r="M432" s="49" t="e">
        <f>VLOOKUP(L432,Sheet2!$B$10:$C$18,2,FALSE)</f>
        <v>#N/A</v>
      </c>
      <c r="N432" s="67"/>
      <c r="O432" s="49"/>
      <c r="P432" s="49" t="e">
        <f>VLOOKUP(O432,Sheet2!$B$10:$C$18,2,FALSE)</f>
        <v>#N/A</v>
      </c>
      <c r="Q432" s="67"/>
      <c r="R432" s="49"/>
      <c r="S432" s="49" t="e">
        <f>VLOOKUP(R432,Sheet2!$B$10:$C$18,2,FALSE)</f>
        <v>#N/A</v>
      </c>
      <c r="T432" s="67"/>
      <c r="U432" s="67">
        <f t="shared" si="24"/>
        <v>0</v>
      </c>
      <c r="V432" s="67"/>
      <c r="W432" s="67"/>
      <c r="X432" s="67"/>
      <c r="Y432" s="66"/>
      <c r="Z432" s="66"/>
      <c r="AA432" s="66"/>
      <c r="AB432" s="66"/>
      <c r="AC432" s="66"/>
      <c r="AD432" s="42" t="str">
        <f t="shared" si="23"/>
        <v>ทันกำหนด</v>
      </c>
      <c r="AE432" s="43"/>
      <c r="AF432" s="43"/>
      <c r="AG432" s="43"/>
      <c r="AH432" s="44"/>
    </row>
    <row r="433" spans="1:34" ht="27.75" customHeight="1">
      <c r="A433" s="41">
        <v>430</v>
      </c>
      <c r="B433" s="66"/>
      <c r="C433" s="48"/>
      <c r="D433" s="48"/>
      <c r="E433" s="49"/>
      <c r="F433" s="49"/>
      <c r="G433" s="49">
        <f t="shared" si="25"/>
        <v>0</v>
      </c>
      <c r="H433" s="49" t="str">
        <f t="shared" si="26"/>
        <v>ครบ</v>
      </c>
      <c r="I433" s="49"/>
      <c r="J433" s="49" t="e">
        <f>VLOOKUP(I433,Sheet2!$B$10:$C$18,2,FALSE)</f>
        <v>#N/A</v>
      </c>
      <c r="K433" s="67"/>
      <c r="L433" s="49"/>
      <c r="M433" s="49" t="e">
        <f>VLOOKUP(L433,Sheet2!$B$10:$C$18,2,FALSE)</f>
        <v>#N/A</v>
      </c>
      <c r="N433" s="67"/>
      <c r="O433" s="49"/>
      <c r="P433" s="49" t="e">
        <f>VLOOKUP(O433,Sheet2!$B$10:$C$18,2,FALSE)</f>
        <v>#N/A</v>
      </c>
      <c r="Q433" s="67"/>
      <c r="R433" s="49"/>
      <c r="S433" s="49" t="e">
        <f>VLOOKUP(R433,Sheet2!$B$10:$C$18,2,FALSE)</f>
        <v>#N/A</v>
      </c>
      <c r="T433" s="67"/>
      <c r="U433" s="67">
        <f t="shared" si="24"/>
        <v>0</v>
      </c>
      <c r="V433" s="67"/>
      <c r="W433" s="67"/>
      <c r="X433" s="67"/>
      <c r="Y433" s="66"/>
      <c r="Z433" s="66"/>
      <c r="AA433" s="66"/>
      <c r="AB433" s="66"/>
      <c r="AC433" s="66"/>
      <c r="AD433" s="42" t="str">
        <f t="shared" si="23"/>
        <v>ทันกำหนด</v>
      </c>
      <c r="AE433" s="43"/>
      <c r="AF433" s="43"/>
      <c r="AG433" s="43"/>
      <c r="AH433" s="44"/>
    </row>
    <row r="434" spans="1:34" ht="27.75" customHeight="1">
      <c r="A434" s="41">
        <v>431</v>
      </c>
      <c r="B434" s="66"/>
      <c r="C434" s="48"/>
      <c r="D434" s="48"/>
      <c r="E434" s="49"/>
      <c r="F434" s="49"/>
      <c r="G434" s="49">
        <f t="shared" si="25"/>
        <v>0</v>
      </c>
      <c r="H434" s="49" t="str">
        <f t="shared" si="26"/>
        <v>ครบ</v>
      </c>
      <c r="I434" s="49"/>
      <c r="J434" s="49" t="e">
        <f>VLOOKUP(I434,Sheet2!$B$10:$C$18,2,FALSE)</f>
        <v>#N/A</v>
      </c>
      <c r="K434" s="67"/>
      <c r="L434" s="49"/>
      <c r="M434" s="49" t="e">
        <f>VLOOKUP(L434,Sheet2!$B$10:$C$18,2,FALSE)</f>
        <v>#N/A</v>
      </c>
      <c r="N434" s="67"/>
      <c r="O434" s="49"/>
      <c r="P434" s="49" t="e">
        <f>VLOOKUP(O434,Sheet2!$B$10:$C$18,2,FALSE)</f>
        <v>#N/A</v>
      </c>
      <c r="Q434" s="67"/>
      <c r="R434" s="49"/>
      <c r="S434" s="49" t="e">
        <f>VLOOKUP(R434,Sheet2!$B$10:$C$18,2,FALSE)</f>
        <v>#N/A</v>
      </c>
      <c r="T434" s="67"/>
      <c r="U434" s="67">
        <f t="shared" si="24"/>
        <v>0</v>
      </c>
      <c r="V434" s="67"/>
      <c r="W434" s="67"/>
      <c r="X434" s="67"/>
      <c r="Y434" s="66"/>
      <c r="Z434" s="66"/>
      <c r="AA434" s="66"/>
      <c r="AB434" s="66"/>
      <c r="AC434" s="66"/>
      <c r="AD434" s="42" t="str">
        <f t="shared" si="23"/>
        <v>ทันกำหนด</v>
      </c>
      <c r="AE434" s="43"/>
      <c r="AF434" s="43"/>
      <c r="AG434" s="43"/>
      <c r="AH434" s="44"/>
    </row>
    <row r="435" spans="1:34" ht="27.75" customHeight="1">
      <c r="A435" s="41">
        <v>432</v>
      </c>
      <c r="B435" s="66"/>
      <c r="C435" s="48"/>
      <c r="D435" s="48"/>
      <c r="E435" s="49"/>
      <c r="F435" s="49"/>
      <c r="G435" s="49">
        <f t="shared" si="25"/>
        <v>0</v>
      </c>
      <c r="H435" s="49" t="str">
        <f t="shared" si="26"/>
        <v>ครบ</v>
      </c>
      <c r="I435" s="49"/>
      <c r="J435" s="49" t="e">
        <f>VLOOKUP(I435,Sheet2!$B$10:$C$18,2,FALSE)</f>
        <v>#N/A</v>
      </c>
      <c r="K435" s="67"/>
      <c r="L435" s="49"/>
      <c r="M435" s="49" t="e">
        <f>VLOOKUP(L435,Sheet2!$B$10:$C$18,2,FALSE)</f>
        <v>#N/A</v>
      </c>
      <c r="N435" s="67"/>
      <c r="O435" s="49"/>
      <c r="P435" s="49" t="e">
        <f>VLOOKUP(O435,Sheet2!$B$10:$C$18,2,FALSE)</f>
        <v>#N/A</v>
      </c>
      <c r="Q435" s="67"/>
      <c r="R435" s="49"/>
      <c r="S435" s="49" t="e">
        <f>VLOOKUP(R435,Sheet2!$B$10:$C$18,2,FALSE)</f>
        <v>#N/A</v>
      </c>
      <c r="T435" s="67"/>
      <c r="U435" s="67">
        <f t="shared" si="24"/>
        <v>0</v>
      </c>
      <c r="V435" s="67"/>
      <c r="W435" s="67"/>
      <c r="X435" s="67"/>
      <c r="Y435" s="66"/>
      <c r="Z435" s="66"/>
      <c r="AA435" s="66"/>
      <c r="AB435" s="66"/>
      <c r="AC435" s="66"/>
      <c r="AD435" s="42" t="str">
        <f t="shared" si="23"/>
        <v>ทันกำหนด</v>
      </c>
      <c r="AE435" s="43"/>
      <c r="AF435" s="43"/>
      <c r="AG435" s="43"/>
      <c r="AH435" s="44"/>
    </row>
    <row r="436" spans="1:34" ht="27.75" customHeight="1">
      <c r="A436" s="41">
        <v>433</v>
      </c>
      <c r="B436" s="66"/>
      <c r="C436" s="48"/>
      <c r="D436" s="48"/>
      <c r="E436" s="49"/>
      <c r="F436" s="49"/>
      <c r="G436" s="49">
        <f t="shared" si="25"/>
        <v>0</v>
      </c>
      <c r="H436" s="49" t="str">
        <f t="shared" si="26"/>
        <v>ครบ</v>
      </c>
      <c r="I436" s="49"/>
      <c r="J436" s="49" t="e">
        <f>VLOOKUP(I436,Sheet2!$B$10:$C$18,2,FALSE)</f>
        <v>#N/A</v>
      </c>
      <c r="K436" s="67"/>
      <c r="L436" s="49"/>
      <c r="M436" s="49" t="e">
        <f>VLOOKUP(L436,Sheet2!$B$10:$C$18,2,FALSE)</f>
        <v>#N/A</v>
      </c>
      <c r="N436" s="67"/>
      <c r="O436" s="49"/>
      <c r="P436" s="49" t="e">
        <f>VLOOKUP(O436,Sheet2!$B$10:$C$18,2,FALSE)</f>
        <v>#N/A</v>
      </c>
      <c r="Q436" s="67"/>
      <c r="R436" s="49"/>
      <c r="S436" s="49" t="e">
        <f>VLOOKUP(R436,Sheet2!$B$10:$C$18,2,FALSE)</f>
        <v>#N/A</v>
      </c>
      <c r="T436" s="67"/>
      <c r="U436" s="67">
        <f t="shared" si="24"/>
        <v>0</v>
      </c>
      <c r="V436" s="67"/>
      <c r="W436" s="67"/>
      <c r="X436" s="67"/>
      <c r="Y436" s="66"/>
      <c r="Z436" s="66"/>
      <c r="AA436" s="66"/>
      <c r="AB436" s="66"/>
      <c r="AC436" s="66"/>
      <c r="AD436" s="42" t="str">
        <f t="shared" si="23"/>
        <v>ทันกำหนด</v>
      </c>
      <c r="AE436" s="43"/>
      <c r="AF436" s="43"/>
      <c r="AG436" s="43"/>
      <c r="AH436" s="44"/>
    </row>
    <row r="437" spans="1:34" ht="27.75" customHeight="1">
      <c r="A437" s="41">
        <v>434</v>
      </c>
      <c r="B437" s="66"/>
      <c r="C437" s="48"/>
      <c r="D437" s="48"/>
      <c r="E437" s="49"/>
      <c r="F437" s="49"/>
      <c r="G437" s="49">
        <f t="shared" si="25"/>
        <v>0</v>
      </c>
      <c r="H437" s="49" t="str">
        <f t="shared" si="26"/>
        <v>ครบ</v>
      </c>
      <c r="I437" s="49"/>
      <c r="J437" s="49" t="e">
        <f>VLOOKUP(I437,Sheet2!$B$10:$C$18,2,FALSE)</f>
        <v>#N/A</v>
      </c>
      <c r="K437" s="67"/>
      <c r="L437" s="49"/>
      <c r="M437" s="49" t="e">
        <f>VLOOKUP(L437,Sheet2!$B$10:$C$18,2,FALSE)</f>
        <v>#N/A</v>
      </c>
      <c r="N437" s="67"/>
      <c r="O437" s="49"/>
      <c r="P437" s="49" t="e">
        <f>VLOOKUP(O437,Sheet2!$B$10:$C$18,2,FALSE)</f>
        <v>#N/A</v>
      </c>
      <c r="Q437" s="67"/>
      <c r="R437" s="49"/>
      <c r="S437" s="49" t="e">
        <f>VLOOKUP(R437,Sheet2!$B$10:$C$18,2,FALSE)</f>
        <v>#N/A</v>
      </c>
      <c r="T437" s="67"/>
      <c r="U437" s="67">
        <f t="shared" si="24"/>
        <v>0</v>
      </c>
      <c r="V437" s="67"/>
      <c r="W437" s="67"/>
      <c r="X437" s="67"/>
      <c r="Y437" s="66"/>
      <c r="Z437" s="66"/>
      <c r="AA437" s="66"/>
      <c r="AB437" s="66"/>
      <c r="AC437" s="66"/>
      <c r="AD437" s="42" t="str">
        <f t="shared" si="23"/>
        <v>ทันกำหนด</v>
      </c>
      <c r="AE437" s="43"/>
      <c r="AF437" s="43"/>
      <c r="AG437" s="43"/>
      <c r="AH437" s="44"/>
    </row>
    <row r="438" spans="1:34" ht="27.75" customHeight="1">
      <c r="A438" s="41">
        <v>435</v>
      </c>
      <c r="B438" s="66"/>
      <c r="C438" s="48"/>
      <c r="D438" s="48"/>
      <c r="E438" s="49"/>
      <c r="F438" s="49"/>
      <c r="G438" s="49">
        <f t="shared" si="25"/>
        <v>0</v>
      </c>
      <c r="H438" s="49" t="str">
        <f t="shared" si="26"/>
        <v>ครบ</v>
      </c>
      <c r="I438" s="49"/>
      <c r="J438" s="49" t="e">
        <f>VLOOKUP(I438,Sheet2!$B$10:$C$18,2,FALSE)</f>
        <v>#N/A</v>
      </c>
      <c r="K438" s="67"/>
      <c r="L438" s="49"/>
      <c r="M438" s="49" t="e">
        <f>VLOOKUP(L438,Sheet2!$B$10:$C$18,2,FALSE)</f>
        <v>#N/A</v>
      </c>
      <c r="N438" s="67"/>
      <c r="O438" s="49"/>
      <c r="P438" s="49" t="e">
        <f>VLOOKUP(O438,Sheet2!$B$10:$C$18,2,FALSE)</f>
        <v>#N/A</v>
      </c>
      <c r="Q438" s="67"/>
      <c r="R438" s="49"/>
      <c r="S438" s="49" t="e">
        <f>VLOOKUP(R438,Sheet2!$B$10:$C$18,2,FALSE)</f>
        <v>#N/A</v>
      </c>
      <c r="T438" s="67"/>
      <c r="U438" s="67">
        <f t="shared" si="24"/>
        <v>0</v>
      </c>
      <c r="V438" s="67"/>
      <c r="W438" s="67"/>
      <c r="X438" s="67"/>
      <c r="Y438" s="66"/>
      <c r="Z438" s="66"/>
      <c r="AA438" s="66"/>
      <c r="AB438" s="66"/>
      <c r="AC438" s="66"/>
      <c r="AD438" s="42" t="str">
        <f t="shared" si="23"/>
        <v>ทันกำหนด</v>
      </c>
      <c r="AE438" s="43"/>
      <c r="AF438" s="43"/>
      <c r="AG438" s="43"/>
      <c r="AH438" s="44"/>
    </row>
    <row r="439" spans="1:34" ht="27.75" customHeight="1">
      <c r="A439" s="41">
        <v>436</v>
      </c>
      <c r="B439" s="66"/>
      <c r="C439" s="48"/>
      <c r="D439" s="48"/>
      <c r="E439" s="49"/>
      <c r="F439" s="49"/>
      <c r="G439" s="49">
        <f t="shared" si="25"/>
        <v>0</v>
      </c>
      <c r="H439" s="49" t="str">
        <f t="shared" si="26"/>
        <v>ครบ</v>
      </c>
      <c r="I439" s="49"/>
      <c r="J439" s="49" t="e">
        <f>VLOOKUP(I439,Sheet2!$B$10:$C$18,2,FALSE)</f>
        <v>#N/A</v>
      </c>
      <c r="K439" s="67"/>
      <c r="L439" s="49"/>
      <c r="M439" s="49" t="e">
        <f>VLOOKUP(L439,Sheet2!$B$10:$C$18,2,FALSE)</f>
        <v>#N/A</v>
      </c>
      <c r="N439" s="67"/>
      <c r="O439" s="49"/>
      <c r="P439" s="49" t="e">
        <f>VLOOKUP(O439,Sheet2!$B$10:$C$18,2,FALSE)</f>
        <v>#N/A</v>
      </c>
      <c r="Q439" s="67"/>
      <c r="R439" s="49"/>
      <c r="S439" s="49" t="e">
        <f>VLOOKUP(R439,Sheet2!$B$10:$C$18,2,FALSE)</f>
        <v>#N/A</v>
      </c>
      <c r="T439" s="67"/>
      <c r="U439" s="67">
        <f t="shared" si="24"/>
        <v>0</v>
      </c>
      <c r="V439" s="67"/>
      <c r="W439" s="67"/>
      <c r="X439" s="67"/>
      <c r="Y439" s="66"/>
      <c r="Z439" s="66"/>
      <c r="AA439" s="66"/>
      <c r="AB439" s="66"/>
      <c r="AC439" s="66"/>
      <c r="AD439" s="42" t="str">
        <f t="shared" si="23"/>
        <v>ทันกำหนด</v>
      </c>
      <c r="AE439" s="43"/>
      <c r="AF439" s="43"/>
      <c r="AG439" s="43"/>
      <c r="AH439" s="44"/>
    </row>
    <row r="440" spans="1:34" ht="27.75" customHeight="1">
      <c r="A440" s="41">
        <v>437</v>
      </c>
      <c r="B440" s="66"/>
      <c r="C440" s="48"/>
      <c r="D440" s="48"/>
      <c r="E440" s="49"/>
      <c r="F440" s="49"/>
      <c r="G440" s="49">
        <f t="shared" si="25"/>
        <v>0</v>
      </c>
      <c r="H440" s="49" t="str">
        <f t="shared" si="26"/>
        <v>ครบ</v>
      </c>
      <c r="I440" s="49"/>
      <c r="J440" s="49" t="e">
        <f>VLOOKUP(I440,Sheet2!$B$10:$C$18,2,FALSE)</f>
        <v>#N/A</v>
      </c>
      <c r="K440" s="67"/>
      <c r="L440" s="49"/>
      <c r="M440" s="49" t="e">
        <f>VLOOKUP(L440,Sheet2!$B$10:$C$18,2,FALSE)</f>
        <v>#N/A</v>
      </c>
      <c r="N440" s="67"/>
      <c r="O440" s="49"/>
      <c r="P440" s="49" t="e">
        <f>VLOOKUP(O440,Sheet2!$B$10:$C$18,2,FALSE)</f>
        <v>#N/A</v>
      </c>
      <c r="Q440" s="67"/>
      <c r="R440" s="49"/>
      <c r="S440" s="49" t="e">
        <f>VLOOKUP(R440,Sheet2!$B$10:$C$18,2,FALSE)</f>
        <v>#N/A</v>
      </c>
      <c r="T440" s="67"/>
      <c r="U440" s="67">
        <f t="shared" si="24"/>
        <v>0</v>
      </c>
      <c r="V440" s="67"/>
      <c r="W440" s="67"/>
      <c r="X440" s="67"/>
      <c r="Y440" s="66"/>
      <c r="Z440" s="66"/>
      <c r="AA440" s="66"/>
      <c r="AB440" s="66"/>
      <c r="AC440" s="66"/>
      <c r="AD440" s="42" t="str">
        <f t="shared" si="23"/>
        <v>ทันกำหนด</v>
      </c>
      <c r="AE440" s="43"/>
      <c r="AF440" s="43"/>
      <c r="AG440" s="43"/>
      <c r="AH440" s="44"/>
    </row>
    <row r="441" spans="1:34" ht="27.75" customHeight="1">
      <c r="A441" s="41">
        <v>438</v>
      </c>
      <c r="B441" s="66"/>
      <c r="C441" s="48"/>
      <c r="D441" s="48"/>
      <c r="E441" s="49"/>
      <c r="F441" s="49"/>
      <c r="G441" s="49">
        <f t="shared" si="25"/>
        <v>0</v>
      </c>
      <c r="H441" s="49" t="str">
        <f t="shared" si="26"/>
        <v>ครบ</v>
      </c>
      <c r="I441" s="49"/>
      <c r="J441" s="49" t="e">
        <f>VLOOKUP(I441,Sheet2!$B$10:$C$18,2,FALSE)</f>
        <v>#N/A</v>
      </c>
      <c r="K441" s="67"/>
      <c r="L441" s="49"/>
      <c r="M441" s="49" t="e">
        <f>VLOOKUP(L441,Sheet2!$B$10:$C$18,2,FALSE)</f>
        <v>#N/A</v>
      </c>
      <c r="N441" s="67"/>
      <c r="O441" s="49"/>
      <c r="P441" s="49" t="e">
        <f>VLOOKUP(O441,Sheet2!$B$10:$C$18,2,FALSE)</f>
        <v>#N/A</v>
      </c>
      <c r="Q441" s="67"/>
      <c r="R441" s="49"/>
      <c r="S441" s="49" t="e">
        <f>VLOOKUP(R441,Sheet2!$B$10:$C$18,2,FALSE)</f>
        <v>#N/A</v>
      </c>
      <c r="T441" s="67"/>
      <c r="U441" s="67">
        <f t="shared" si="24"/>
        <v>0</v>
      </c>
      <c r="V441" s="67"/>
      <c r="W441" s="67"/>
      <c r="X441" s="67"/>
      <c r="Y441" s="66"/>
      <c r="Z441" s="66"/>
      <c r="AA441" s="66"/>
      <c r="AB441" s="66"/>
      <c r="AC441" s="66"/>
      <c r="AD441" s="42" t="str">
        <f t="shared" si="23"/>
        <v>ทันกำหนด</v>
      </c>
      <c r="AE441" s="43"/>
      <c r="AF441" s="43"/>
      <c r="AG441" s="43"/>
      <c r="AH441" s="44"/>
    </row>
    <row r="442" spans="1:34" ht="27.75" customHeight="1">
      <c r="A442" s="41">
        <v>439</v>
      </c>
      <c r="B442" s="66"/>
      <c r="C442" s="48"/>
      <c r="D442" s="48"/>
      <c r="E442" s="49"/>
      <c r="F442" s="49"/>
      <c r="G442" s="49">
        <f t="shared" si="25"/>
        <v>0</v>
      </c>
      <c r="H442" s="49" t="str">
        <f t="shared" si="26"/>
        <v>ครบ</v>
      </c>
      <c r="I442" s="49"/>
      <c r="J442" s="49" t="e">
        <f>VLOOKUP(I442,Sheet2!$B$10:$C$18,2,FALSE)</f>
        <v>#N/A</v>
      </c>
      <c r="K442" s="67"/>
      <c r="L442" s="49"/>
      <c r="M442" s="49" t="e">
        <f>VLOOKUP(L442,Sheet2!$B$10:$C$18,2,FALSE)</f>
        <v>#N/A</v>
      </c>
      <c r="N442" s="67"/>
      <c r="O442" s="49"/>
      <c r="P442" s="49" t="e">
        <f>VLOOKUP(O442,Sheet2!$B$10:$C$18,2,FALSE)</f>
        <v>#N/A</v>
      </c>
      <c r="Q442" s="67"/>
      <c r="R442" s="49"/>
      <c r="S442" s="49" t="e">
        <f>VLOOKUP(R442,Sheet2!$B$10:$C$18,2,FALSE)</f>
        <v>#N/A</v>
      </c>
      <c r="T442" s="67"/>
      <c r="U442" s="67">
        <f t="shared" si="24"/>
        <v>0</v>
      </c>
      <c r="V442" s="67"/>
      <c r="W442" s="67"/>
      <c r="X442" s="67"/>
      <c r="Y442" s="66"/>
      <c r="Z442" s="66"/>
      <c r="AA442" s="66"/>
      <c r="AB442" s="66"/>
      <c r="AC442" s="66"/>
      <c r="AD442" s="42" t="str">
        <f t="shared" si="23"/>
        <v>ทันกำหนด</v>
      </c>
      <c r="AE442" s="43"/>
      <c r="AF442" s="43"/>
      <c r="AG442" s="43"/>
      <c r="AH442" s="44"/>
    </row>
    <row r="443" spans="1:34" ht="27.75" customHeight="1">
      <c r="A443" s="41">
        <v>440</v>
      </c>
      <c r="B443" s="66"/>
      <c r="C443" s="48"/>
      <c r="D443" s="48"/>
      <c r="E443" s="49"/>
      <c r="F443" s="49"/>
      <c r="G443" s="49">
        <f t="shared" si="25"/>
        <v>0</v>
      </c>
      <c r="H443" s="49" t="str">
        <f t="shared" si="26"/>
        <v>ครบ</v>
      </c>
      <c r="I443" s="49"/>
      <c r="J443" s="49" t="e">
        <f>VLOOKUP(I443,Sheet2!$B$10:$C$18,2,FALSE)</f>
        <v>#N/A</v>
      </c>
      <c r="K443" s="67"/>
      <c r="L443" s="49"/>
      <c r="M443" s="49" t="e">
        <f>VLOOKUP(L443,Sheet2!$B$10:$C$18,2,FALSE)</f>
        <v>#N/A</v>
      </c>
      <c r="N443" s="67"/>
      <c r="O443" s="49"/>
      <c r="P443" s="49" t="e">
        <f>VLOOKUP(O443,Sheet2!$B$10:$C$18,2,FALSE)</f>
        <v>#N/A</v>
      </c>
      <c r="Q443" s="67"/>
      <c r="R443" s="49"/>
      <c r="S443" s="49" t="e">
        <f>VLOOKUP(R443,Sheet2!$B$10:$C$18,2,FALSE)</f>
        <v>#N/A</v>
      </c>
      <c r="T443" s="67"/>
      <c r="U443" s="67">
        <f t="shared" si="24"/>
        <v>0</v>
      </c>
      <c r="V443" s="67"/>
      <c r="W443" s="67"/>
      <c r="X443" s="67"/>
      <c r="Y443" s="66"/>
      <c r="Z443" s="66"/>
      <c r="AA443" s="66"/>
      <c r="AB443" s="66"/>
      <c r="AC443" s="66"/>
      <c r="AD443" s="42" t="str">
        <f t="shared" si="23"/>
        <v>ทันกำหนด</v>
      </c>
      <c r="AE443" s="43"/>
      <c r="AF443" s="43"/>
      <c r="AG443" s="43"/>
      <c r="AH443" s="44"/>
    </row>
    <row r="444" spans="1:34" ht="27.75" customHeight="1">
      <c r="A444" s="41">
        <v>441</v>
      </c>
      <c r="B444" s="66"/>
      <c r="C444" s="48"/>
      <c r="D444" s="48"/>
      <c r="E444" s="49"/>
      <c r="F444" s="49"/>
      <c r="G444" s="49">
        <f t="shared" si="25"/>
        <v>0</v>
      </c>
      <c r="H444" s="49" t="str">
        <f t="shared" si="26"/>
        <v>ครบ</v>
      </c>
      <c r="I444" s="49"/>
      <c r="J444" s="49" t="e">
        <f>VLOOKUP(I444,Sheet2!$B$10:$C$18,2,FALSE)</f>
        <v>#N/A</v>
      </c>
      <c r="K444" s="67"/>
      <c r="L444" s="49"/>
      <c r="M444" s="49" t="e">
        <f>VLOOKUP(L444,Sheet2!$B$10:$C$18,2,FALSE)</f>
        <v>#N/A</v>
      </c>
      <c r="N444" s="67"/>
      <c r="O444" s="49"/>
      <c r="P444" s="49" t="e">
        <f>VLOOKUP(O444,Sheet2!$B$10:$C$18,2,FALSE)</f>
        <v>#N/A</v>
      </c>
      <c r="Q444" s="67"/>
      <c r="R444" s="49"/>
      <c r="S444" s="49" t="e">
        <f>VLOOKUP(R444,Sheet2!$B$10:$C$18,2,FALSE)</f>
        <v>#N/A</v>
      </c>
      <c r="T444" s="67"/>
      <c r="U444" s="67">
        <f t="shared" si="24"/>
        <v>0</v>
      </c>
      <c r="V444" s="67"/>
      <c r="W444" s="67"/>
      <c r="X444" s="67"/>
      <c r="Y444" s="66"/>
      <c r="Z444" s="66"/>
      <c r="AA444" s="66"/>
      <c r="AB444" s="66"/>
      <c r="AC444" s="66"/>
      <c r="AD444" s="42" t="str">
        <f t="shared" si="23"/>
        <v>ทันกำหนด</v>
      </c>
      <c r="AE444" s="43"/>
      <c r="AF444" s="43"/>
      <c r="AG444" s="43"/>
      <c r="AH444" s="44"/>
    </row>
    <row r="445" spans="1:34" ht="27.75" customHeight="1">
      <c r="A445" s="41">
        <v>442</v>
      </c>
      <c r="B445" s="66"/>
      <c r="C445" s="48"/>
      <c r="D445" s="48"/>
      <c r="E445" s="49"/>
      <c r="F445" s="49"/>
      <c r="G445" s="49">
        <f t="shared" si="25"/>
        <v>0</v>
      </c>
      <c r="H445" s="49" t="str">
        <f t="shared" si="26"/>
        <v>ครบ</v>
      </c>
      <c r="I445" s="49"/>
      <c r="J445" s="49" t="e">
        <f>VLOOKUP(I445,Sheet2!$B$10:$C$18,2,FALSE)</f>
        <v>#N/A</v>
      </c>
      <c r="K445" s="67"/>
      <c r="L445" s="49"/>
      <c r="M445" s="49" t="e">
        <f>VLOOKUP(L445,Sheet2!$B$10:$C$18,2,FALSE)</f>
        <v>#N/A</v>
      </c>
      <c r="N445" s="67"/>
      <c r="O445" s="49"/>
      <c r="P445" s="49" t="e">
        <f>VLOOKUP(O445,Sheet2!$B$10:$C$18,2,FALSE)</f>
        <v>#N/A</v>
      </c>
      <c r="Q445" s="67"/>
      <c r="R445" s="49"/>
      <c r="S445" s="49" t="e">
        <f>VLOOKUP(R445,Sheet2!$B$10:$C$18,2,FALSE)</f>
        <v>#N/A</v>
      </c>
      <c r="T445" s="67"/>
      <c r="U445" s="67">
        <f t="shared" si="24"/>
        <v>0</v>
      </c>
      <c r="V445" s="67"/>
      <c r="W445" s="67"/>
      <c r="X445" s="67"/>
      <c r="Y445" s="66"/>
      <c r="Z445" s="66"/>
      <c r="AA445" s="66"/>
      <c r="AB445" s="66"/>
      <c r="AC445" s="66"/>
      <c r="AD445" s="42" t="str">
        <f t="shared" si="23"/>
        <v>ทันกำหนด</v>
      </c>
      <c r="AE445" s="43"/>
      <c r="AF445" s="43"/>
      <c r="AG445" s="43"/>
      <c r="AH445" s="44"/>
    </row>
    <row r="446" spans="1:34" ht="27.75" customHeight="1">
      <c r="A446" s="41">
        <v>443</v>
      </c>
      <c r="B446" s="66"/>
      <c r="C446" s="48"/>
      <c r="D446" s="48"/>
      <c r="E446" s="49"/>
      <c r="F446" s="49"/>
      <c r="G446" s="49">
        <f t="shared" si="25"/>
        <v>0</v>
      </c>
      <c r="H446" s="49" t="str">
        <f t="shared" si="26"/>
        <v>ครบ</v>
      </c>
      <c r="I446" s="49"/>
      <c r="J446" s="49" t="e">
        <f>VLOOKUP(I446,Sheet2!$B$10:$C$18,2,FALSE)</f>
        <v>#N/A</v>
      </c>
      <c r="K446" s="67"/>
      <c r="L446" s="49"/>
      <c r="M446" s="49" t="e">
        <f>VLOOKUP(L446,Sheet2!$B$10:$C$18,2,FALSE)</f>
        <v>#N/A</v>
      </c>
      <c r="N446" s="67"/>
      <c r="O446" s="49"/>
      <c r="P446" s="49" t="e">
        <f>VLOOKUP(O446,Sheet2!$B$10:$C$18,2,FALSE)</f>
        <v>#N/A</v>
      </c>
      <c r="Q446" s="67"/>
      <c r="R446" s="49"/>
      <c r="S446" s="49" t="e">
        <f>VLOOKUP(R446,Sheet2!$B$10:$C$18,2,FALSE)</f>
        <v>#N/A</v>
      </c>
      <c r="T446" s="67"/>
      <c r="U446" s="67">
        <f t="shared" si="24"/>
        <v>0</v>
      </c>
      <c r="V446" s="67"/>
      <c r="W446" s="67"/>
      <c r="X446" s="67"/>
      <c r="Y446" s="66"/>
      <c r="Z446" s="66"/>
      <c r="AA446" s="66"/>
      <c r="AB446" s="66"/>
      <c r="AC446" s="66"/>
      <c r="AD446" s="42" t="str">
        <f t="shared" si="23"/>
        <v>ทันกำหนด</v>
      </c>
      <c r="AE446" s="43"/>
      <c r="AF446" s="43"/>
      <c r="AG446" s="43"/>
      <c r="AH446" s="44"/>
    </row>
    <row r="447" spans="1:34" ht="27.75" customHeight="1">
      <c r="A447" s="41">
        <v>444</v>
      </c>
      <c r="B447" s="66"/>
      <c r="C447" s="48"/>
      <c r="D447" s="48"/>
      <c r="E447" s="49"/>
      <c r="F447" s="49"/>
      <c r="G447" s="49">
        <f t="shared" si="25"/>
        <v>0</v>
      </c>
      <c r="H447" s="49" t="str">
        <f t="shared" si="26"/>
        <v>ครบ</v>
      </c>
      <c r="I447" s="49"/>
      <c r="J447" s="49" t="e">
        <f>VLOOKUP(I447,Sheet2!$B$10:$C$18,2,FALSE)</f>
        <v>#N/A</v>
      </c>
      <c r="K447" s="67"/>
      <c r="L447" s="49"/>
      <c r="M447" s="49" t="e">
        <f>VLOOKUP(L447,Sheet2!$B$10:$C$18,2,FALSE)</f>
        <v>#N/A</v>
      </c>
      <c r="N447" s="67"/>
      <c r="O447" s="49"/>
      <c r="P447" s="49" t="e">
        <f>VLOOKUP(O447,Sheet2!$B$10:$C$18,2,FALSE)</f>
        <v>#N/A</v>
      </c>
      <c r="Q447" s="67"/>
      <c r="R447" s="49"/>
      <c r="S447" s="49" t="e">
        <f>VLOOKUP(R447,Sheet2!$B$10:$C$18,2,FALSE)</f>
        <v>#N/A</v>
      </c>
      <c r="T447" s="67"/>
      <c r="U447" s="67">
        <f t="shared" si="24"/>
        <v>0</v>
      </c>
      <c r="V447" s="67"/>
      <c r="W447" s="67"/>
      <c r="X447" s="67"/>
      <c r="Y447" s="66"/>
      <c r="Z447" s="66"/>
      <c r="AA447" s="66"/>
      <c r="AB447" s="66"/>
      <c r="AC447" s="66"/>
      <c r="AD447" s="42" t="str">
        <f t="shared" si="23"/>
        <v>ทันกำหนด</v>
      </c>
      <c r="AE447" s="43"/>
      <c r="AF447" s="43"/>
      <c r="AG447" s="43"/>
      <c r="AH447" s="44"/>
    </row>
    <row r="448" spans="1:34" ht="27.75" customHeight="1">
      <c r="A448" s="41">
        <v>445</v>
      </c>
      <c r="B448" s="66"/>
      <c r="C448" s="48"/>
      <c r="D448" s="48"/>
      <c r="E448" s="49"/>
      <c r="F448" s="49"/>
      <c r="G448" s="49">
        <f t="shared" si="25"/>
        <v>0</v>
      </c>
      <c r="H448" s="49" t="str">
        <f t="shared" si="26"/>
        <v>ครบ</v>
      </c>
      <c r="I448" s="49"/>
      <c r="J448" s="49" t="e">
        <f>VLOOKUP(I448,Sheet2!$B$10:$C$18,2,FALSE)</f>
        <v>#N/A</v>
      </c>
      <c r="K448" s="67"/>
      <c r="L448" s="49"/>
      <c r="M448" s="49" t="e">
        <f>VLOOKUP(L448,Sheet2!$B$10:$C$18,2,FALSE)</f>
        <v>#N/A</v>
      </c>
      <c r="N448" s="67"/>
      <c r="O448" s="49"/>
      <c r="P448" s="49" t="e">
        <f>VLOOKUP(O448,Sheet2!$B$10:$C$18,2,FALSE)</f>
        <v>#N/A</v>
      </c>
      <c r="Q448" s="67"/>
      <c r="R448" s="49"/>
      <c r="S448" s="49" t="e">
        <f>VLOOKUP(R448,Sheet2!$B$10:$C$18,2,FALSE)</f>
        <v>#N/A</v>
      </c>
      <c r="T448" s="67"/>
      <c r="U448" s="67">
        <f t="shared" si="24"/>
        <v>0</v>
      </c>
      <c r="V448" s="67"/>
      <c r="W448" s="67"/>
      <c r="X448" s="67"/>
      <c r="Y448" s="66"/>
      <c r="Z448" s="66"/>
      <c r="AA448" s="66"/>
      <c r="AB448" s="66"/>
      <c r="AC448" s="66"/>
      <c r="AD448" s="42" t="str">
        <f t="shared" si="23"/>
        <v>ทันกำหนด</v>
      </c>
      <c r="AE448" s="43"/>
      <c r="AF448" s="43"/>
      <c r="AG448" s="43"/>
      <c r="AH448" s="44"/>
    </row>
    <row r="449" spans="1:34" ht="27.75" customHeight="1">
      <c r="A449" s="41">
        <v>446</v>
      </c>
      <c r="B449" s="66"/>
      <c r="C449" s="48"/>
      <c r="D449" s="48"/>
      <c r="E449" s="49"/>
      <c r="F449" s="49"/>
      <c r="G449" s="49">
        <f t="shared" si="25"/>
        <v>0</v>
      </c>
      <c r="H449" s="49" t="str">
        <f t="shared" si="26"/>
        <v>ครบ</v>
      </c>
      <c r="I449" s="49"/>
      <c r="J449" s="49" t="e">
        <f>VLOOKUP(I449,Sheet2!$B$10:$C$18,2,FALSE)</f>
        <v>#N/A</v>
      </c>
      <c r="K449" s="67"/>
      <c r="L449" s="49"/>
      <c r="M449" s="49" t="e">
        <f>VLOOKUP(L449,Sheet2!$B$10:$C$18,2,FALSE)</f>
        <v>#N/A</v>
      </c>
      <c r="N449" s="67"/>
      <c r="O449" s="49"/>
      <c r="P449" s="49" t="e">
        <f>VLOOKUP(O449,Sheet2!$B$10:$C$18,2,FALSE)</f>
        <v>#N/A</v>
      </c>
      <c r="Q449" s="67"/>
      <c r="R449" s="49"/>
      <c r="S449" s="49" t="e">
        <f>VLOOKUP(R449,Sheet2!$B$10:$C$18,2,FALSE)</f>
        <v>#N/A</v>
      </c>
      <c r="T449" s="67"/>
      <c r="U449" s="67">
        <f t="shared" si="24"/>
        <v>0</v>
      </c>
      <c r="V449" s="67"/>
      <c r="W449" s="67"/>
      <c r="X449" s="67"/>
      <c r="Y449" s="66"/>
      <c r="Z449" s="66"/>
      <c r="AA449" s="66"/>
      <c r="AB449" s="66"/>
      <c r="AC449" s="66"/>
      <c r="AD449" s="42" t="str">
        <f t="shared" si="23"/>
        <v>ทันกำหนด</v>
      </c>
      <c r="AE449" s="43"/>
      <c r="AF449" s="43"/>
      <c r="AG449" s="43"/>
      <c r="AH449" s="44"/>
    </row>
    <row r="450" spans="1:34" ht="27.75" customHeight="1">
      <c r="A450" s="41">
        <v>447</v>
      </c>
      <c r="B450" s="66"/>
      <c r="C450" s="48"/>
      <c r="D450" s="48"/>
      <c r="E450" s="49"/>
      <c r="F450" s="49"/>
      <c r="G450" s="49">
        <f t="shared" si="25"/>
        <v>0</v>
      </c>
      <c r="H450" s="49" t="str">
        <f t="shared" si="26"/>
        <v>ครบ</v>
      </c>
      <c r="I450" s="49"/>
      <c r="J450" s="49" t="e">
        <f>VLOOKUP(I450,Sheet2!$B$10:$C$18,2,FALSE)</f>
        <v>#N/A</v>
      </c>
      <c r="K450" s="67"/>
      <c r="L450" s="49"/>
      <c r="M450" s="49" t="e">
        <f>VLOOKUP(L450,Sheet2!$B$10:$C$18,2,FALSE)</f>
        <v>#N/A</v>
      </c>
      <c r="N450" s="67"/>
      <c r="O450" s="49"/>
      <c r="P450" s="49" t="e">
        <f>VLOOKUP(O450,Sheet2!$B$10:$C$18,2,FALSE)</f>
        <v>#N/A</v>
      </c>
      <c r="Q450" s="67"/>
      <c r="R450" s="49"/>
      <c r="S450" s="49" t="e">
        <f>VLOOKUP(R450,Sheet2!$B$10:$C$18,2,FALSE)</f>
        <v>#N/A</v>
      </c>
      <c r="T450" s="67"/>
      <c r="U450" s="67">
        <f t="shared" si="24"/>
        <v>0</v>
      </c>
      <c r="V450" s="67"/>
      <c r="W450" s="67"/>
      <c r="X450" s="67"/>
      <c r="Y450" s="66"/>
      <c r="Z450" s="66"/>
      <c r="AA450" s="66"/>
      <c r="AB450" s="66"/>
      <c r="AC450" s="66"/>
      <c r="AD450" s="42" t="str">
        <f t="shared" si="23"/>
        <v>ทันกำหนด</v>
      </c>
      <c r="AE450" s="43"/>
      <c r="AF450" s="43"/>
      <c r="AG450" s="43"/>
      <c r="AH450" s="44"/>
    </row>
    <row r="451" spans="1:34" ht="27.75" customHeight="1">
      <c r="A451" s="41">
        <v>448</v>
      </c>
      <c r="B451" s="66"/>
      <c r="C451" s="48"/>
      <c r="D451" s="48"/>
      <c r="E451" s="49"/>
      <c r="F451" s="49"/>
      <c r="G451" s="49">
        <f t="shared" si="25"/>
        <v>0</v>
      </c>
      <c r="H451" s="49" t="str">
        <f t="shared" si="26"/>
        <v>ครบ</v>
      </c>
      <c r="I451" s="49"/>
      <c r="J451" s="49" t="e">
        <f>VLOOKUP(I451,Sheet2!$B$10:$C$18,2,FALSE)</f>
        <v>#N/A</v>
      </c>
      <c r="K451" s="67"/>
      <c r="L451" s="49"/>
      <c r="M451" s="49" t="e">
        <f>VLOOKUP(L451,Sheet2!$B$10:$C$18,2,FALSE)</f>
        <v>#N/A</v>
      </c>
      <c r="N451" s="67"/>
      <c r="O451" s="49"/>
      <c r="P451" s="49" t="e">
        <f>VLOOKUP(O451,Sheet2!$B$10:$C$18,2,FALSE)</f>
        <v>#N/A</v>
      </c>
      <c r="Q451" s="67"/>
      <c r="R451" s="49"/>
      <c r="S451" s="49" t="e">
        <f>VLOOKUP(R451,Sheet2!$B$10:$C$18,2,FALSE)</f>
        <v>#N/A</v>
      </c>
      <c r="T451" s="67"/>
      <c r="U451" s="67">
        <f t="shared" si="24"/>
        <v>0</v>
      </c>
      <c r="V451" s="67"/>
      <c r="W451" s="67"/>
      <c r="X451" s="67"/>
      <c r="Y451" s="66"/>
      <c r="Z451" s="66"/>
      <c r="AA451" s="66"/>
      <c r="AB451" s="66"/>
      <c r="AC451" s="66"/>
      <c r="AD451" s="42" t="str">
        <f t="shared" si="23"/>
        <v>ทันกำหนด</v>
      </c>
      <c r="AE451" s="43"/>
      <c r="AF451" s="43"/>
      <c r="AG451" s="43"/>
      <c r="AH451" s="44"/>
    </row>
    <row r="452" spans="1:34" ht="27.75" customHeight="1">
      <c r="A452" s="41">
        <v>449</v>
      </c>
      <c r="B452" s="66"/>
      <c r="C452" s="48"/>
      <c r="D452" s="48"/>
      <c r="E452" s="49"/>
      <c r="F452" s="49"/>
      <c r="G452" s="49">
        <f t="shared" si="25"/>
        <v>0</v>
      </c>
      <c r="H452" s="49" t="str">
        <f t="shared" si="26"/>
        <v>ครบ</v>
      </c>
      <c r="I452" s="49"/>
      <c r="J452" s="49" t="e">
        <f>VLOOKUP(I452,Sheet2!$B$10:$C$18,2,FALSE)</f>
        <v>#N/A</v>
      </c>
      <c r="K452" s="67"/>
      <c r="L452" s="49"/>
      <c r="M452" s="49" t="e">
        <f>VLOOKUP(L452,Sheet2!$B$10:$C$18,2,FALSE)</f>
        <v>#N/A</v>
      </c>
      <c r="N452" s="67"/>
      <c r="O452" s="49"/>
      <c r="P452" s="49" t="e">
        <f>VLOOKUP(O452,Sheet2!$B$10:$C$18,2,FALSE)</f>
        <v>#N/A</v>
      </c>
      <c r="Q452" s="67"/>
      <c r="R452" s="49"/>
      <c r="S452" s="49" t="e">
        <f>VLOOKUP(R452,Sheet2!$B$10:$C$18,2,FALSE)</f>
        <v>#N/A</v>
      </c>
      <c r="T452" s="67"/>
      <c r="U452" s="67">
        <f t="shared" si="24"/>
        <v>0</v>
      </c>
      <c r="V452" s="67"/>
      <c r="W452" s="67"/>
      <c r="X452" s="67"/>
      <c r="Y452" s="66"/>
      <c r="Z452" s="66"/>
      <c r="AA452" s="66"/>
      <c r="AB452" s="66"/>
      <c r="AC452" s="66"/>
      <c r="AD452" s="42" t="str">
        <f t="shared" si="23"/>
        <v>ทันกำหนด</v>
      </c>
      <c r="AE452" s="43"/>
      <c r="AF452" s="43"/>
      <c r="AG452" s="43"/>
      <c r="AH452" s="44"/>
    </row>
    <row r="453" spans="1:34" ht="27.75" customHeight="1">
      <c r="A453" s="41">
        <v>450</v>
      </c>
      <c r="B453" s="66"/>
      <c r="C453" s="48"/>
      <c r="D453" s="48"/>
      <c r="E453" s="49"/>
      <c r="F453" s="49"/>
      <c r="G453" s="49">
        <f t="shared" si="25"/>
        <v>0</v>
      </c>
      <c r="H453" s="49" t="str">
        <f t="shared" si="26"/>
        <v>ครบ</v>
      </c>
      <c r="I453" s="49"/>
      <c r="J453" s="49" t="e">
        <f>VLOOKUP(I453,Sheet2!$B$10:$C$18,2,FALSE)</f>
        <v>#N/A</v>
      </c>
      <c r="K453" s="67"/>
      <c r="L453" s="49"/>
      <c r="M453" s="49" t="e">
        <f>VLOOKUP(L453,Sheet2!$B$10:$C$18,2,FALSE)</f>
        <v>#N/A</v>
      </c>
      <c r="N453" s="67"/>
      <c r="O453" s="49"/>
      <c r="P453" s="49" t="e">
        <f>VLOOKUP(O453,Sheet2!$B$10:$C$18,2,FALSE)</f>
        <v>#N/A</v>
      </c>
      <c r="Q453" s="67"/>
      <c r="R453" s="49"/>
      <c r="S453" s="49" t="e">
        <f>VLOOKUP(R453,Sheet2!$B$10:$C$18,2,FALSE)</f>
        <v>#N/A</v>
      </c>
      <c r="T453" s="67"/>
      <c r="U453" s="67">
        <f t="shared" ref="U453:U577" si="27">$K453+$N453+$Q453+$T453</f>
        <v>0</v>
      </c>
      <c r="V453" s="67"/>
      <c r="W453" s="67"/>
      <c r="X453" s="67"/>
      <c r="Y453" s="66"/>
      <c r="Z453" s="66"/>
      <c r="AA453" s="66"/>
      <c r="AB453" s="66"/>
      <c r="AC453" s="66"/>
      <c r="AD453" s="42" t="str">
        <f t="shared" si="23"/>
        <v>ทันกำหนด</v>
      </c>
      <c r="AE453" s="43"/>
      <c r="AF453" s="43"/>
      <c r="AG453" s="43"/>
      <c r="AH453" s="44"/>
    </row>
    <row r="454" spans="1:34" ht="27.75" customHeight="1">
      <c r="A454" s="41">
        <v>451</v>
      </c>
      <c r="B454" s="66"/>
      <c r="C454" s="48"/>
      <c r="D454" s="48"/>
      <c r="E454" s="49"/>
      <c r="F454" s="49"/>
      <c r="G454" s="49">
        <f t="shared" si="25"/>
        <v>0</v>
      </c>
      <c r="H454" s="49" t="str">
        <f t="shared" si="26"/>
        <v>ครบ</v>
      </c>
      <c r="I454" s="49"/>
      <c r="J454" s="49" t="e">
        <f>VLOOKUP(I454,Sheet2!$B$10:$C$18,2,FALSE)</f>
        <v>#N/A</v>
      </c>
      <c r="K454" s="67"/>
      <c r="L454" s="49"/>
      <c r="M454" s="49" t="e">
        <f>VLOOKUP(L454,Sheet2!$B$10:$C$18,2,FALSE)</f>
        <v>#N/A</v>
      </c>
      <c r="N454" s="67"/>
      <c r="O454" s="49"/>
      <c r="P454" s="49" t="e">
        <f>VLOOKUP(O454,Sheet2!$B$10:$C$18,2,FALSE)</f>
        <v>#N/A</v>
      </c>
      <c r="Q454" s="67"/>
      <c r="R454" s="49"/>
      <c r="S454" s="49" t="e">
        <f>VLOOKUP(R454,Sheet2!$B$10:$C$18,2,FALSE)</f>
        <v>#N/A</v>
      </c>
      <c r="T454" s="67"/>
      <c r="U454" s="67">
        <f t="shared" si="27"/>
        <v>0</v>
      </c>
      <c r="V454" s="67"/>
      <c r="W454" s="67"/>
      <c r="X454" s="67"/>
      <c r="Y454" s="66"/>
      <c r="Z454" s="66"/>
      <c r="AA454" s="66"/>
      <c r="AB454" s="66"/>
      <c r="AC454" s="66"/>
      <c r="AD454" s="42" t="str">
        <f t="shared" si="23"/>
        <v>ทันกำหนด</v>
      </c>
      <c r="AE454" s="43"/>
      <c r="AF454" s="43"/>
      <c r="AG454" s="43"/>
      <c r="AH454" s="44"/>
    </row>
    <row r="455" spans="1:34" ht="27.75" customHeight="1">
      <c r="A455" s="41">
        <v>452</v>
      </c>
      <c r="B455" s="66"/>
      <c r="C455" s="48"/>
      <c r="D455" s="48"/>
      <c r="E455" s="49"/>
      <c r="F455" s="49"/>
      <c r="G455" s="49">
        <f t="shared" si="25"/>
        <v>0</v>
      </c>
      <c r="H455" s="49" t="str">
        <f t="shared" si="26"/>
        <v>ครบ</v>
      </c>
      <c r="I455" s="49"/>
      <c r="J455" s="49" t="e">
        <f>VLOOKUP(I455,Sheet2!$B$10:$C$18,2,FALSE)</f>
        <v>#N/A</v>
      </c>
      <c r="K455" s="67"/>
      <c r="L455" s="49"/>
      <c r="M455" s="49" t="e">
        <f>VLOOKUP(L455,Sheet2!$B$10:$C$18,2,FALSE)</f>
        <v>#N/A</v>
      </c>
      <c r="N455" s="67"/>
      <c r="O455" s="49"/>
      <c r="P455" s="49" t="e">
        <f>VLOOKUP(O455,Sheet2!$B$10:$C$18,2,FALSE)</f>
        <v>#N/A</v>
      </c>
      <c r="Q455" s="67"/>
      <c r="R455" s="49"/>
      <c r="S455" s="49" t="e">
        <f>VLOOKUP(R455,Sheet2!$B$10:$C$18,2,FALSE)</f>
        <v>#N/A</v>
      </c>
      <c r="T455" s="67"/>
      <c r="U455" s="67">
        <f t="shared" si="27"/>
        <v>0</v>
      </c>
      <c r="V455" s="67"/>
      <c r="W455" s="67"/>
      <c r="X455" s="67"/>
      <c r="Y455" s="66"/>
      <c r="Z455" s="66"/>
      <c r="AA455" s="66"/>
      <c r="AB455" s="66"/>
      <c r="AC455" s="66"/>
      <c r="AD455" s="42" t="str">
        <f t="shared" si="23"/>
        <v>ทันกำหนด</v>
      </c>
      <c r="AE455" s="43"/>
      <c r="AF455" s="43"/>
      <c r="AG455" s="43"/>
      <c r="AH455" s="44"/>
    </row>
    <row r="456" spans="1:34" ht="27.75" customHeight="1">
      <c r="A456" s="41">
        <v>453</v>
      </c>
      <c r="B456" s="66"/>
      <c r="C456" s="48"/>
      <c r="D456" s="48"/>
      <c r="E456" s="49"/>
      <c r="F456" s="49"/>
      <c r="G456" s="49">
        <f t="shared" si="25"/>
        <v>0</v>
      </c>
      <c r="H456" s="49" t="str">
        <f t="shared" si="26"/>
        <v>ครบ</v>
      </c>
      <c r="I456" s="49"/>
      <c r="J456" s="49" t="e">
        <f>VLOOKUP(I456,Sheet2!$B$10:$C$18,2,FALSE)</f>
        <v>#N/A</v>
      </c>
      <c r="K456" s="67"/>
      <c r="L456" s="49"/>
      <c r="M456" s="49" t="e">
        <f>VLOOKUP(L456,Sheet2!$B$10:$C$18,2,FALSE)</f>
        <v>#N/A</v>
      </c>
      <c r="N456" s="67"/>
      <c r="O456" s="49"/>
      <c r="P456" s="49" t="e">
        <f>VLOOKUP(O456,Sheet2!$B$10:$C$18,2,FALSE)</f>
        <v>#N/A</v>
      </c>
      <c r="Q456" s="67"/>
      <c r="R456" s="49"/>
      <c r="S456" s="49" t="e">
        <f>VLOOKUP(R456,Sheet2!$B$10:$C$18,2,FALSE)</f>
        <v>#N/A</v>
      </c>
      <c r="T456" s="67"/>
      <c r="U456" s="67">
        <f t="shared" si="27"/>
        <v>0</v>
      </c>
      <c r="V456" s="67"/>
      <c r="W456" s="67"/>
      <c r="X456" s="67"/>
      <c r="Y456" s="66"/>
      <c r="Z456" s="66"/>
      <c r="AA456" s="66"/>
      <c r="AB456" s="66"/>
      <c r="AC456" s="66"/>
      <c r="AD456" s="42" t="str">
        <f t="shared" si="23"/>
        <v>ทันกำหนด</v>
      </c>
      <c r="AE456" s="43"/>
      <c r="AF456" s="43"/>
      <c r="AG456" s="43"/>
      <c r="AH456" s="44"/>
    </row>
    <row r="457" spans="1:34" ht="27.75" customHeight="1">
      <c r="A457" s="41">
        <v>454</v>
      </c>
      <c r="B457" s="66"/>
      <c r="C457" s="48"/>
      <c r="D457" s="48"/>
      <c r="E457" s="49"/>
      <c r="F457" s="49"/>
      <c r="G457" s="49">
        <f t="shared" si="25"/>
        <v>0</v>
      </c>
      <c r="H457" s="49" t="str">
        <f t="shared" si="26"/>
        <v>ครบ</v>
      </c>
      <c r="I457" s="49"/>
      <c r="J457" s="49" t="e">
        <f>VLOOKUP(I457,Sheet2!$B$10:$C$18,2,FALSE)</f>
        <v>#N/A</v>
      </c>
      <c r="K457" s="67"/>
      <c r="L457" s="49"/>
      <c r="M457" s="49" t="e">
        <f>VLOOKUP(L457,Sheet2!$B$10:$C$18,2,FALSE)</f>
        <v>#N/A</v>
      </c>
      <c r="N457" s="67"/>
      <c r="O457" s="49"/>
      <c r="P457" s="49" t="e">
        <f>VLOOKUP(O457,Sheet2!$B$10:$C$18,2,FALSE)</f>
        <v>#N/A</v>
      </c>
      <c r="Q457" s="67"/>
      <c r="R457" s="49"/>
      <c r="S457" s="49" t="e">
        <f>VLOOKUP(R457,Sheet2!$B$10:$C$18,2,FALSE)</f>
        <v>#N/A</v>
      </c>
      <c r="T457" s="67"/>
      <c r="U457" s="67">
        <f t="shared" si="27"/>
        <v>0</v>
      </c>
      <c r="V457" s="67"/>
      <c r="W457" s="67"/>
      <c r="X457" s="67"/>
      <c r="Y457" s="66"/>
      <c r="Z457" s="66"/>
      <c r="AA457" s="66"/>
      <c r="AB457" s="66"/>
      <c r="AC457" s="66"/>
      <c r="AD457" s="42" t="str">
        <f t="shared" si="23"/>
        <v>ทันกำหนด</v>
      </c>
      <c r="AE457" s="43"/>
      <c r="AF457" s="43"/>
      <c r="AG457" s="43"/>
      <c r="AH457" s="44"/>
    </row>
    <row r="458" spans="1:34" ht="27.75" customHeight="1">
      <c r="A458" s="41">
        <v>455</v>
      </c>
      <c r="B458" s="66"/>
      <c r="C458" s="48"/>
      <c r="D458" s="48"/>
      <c r="E458" s="49"/>
      <c r="F458" s="49"/>
      <c r="G458" s="49">
        <f t="shared" si="25"/>
        <v>0</v>
      </c>
      <c r="H458" s="49" t="str">
        <f t="shared" si="26"/>
        <v>ครบ</v>
      </c>
      <c r="I458" s="49"/>
      <c r="J458" s="49" t="e">
        <f>VLOOKUP(I458,Sheet2!$B$10:$C$18,2,FALSE)</f>
        <v>#N/A</v>
      </c>
      <c r="K458" s="67"/>
      <c r="L458" s="49"/>
      <c r="M458" s="49" t="e">
        <f>VLOOKUP(L458,Sheet2!$B$10:$C$18,2,FALSE)</f>
        <v>#N/A</v>
      </c>
      <c r="N458" s="67"/>
      <c r="O458" s="49"/>
      <c r="P458" s="49" t="e">
        <f>VLOOKUP(O458,Sheet2!$B$10:$C$18,2,FALSE)</f>
        <v>#N/A</v>
      </c>
      <c r="Q458" s="67"/>
      <c r="R458" s="49"/>
      <c r="S458" s="49" t="e">
        <f>VLOOKUP(R458,Sheet2!$B$10:$C$18,2,FALSE)</f>
        <v>#N/A</v>
      </c>
      <c r="T458" s="67"/>
      <c r="U458" s="67">
        <f t="shared" si="27"/>
        <v>0</v>
      </c>
      <c r="V458" s="67"/>
      <c r="W458" s="67"/>
      <c r="X458" s="67"/>
      <c r="Y458" s="66"/>
      <c r="Z458" s="66"/>
      <c r="AA458" s="66"/>
      <c r="AB458" s="66"/>
      <c r="AC458" s="66"/>
      <c r="AD458" s="42" t="str">
        <f t="shared" si="23"/>
        <v>ทันกำหนด</v>
      </c>
      <c r="AE458" s="43"/>
      <c r="AF458" s="43"/>
      <c r="AG458" s="43"/>
      <c r="AH458" s="44"/>
    </row>
    <row r="459" spans="1:34" ht="27.75" customHeight="1">
      <c r="A459" s="41">
        <v>456</v>
      </c>
      <c r="B459" s="66"/>
      <c r="C459" s="48"/>
      <c r="D459" s="48"/>
      <c r="E459" s="49"/>
      <c r="F459" s="49"/>
      <c r="G459" s="49">
        <f t="shared" si="25"/>
        <v>0</v>
      </c>
      <c r="H459" s="49" t="str">
        <f t="shared" si="26"/>
        <v>ครบ</v>
      </c>
      <c r="I459" s="49"/>
      <c r="J459" s="49" t="e">
        <f>VLOOKUP(I459,Sheet2!$B$10:$C$18,2,FALSE)</f>
        <v>#N/A</v>
      </c>
      <c r="K459" s="67"/>
      <c r="L459" s="49"/>
      <c r="M459" s="49" t="e">
        <f>VLOOKUP(L459,Sheet2!$B$10:$C$18,2,FALSE)</f>
        <v>#N/A</v>
      </c>
      <c r="N459" s="67"/>
      <c r="O459" s="49"/>
      <c r="P459" s="49" t="e">
        <f>VLOOKUP(O459,Sheet2!$B$10:$C$18,2,FALSE)</f>
        <v>#N/A</v>
      </c>
      <c r="Q459" s="67"/>
      <c r="R459" s="49"/>
      <c r="S459" s="49" t="e">
        <f>VLOOKUP(R459,Sheet2!$B$10:$C$18,2,FALSE)</f>
        <v>#N/A</v>
      </c>
      <c r="T459" s="67"/>
      <c r="U459" s="67">
        <f t="shared" si="27"/>
        <v>0</v>
      </c>
      <c r="V459" s="67"/>
      <c r="W459" s="67"/>
      <c r="X459" s="67"/>
      <c r="Y459" s="66"/>
      <c r="Z459" s="66"/>
      <c r="AA459" s="66"/>
      <c r="AB459" s="66"/>
      <c r="AC459" s="66"/>
      <c r="AD459" s="42" t="str">
        <f t="shared" si="23"/>
        <v>ทันกำหนด</v>
      </c>
      <c r="AE459" s="43"/>
      <c r="AF459" s="43"/>
      <c r="AG459" s="43"/>
      <c r="AH459" s="44"/>
    </row>
    <row r="460" spans="1:34" ht="27.75" customHeight="1">
      <c r="A460" s="41">
        <v>457</v>
      </c>
      <c r="B460" s="66"/>
      <c r="C460" s="48"/>
      <c r="D460" s="48"/>
      <c r="E460" s="49"/>
      <c r="F460" s="49"/>
      <c r="G460" s="49">
        <f t="shared" si="25"/>
        <v>0</v>
      </c>
      <c r="H460" s="49" t="str">
        <f t="shared" si="26"/>
        <v>ครบ</v>
      </c>
      <c r="I460" s="49"/>
      <c r="J460" s="49" t="e">
        <f>VLOOKUP(I460,Sheet2!$B$10:$C$18,2,FALSE)</f>
        <v>#N/A</v>
      </c>
      <c r="K460" s="67"/>
      <c r="L460" s="49"/>
      <c r="M460" s="49" t="e">
        <f>VLOOKUP(L460,Sheet2!$B$10:$C$18,2,FALSE)</f>
        <v>#N/A</v>
      </c>
      <c r="N460" s="67"/>
      <c r="O460" s="49"/>
      <c r="P460" s="49" t="e">
        <f>VLOOKUP(O460,Sheet2!$B$10:$C$18,2,FALSE)</f>
        <v>#N/A</v>
      </c>
      <c r="Q460" s="67"/>
      <c r="R460" s="49"/>
      <c r="S460" s="49" t="e">
        <f>VLOOKUP(R460,Sheet2!$B$10:$C$18,2,FALSE)</f>
        <v>#N/A</v>
      </c>
      <c r="T460" s="67"/>
      <c r="U460" s="67">
        <f t="shared" si="27"/>
        <v>0</v>
      </c>
      <c r="V460" s="67"/>
      <c r="W460" s="67"/>
      <c r="X460" s="67"/>
      <c r="Y460" s="66"/>
      <c r="Z460" s="66"/>
      <c r="AA460" s="66"/>
      <c r="AB460" s="66"/>
      <c r="AC460" s="66"/>
      <c r="AD460" s="42" t="str">
        <f t="shared" si="23"/>
        <v>ทันกำหนด</v>
      </c>
      <c r="AE460" s="43"/>
      <c r="AF460" s="43"/>
      <c r="AG460" s="43"/>
      <c r="AH460" s="44"/>
    </row>
    <row r="461" spans="1:34" ht="27.75" customHeight="1">
      <c r="A461" s="41">
        <v>458</v>
      </c>
      <c r="B461" s="66"/>
      <c r="C461" s="48"/>
      <c r="D461" s="48"/>
      <c r="E461" s="49"/>
      <c r="F461" s="49"/>
      <c r="G461" s="49">
        <f t="shared" si="25"/>
        <v>0</v>
      </c>
      <c r="H461" s="49" t="str">
        <f t="shared" si="26"/>
        <v>ครบ</v>
      </c>
      <c r="I461" s="49"/>
      <c r="J461" s="49" t="e">
        <f>VLOOKUP(I461,Sheet2!$B$10:$C$18,2,FALSE)</f>
        <v>#N/A</v>
      </c>
      <c r="K461" s="67"/>
      <c r="L461" s="49"/>
      <c r="M461" s="49" t="e">
        <f>VLOOKUP(L461,Sheet2!$B$10:$C$18,2,FALSE)</f>
        <v>#N/A</v>
      </c>
      <c r="N461" s="67"/>
      <c r="O461" s="49"/>
      <c r="P461" s="49" t="e">
        <f>VLOOKUP(O461,Sheet2!$B$10:$C$18,2,FALSE)</f>
        <v>#N/A</v>
      </c>
      <c r="Q461" s="67"/>
      <c r="R461" s="49"/>
      <c r="S461" s="49" t="e">
        <f>VLOOKUP(R461,Sheet2!$B$10:$C$18,2,FALSE)</f>
        <v>#N/A</v>
      </c>
      <c r="T461" s="67"/>
      <c r="U461" s="67">
        <f t="shared" si="27"/>
        <v>0</v>
      </c>
      <c r="V461" s="67"/>
      <c r="W461" s="67"/>
      <c r="X461" s="67"/>
      <c r="Y461" s="66"/>
      <c r="Z461" s="66"/>
      <c r="AA461" s="66"/>
      <c r="AB461" s="66"/>
      <c r="AC461" s="66"/>
      <c r="AD461" s="42" t="str">
        <f t="shared" si="23"/>
        <v>ทันกำหนด</v>
      </c>
      <c r="AE461" s="43"/>
      <c r="AF461" s="43"/>
      <c r="AG461" s="43"/>
      <c r="AH461" s="44"/>
    </row>
    <row r="462" spans="1:34" ht="27.75" customHeight="1">
      <c r="A462" s="41">
        <v>459</v>
      </c>
      <c r="B462" s="66"/>
      <c r="C462" s="48"/>
      <c r="D462" s="48"/>
      <c r="E462" s="49"/>
      <c r="F462" s="49"/>
      <c r="G462" s="49">
        <f t="shared" si="25"/>
        <v>0</v>
      </c>
      <c r="H462" s="49" t="str">
        <f t="shared" si="26"/>
        <v>ครบ</v>
      </c>
      <c r="I462" s="49"/>
      <c r="J462" s="49" t="e">
        <f>VLOOKUP(I462,Sheet2!$B$10:$C$18,2,FALSE)</f>
        <v>#N/A</v>
      </c>
      <c r="K462" s="67"/>
      <c r="L462" s="49"/>
      <c r="M462" s="49" t="e">
        <f>VLOOKUP(L462,Sheet2!$B$10:$C$18,2,FALSE)</f>
        <v>#N/A</v>
      </c>
      <c r="N462" s="67"/>
      <c r="O462" s="49"/>
      <c r="P462" s="49" t="e">
        <f>VLOOKUP(O462,Sheet2!$B$10:$C$18,2,FALSE)</f>
        <v>#N/A</v>
      </c>
      <c r="Q462" s="67"/>
      <c r="R462" s="49"/>
      <c r="S462" s="49" t="e">
        <f>VLOOKUP(R462,Sheet2!$B$10:$C$18,2,FALSE)</f>
        <v>#N/A</v>
      </c>
      <c r="T462" s="67"/>
      <c r="U462" s="67">
        <f t="shared" si="27"/>
        <v>0</v>
      </c>
      <c r="V462" s="67"/>
      <c r="W462" s="67"/>
      <c r="X462" s="67"/>
      <c r="Y462" s="66"/>
      <c r="Z462" s="66"/>
      <c r="AA462" s="66"/>
      <c r="AB462" s="66"/>
      <c r="AC462" s="66"/>
      <c r="AD462" s="42" t="str">
        <f t="shared" si="23"/>
        <v>ทันกำหนด</v>
      </c>
      <c r="AE462" s="43"/>
      <c r="AF462" s="43"/>
      <c r="AG462" s="43"/>
      <c r="AH462" s="44"/>
    </row>
    <row r="463" spans="1:34" ht="27.75" customHeight="1">
      <c r="A463" s="41">
        <v>460</v>
      </c>
      <c r="B463" s="66"/>
      <c r="C463" s="48"/>
      <c r="D463" s="48"/>
      <c r="E463" s="49"/>
      <c r="F463" s="49"/>
      <c r="G463" s="49">
        <f t="shared" si="25"/>
        <v>0</v>
      </c>
      <c r="H463" s="49" t="str">
        <f t="shared" si="26"/>
        <v>ครบ</v>
      </c>
      <c r="I463" s="49"/>
      <c r="J463" s="49" t="e">
        <f>VLOOKUP(I463,Sheet2!$B$10:$C$18,2,FALSE)</f>
        <v>#N/A</v>
      </c>
      <c r="K463" s="67"/>
      <c r="L463" s="49"/>
      <c r="M463" s="49" t="e">
        <f>VLOOKUP(L463,Sheet2!$B$10:$C$18,2,FALSE)</f>
        <v>#N/A</v>
      </c>
      <c r="N463" s="67"/>
      <c r="O463" s="49"/>
      <c r="P463" s="49" t="e">
        <f>VLOOKUP(O463,Sheet2!$B$10:$C$18,2,FALSE)</f>
        <v>#N/A</v>
      </c>
      <c r="Q463" s="67"/>
      <c r="R463" s="49"/>
      <c r="S463" s="49" t="e">
        <f>VLOOKUP(R463,Sheet2!$B$10:$C$18,2,FALSE)</f>
        <v>#N/A</v>
      </c>
      <c r="T463" s="67"/>
      <c r="U463" s="67">
        <f t="shared" si="27"/>
        <v>0</v>
      </c>
      <c r="V463" s="67"/>
      <c r="W463" s="67"/>
      <c r="X463" s="67"/>
      <c r="Y463" s="66"/>
      <c r="Z463" s="66"/>
      <c r="AA463" s="66"/>
      <c r="AB463" s="66"/>
      <c r="AC463" s="66"/>
      <c r="AD463" s="42" t="str">
        <f t="shared" si="23"/>
        <v>ทันกำหนด</v>
      </c>
      <c r="AE463" s="43"/>
      <c r="AF463" s="43"/>
      <c r="AG463" s="43"/>
      <c r="AH463" s="44"/>
    </row>
    <row r="464" spans="1:34" ht="27.75" customHeight="1">
      <c r="A464" s="41">
        <v>461</v>
      </c>
      <c r="B464" s="66"/>
      <c r="C464" s="48"/>
      <c r="D464" s="48"/>
      <c r="E464" s="49"/>
      <c r="F464" s="49"/>
      <c r="G464" s="49">
        <f t="shared" si="25"/>
        <v>0</v>
      </c>
      <c r="H464" s="49" t="str">
        <f t="shared" si="26"/>
        <v>ครบ</v>
      </c>
      <c r="I464" s="49"/>
      <c r="J464" s="49" t="e">
        <f>VLOOKUP(I464,Sheet2!$B$10:$C$18,2,FALSE)</f>
        <v>#N/A</v>
      </c>
      <c r="K464" s="67"/>
      <c r="L464" s="49"/>
      <c r="M464" s="49" t="e">
        <f>VLOOKUP(L464,Sheet2!$B$10:$C$18,2,FALSE)</f>
        <v>#N/A</v>
      </c>
      <c r="N464" s="67"/>
      <c r="O464" s="49"/>
      <c r="P464" s="49" t="e">
        <f>VLOOKUP(O464,Sheet2!$B$10:$C$18,2,FALSE)</f>
        <v>#N/A</v>
      </c>
      <c r="Q464" s="67"/>
      <c r="R464" s="49"/>
      <c r="S464" s="49" t="e">
        <f>VLOOKUP(R464,Sheet2!$B$10:$C$18,2,FALSE)</f>
        <v>#N/A</v>
      </c>
      <c r="T464" s="67"/>
      <c r="U464" s="67">
        <f t="shared" si="27"/>
        <v>0</v>
      </c>
      <c r="V464" s="67"/>
      <c r="W464" s="67"/>
      <c r="X464" s="67"/>
      <c r="Y464" s="66"/>
      <c r="Z464" s="66"/>
      <c r="AA464" s="66"/>
      <c r="AB464" s="66"/>
      <c r="AC464" s="66"/>
      <c r="AD464" s="42" t="str">
        <f t="shared" si="23"/>
        <v>ทันกำหนด</v>
      </c>
      <c r="AE464" s="43"/>
      <c r="AF464" s="43"/>
      <c r="AG464" s="43"/>
      <c r="AH464" s="44"/>
    </row>
    <row r="465" spans="1:34" ht="27.75" customHeight="1">
      <c r="A465" s="41">
        <v>462</v>
      </c>
      <c r="B465" s="66"/>
      <c r="C465" s="48"/>
      <c r="D465" s="48"/>
      <c r="E465" s="49"/>
      <c r="F465" s="49"/>
      <c r="G465" s="49">
        <f t="shared" si="25"/>
        <v>0</v>
      </c>
      <c r="H465" s="49" t="str">
        <f t="shared" si="26"/>
        <v>ครบ</v>
      </c>
      <c r="I465" s="49"/>
      <c r="J465" s="49" t="e">
        <f>VLOOKUP(I465,Sheet2!$B$10:$C$18,2,FALSE)</f>
        <v>#N/A</v>
      </c>
      <c r="K465" s="67"/>
      <c r="L465" s="49"/>
      <c r="M465" s="49" t="e">
        <f>VLOOKUP(L465,Sheet2!$B$10:$C$18,2,FALSE)</f>
        <v>#N/A</v>
      </c>
      <c r="N465" s="67"/>
      <c r="O465" s="49"/>
      <c r="P465" s="49" t="e">
        <f>VLOOKUP(O465,Sheet2!$B$10:$C$18,2,FALSE)</f>
        <v>#N/A</v>
      </c>
      <c r="Q465" s="67"/>
      <c r="R465" s="49"/>
      <c r="S465" s="49" t="e">
        <f>VLOOKUP(R465,Sheet2!$B$10:$C$18,2,FALSE)</f>
        <v>#N/A</v>
      </c>
      <c r="T465" s="67"/>
      <c r="U465" s="67">
        <f t="shared" si="27"/>
        <v>0</v>
      </c>
      <c r="V465" s="67"/>
      <c r="W465" s="67"/>
      <c r="X465" s="67"/>
      <c r="Y465" s="66"/>
      <c r="Z465" s="66"/>
      <c r="AA465" s="66"/>
      <c r="AB465" s="66"/>
      <c r="AC465" s="66"/>
      <c r="AD465" s="42" t="str">
        <f t="shared" si="23"/>
        <v>ทันกำหนด</v>
      </c>
      <c r="AE465" s="43"/>
      <c r="AF465" s="43"/>
      <c r="AG465" s="43"/>
      <c r="AH465" s="44"/>
    </row>
    <row r="466" spans="1:34" ht="27.75" customHeight="1">
      <c r="A466" s="41">
        <v>463</v>
      </c>
      <c r="B466" s="66"/>
      <c r="C466" s="48"/>
      <c r="D466" s="48"/>
      <c r="E466" s="49"/>
      <c r="F466" s="49"/>
      <c r="G466" s="49">
        <f t="shared" si="25"/>
        <v>0</v>
      </c>
      <c r="H466" s="49" t="str">
        <f t="shared" si="26"/>
        <v>ครบ</v>
      </c>
      <c r="I466" s="49"/>
      <c r="J466" s="49" t="e">
        <f>VLOOKUP(I466,Sheet2!$B$10:$C$18,2,FALSE)</f>
        <v>#N/A</v>
      </c>
      <c r="K466" s="67"/>
      <c r="L466" s="49"/>
      <c r="M466" s="49" t="e">
        <f>VLOOKUP(L466,Sheet2!$B$10:$C$18,2,FALSE)</f>
        <v>#N/A</v>
      </c>
      <c r="N466" s="67"/>
      <c r="O466" s="49"/>
      <c r="P466" s="49" t="e">
        <f>VLOOKUP(O466,Sheet2!$B$10:$C$18,2,FALSE)</f>
        <v>#N/A</v>
      </c>
      <c r="Q466" s="67"/>
      <c r="R466" s="49"/>
      <c r="S466" s="49" t="e">
        <f>VLOOKUP(R466,Sheet2!$B$10:$C$18,2,FALSE)</f>
        <v>#N/A</v>
      </c>
      <c r="T466" s="67"/>
      <c r="U466" s="67">
        <f t="shared" si="27"/>
        <v>0</v>
      </c>
      <c r="V466" s="67"/>
      <c r="W466" s="67"/>
      <c r="X466" s="67"/>
      <c r="Y466" s="66"/>
      <c r="Z466" s="66"/>
      <c r="AA466" s="66"/>
      <c r="AB466" s="66"/>
      <c r="AC466" s="66"/>
      <c r="AD466" s="42" t="str">
        <f t="shared" si="23"/>
        <v>ทันกำหนด</v>
      </c>
      <c r="AE466" s="43"/>
      <c r="AF466" s="43"/>
      <c r="AG466" s="43"/>
      <c r="AH466" s="44"/>
    </row>
    <row r="467" spans="1:34" ht="27.75" customHeight="1">
      <c r="A467" s="41">
        <v>464</v>
      </c>
      <c r="B467" s="66"/>
      <c r="C467" s="48"/>
      <c r="D467" s="48"/>
      <c r="E467" s="49"/>
      <c r="F467" s="49"/>
      <c r="G467" s="49">
        <f t="shared" si="25"/>
        <v>0</v>
      </c>
      <c r="H467" s="49" t="str">
        <f t="shared" si="26"/>
        <v>ครบ</v>
      </c>
      <c r="I467" s="49"/>
      <c r="J467" s="49" t="e">
        <f>VLOOKUP(I467,Sheet2!$B$10:$C$18,2,FALSE)</f>
        <v>#N/A</v>
      </c>
      <c r="K467" s="67"/>
      <c r="L467" s="49"/>
      <c r="M467" s="49" t="e">
        <f>VLOOKUP(L467,Sheet2!$B$10:$C$18,2,FALSE)</f>
        <v>#N/A</v>
      </c>
      <c r="N467" s="67"/>
      <c r="O467" s="49"/>
      <c r="P467" s="49" t="e">
        <f>VLOOKUP(O467,Sheet2!$B$10:$C$18,2,FALSE)</f>
        <v>#N/A</v>
      </c>
      <c r="Q467" s="67"/>
      <c r="R467" s="49"/>
      <c r="S467" s="49" t="e">
        <f>VLOOKUP(R467,Sheet2!$B$10:$C$18,2,FALSE)</f>
        <v>#N/A</v>
      </c>
      <c r="T467" s="67"/>
      <c r="U467" s="67">
        <f t="shared" si="27"/>
        <v>0</v>
      </c>
      <c r="V467" s="67"/>
      <c r="W467" s="67"/>
      <c r="X467" s="67"/>
      <c r="Y467" s="66"/>
      <c r="Z467" s="66"/>
      <c r="AA467" s="66"/>
      <c r="AB467" s="66"/>
      <c r="AC467" s="66"/>
      <c r="AD467" s="42" t="str">
        <f t="shared" si="23"/>
        <v>ทันกำหนด</v>
      </c>
      <c r="AE467" s="43"/>
      <c r="AF467" s="43"/>
      <c r="AG467" s="43"/>
      <c r="AH467" s="44"/>
    </row>
    <row r="468" spans="1:34" ht="27.75" customHeight="1">
      <c r="A468" s="41">
        <v>465</v>
      </c>
      <c r="B468" s="66"/>
      <c r="C468" s="48"/>
      <c r="D468" s="48"/>
      <c r="E468" s="49"/>
      <c r="F468" s="49"/>
      <c r="G468" s="49">
        <f t="shared" si="25"/>
        <v>0</v>
      </c>
      <c r="H468" s="49" t="str">
        <f t="shared" si="26"/>
        <v>ครบ</v>
      </c>
      <c r="I468" s="49"/>
      <c r="J468" s="49" t="e">
        <f>VLOOKUP(I468,Sheet2!$B$10:$C$18,2,FALSE)</f>
        <v>#N/A</v>
      </c>
      <c r="K468" s="67"/>
      <c r="L468" s="49"/>
      <c r="M468" s="49" t="e">
        <f>VLOOKUP(L468,Sheet2!$B$10:$C$18,2,FALSE)</f>
        <v>#N/A</v>
      </c>
      <c r="N468" s="67"/>
      <c r="O468" s="49"/>
      <c r="P468" s="49" t="e">
        <f>VLOOKUP(O468,Sheet2!$B$10:$C$18,2,FALSE)</f>
        <v>#N/A</v>
      </c>
      <c r="Q468" s="67"/>
      <c r="R468" s="49"/>
      <c r="S468" s="49" t="e">
        <f>VLOOKUP(R468,Sheet2!$B$10:$C$18,2,FALSE)</f>
        <v>#N/A</v>
      </c>
      <c r="T468" s="67"/>
      <c r="U468" s="67">
        <f t="shared" si="27"/>
        <v>0</v>
      </c>
      <c r="V468" s="67"/>
      <c r="W468" s="67"/>
      <c r="X468" s="67"/>
      <c r="Y468" s="66"/>
      <c r="Z468" s="66"/>
      <c r="AA468" s="66"/>
      <c r="AB468" s="66"/>
      <c r="AC468" s="66"/>
      <c r="AD468" s="42" t="str">
        <f t="shared" si="23"/>
        <v>ทันกำหนด</v>
      </c>
      <c r="AE468" s="43"/>
      <c r="AF468" s="43"/>
      <c r="AG468" s="43"/>
      <c r="AH468" s="44"/>
    </row>
    <row r="469" spans="1:34" ht="27.75" customHeight="1">
      <c r="A469" s="41">
        <v>466</v>
      </c>
      <c r="B469" s="66"/>
      <c r="C469" s="48"/>
      <c r="D469" s="48"/>
      <c r="E469" s="49"/>
      <c r="F469" s="49"/>
      <c r="G469" s="49">
        <f t="shared" si="25"/>
        <v>0</v>
      </c>
      <c r="H469" s="49" t="str">
        <f t="shared" si="26"/>
        <v>ครบ</v>
      </c>
      <c r="I469" s="49"/>
      <c r="J469" s="49" t="e">
        <f>VLOOKUP(I469,Sheet2!$B$10:$C$18,2,FALSE)</f>
        <v>#N/A</v>
      </c>
      <c r="K469" s="67"/>
      <c r="L469" s="49"/>
      <c r="M469" s="49" t="e">
        <f>VLOOKUP(L469,Sheet2!$B$10:$C$18,2,FALSE)</f>
        <v>#N/A</v>
      </c>
      <c r="N469" s="67"/>
      <c r="O469" s="49"/>
      <c r="P469" s="49" t="e">
        <f>VLOOKUP(O469,Sheet2!$B$10:$C$18,2,FALSE)</f>
        <v>#N/A</v>
      </c>
      <c r="Q469" s="67"/>
      <c r="R469" s="49"/>
      <c r="S469" s="49" t="e">
        <f>VLOOKUP(R469,Sheet2!$B$10:$C$18,2,FALSE)</f>
        <v>#N/A</v>
      </c>
      <c r="T469" s="67"/>
      <c r="U469" s="67">
        <f t="shared" si="27"/>
        <v>0</v>
      </c>
      <c r="V469" s="67"/>
      <c r="W469" s="67"/>
      <c r="X469" s="67"/>
      <c r="Y469" s="66"/>
      <c r="Z469" s="66"/>
      <c r="AA469" s="66"/>
      <c r="AB469" s="66"/>
      <c r="AC469" s="66"/>
      <c r="AD469" s="42" t="str">
        <f t="shared" si="23"/>
        <v>ทันกำหนด</v>
      </c>
      <c r="AE469" s="43"/>
      <c r="AF469" s="43"/>
      <c r="AG469" s="43"/>
      <c r="AH469" s="44"/>
    </row>
    <row r="470" spans="1:34" ht="27.75" customHeight="1">
      <c r="A470" s="41">
        <v>467</v>
      </c>
      <c r="B470" s="66"/>
      <c r="C470" s="48"/>
      <c r="D470" s="48"/>
      <c r="E470" s="49"/>
      <c r="F470" s="49"/>
      <c r="G470" s="49">
        <f t="shared" si="25"/>
        <v>0</v>
      </c>
      <c r="H470" s="49" t="str">
        <f t="shared" si="26"/>
        <v>ครบ</v>
      </c>
      <c r="I470" s="49"/>
      <c r="J470" s="49" t="e">
        <f>VLOOKUP(I470,Sheet2!$B$10:$C$18,2,FALSE)</f>
        <v>#N/A</v>
      </c>
      <c r="K470" s="67"/>
      <c r="L470" s="49"/>
      <c r="M470" s="49" t="e">
        <f>VLOOKUP(L470,Sheet2!$B$10:$C$18,2,FALSE)</f>
        <v>#N/A</v>
      </c>
      <c r="N470" s="67"/>
      <c r="O470" s="49"/>
      <c r="P470" s="49" t="e">
        <f>VLOOKUP(O470,Sheet2!$B$10:$C$18,2,FALSE)</f>
        <v>#N/A</v>
      </c>
      <c r="Q470" s="67"/>
      <c r="R470" s="49"/>
      <c r="S470" s="49" t="e">
        <f>VLOOKUP(R470,Sheet2!$B$10:$C$18,2,FALSE)</f>
        <v>#N/A</v>
      </c>
      <c r="T470" s="67"/>
      <c r="U470" s="67">
        <f t="shared" si="27"/>
        <v>0</v>
      </c>
      <c r="V470" s="67"/>
      <c r="W470" s="67"/>
      <c r="X470" s="67"/>
      <c r="Y470" s="66"/>
      <c r="Z470" s="66"/>
      <c r="AA470" s="66"/>
      <c r="AB470" s="66"/>
      <c r="AC470" s="66"/>
      <c r="AD470" s="42" t="str">
        <f t="shared" si="23"/>
        <v>ทันกำหนด</v>
      </c>
      <c r="AE470" s="43"/>
      <c r="AF470" s="43"/>
      <c r="AG470" s="43"/>
      <c r="AH470" s="44"/>
    </row>
    <row r="471" spans="1:34" ht="27.75" customHeight="1">
      <c r="A471" s="41">
        <v>468</v>
      </c>
      <c r="B471" s="66"/>
      <c r="C471" s="48"/>
      <c r="D471" s="48"/>
      <c r="E471" s="49"/>
      <c r="F471" s="49"/>
      <c r="G471" s="49">
        <f t="shared" si="25"/>
        <v>0</v>
      </c>
      <c r="H471" s="49" t="str">
        <f t="shared" si="26"/>
        <v>ครบ</v>
      </c>
      <c r="I471" s="49"/>
      <c r="J471" s="49" t="e">
        <f>VLOOKUP(I471,Sheet2!$B$10:$C$18,2,FALSE)</f>
        <v>#N/A</v>
      </c>
      <c r="K471" s="67"/>
      <c r="L471" s="49"/>
      <c r="M471" s="49" t="e">
        <f>VLOOKUP(L471,Sheet2!$B$10:$C$18,2,FALSE)</f>
        <v>#N/A</v>
      </c>
      <c r="N471" s="67"/>
      <c r="O471" s="49"/>
      <c r="P471" s="49" t="e">
        <f>VLOOKUP(O471,Sheet2!$B$10:$C$18,2,FALSE)</f>
        <v>#N/A</v>
      </c>
      <c r="Q471" s="67"/>
      <c r="R471" s="49"/>
      <c r="S471" s="49" t="e">
        <f>VLOOKUP(R471,Sheet2!$B$10:$C$18,2,FALSE)</f>
        <v>#N/A</v>
      </c>
      <c r="T471" s="67"/>
      <c r="U471" s="67">
        <f t="shared" si="27"/>
        <v>0</v>
      </c>
      <c r="V471" s="67"/>
      <c r="W471" s="67"/>
      <c r="X471" s="67"/>
      <c r="Y471" s="66"/>
      <c r="Z471" s="66"/>
      <c r="AA471" s="66"/>
      <c r="AB471" s="66"/>
      <c r="AC471" s="66"/>
      <c r="AD471" s="42" t="str">
        <f t="shared" si="23"/>
        <v>ทันกำหนด</v>
      </c>
      <c r="AE471" s="43"/>
      <c r="AF471" s="43"/>
      <c r="AG471" s="43"/>
      <c r="AH471" s="44"/>
    </row>
    <row r="472" spans="1:34" ht="27.75" customHeight="1">
      <c r="A472" s="41">
        <v>469</v>
      </c>
      <c r="B472" s="66"/>
      <c r="C472" s="48"/>
      <c r="D472" s="48"/>
      <c r="E472" s="49"/>
      <c r="F472" s="49"/>
      <c r="G472" s="49">
        <f t="shared" si="25"/>
        <v>0</v>
      </c>
      <c r="H472" s="49" t="str">
        <f t="shared" si="26"/>
        <v>ครบ</v>
      </c>
      <c r="I472" s="49"/>
      <c r="J472" s="49" t="e">
        <f>VLOOKUP(I472,Sheet2!$B$10:$C$18,2,FALSE)</f>
        <v>#N/A</v>
      </c>
      <c r="K472" s="67"/>
      <c r="L472" s="49"/>
      <c r="M472" s="49" t="e">
        <f>VLOOKUP(L472,Sheet2!$B$10:$C$18,2,FALSE)</f>
        <v>#N/A</v>
      </c>
      <c r="N472" s="67"/>
      <c r="O472" s="49"/>
      <c r="P472" s="49" t="e">
        <f>VLOOKUP(O472,Sheet2!$B$10:$C$18,2,FALSE)</f>
        <v>#N/A</v>
      </c>
      <c r="Q472" s="67"/>
      <c r="R472" s="49"/>
      <c r="S472" s="49" t="e">
        <f>VLOOKUP(R472,Sheet2!$B$10:$C$18,2,FALSE)</f>
        <v>#N/A</v>
      </c>
      <c r="T472" s="67"/>
      <c r="U472" s="67">
        <f t="shared" si="27"/>
        <v>0</v>
      </c>
      <c r="V472" s="67"/>
      <c r="W472" s="67"/>
      <c r="X472" s="67"/>
      <c r="Y472" s="66"/>
      <c r="Z472" s="66"/>
      <c r="AA472" s="66"/>
      <c r="AB472" s="66"/>
      <c r="AC472" s="66"/>
      <c r="AD472" s="42" t="str">
        <f t="shared" si="23"/>
        <v>ทันกำหนด</v>
      </c>
      <c r="AE472" s="43"/>
      <c r="AF472" s="43"/>
      <c r="AG472" s="43"/>
      <c r="AH472" s="44"/>
    </row>
    <row r="473" spans="1:34" ht="27.75" customHeight="1">
      <c r="A473" s="41">
        <v>470</v>
      </c>
      <c r="B473" s="66"/>
      <c r="C473" s="48"/>
      <c r="D473" s="48"/>
      <c r="E473" s="49"/>
      <c r="F473" s="49"/>
      <c r="G473" s="49">
        <f t="shared" si="25"/>
        <v>0</v>
      </c>
      <c r="H473" s="49" t="str">
        <f t="shared" si="26"/>
        <v>ครบ</v>
      </c>
      <c r="I473" s="49"/>
      <c r="J473" s="49" t="e">
        <f>VLOOKUP(I473,Sheet2!$B$10:$C$18,2,FALSE)</f>
        <v>#N/A</v>
      </c>
      <c r="K473" s="67"/>
      <c r="L473" s="49"/>
      <c r="M473" s="49" t="e">
        <f>VLOOKUP(L473,Sheet2!$B$10:$C$18,2,FALSE)</f>
        <v>#N/A</v>
      </c>
      <c r="N473" s="67"/>
      <c r="O473" s="49"/>
      <c r="P473" s="49" t="e">
        <f>VLOOKUP(O473,Sheet2!$B$10:$C$18,2,FALSE)</f>
        <v>#N/A</v>
      </c>
      <c r="Q473" s="67"/>
      <c r="R473" s="49"/>
      <c r="S473" s="49" t="e">
        <f>VLOOKUP(R473,Sheet2!$B$10:$C$18,2,FALSE)</f>
        <v>#N/A</v>
      </c>
      <c r="T473" s="67"/>
      <c r="U473" s="67">
        <f t="shared" si="27"/>
        <v>0</v>
      </c>
      <c r="V473" s="67"/>
      <c r="W473" s="67"/>
      <c r="X473" s="67"/>
      <c r="Y473" s="66"/>
      <c r="Z473" s="66"/>
      <c r="AA473" s="66"/>
      <c r="AB473" s="66"/>
      <c r="AC473" s="66"/>
      <c r="AD473" s="42" t="str">
        <f t="shared" si="23"/>
        <v>ทันกำหนด</v>
      </c>
      <c r="AE473" s="43"/>
      <c r="AF473" s="43"/>
      <c r="AG473" s="43"/>
      <c r="AH473" s="44"/>
    </row>
    <row r="474" spans="1:34" ht="27.75" customHeight="1">
      <c r="A474" s="41">
        <v>471</v>
      </c>
      <c r="B474" s="66"/>
      <c r="C474" s="48"/>
      <c r="D474" s="48"/>
      <c r="E474" s="49"/>
      <c r="F474" s="49"/>
      <c r="G474" s="49">
        <f t="shared" si="25"/>
        <v>0</v>
      </c>
      <c r="H474" s="49" t="str">
        <f t="shared" si="26"/>
        <v>ครบ</v>
      </c>
      <c r="I474" s="49"/>
      <c r="J474" s="49" t="e">
        <f>VLOOKUP(I474,Sheet2!$B$10:$C$18,2,FALSE)</f>
        <v>#N/A</v>
      </c>
      <c r="K474" s="67"/>
      <c r="L474" s="49"/>
      <c r="M474" s="49" t="e">
        <f>VLOOKUP(L474,Sheet2!$B$10:$C$18,2,FALSE)</f>
        <v>#N/A</v>
      </c>
      <c r="N474" s="67"/>
      <c r="O474" s="49"/>
      <c r="P474" s="49" t="e">
        <f>VLOOKUP(O474,Sheet2!$B$10:$C$18,2,FALSE)</f>
        <v>#N/A</v>
      </c>
      <c r="Q474" s="67"/>
      <c r="R474" s="49"/>
      <c r="S474" s="49" t="e">
        <f>VLOOKUP(R474,Sheet2!$B$10:$C$18,2,FALSE)</f>
        <v>#N/A</v>
      </c>
      <c r="T474" s="67"/>
      <c r="U474" s="67">
        <f t="shared" si="27"/>
        <v>0</v>
      </c>
      <c r="V474" s="67"/>
      <c r="W474" s="67"/>
      <c r="X474" s="67"/>
      <c r="Y474" s="66"/>
      <c r="Z474" s="66"/>
      <c r="AA474" s="66"/>
      <c r="AB474" s="66"/>
      <c r="AC474" s="66"/>
      <c r="AD474" s="42" t="str">
        <f t="shared" si="23"/>
        <v>ทันกำหนด</v>
      </c>
      <c r="AE474" s="43"/>
      <c r="AF474" s="43"/>
      <c r="AG474" s="43"/>
      <c r="AH474" s="44"/>
    </row>
    <row r="475" spans="1:34" ht="27.75" customHeight="1">
      <c r="A475" s="41">
        <v>472</v>
      </c>
      <c r="B475" s="66"/>
      <c r="C475" s="48"/>
      <c r="D475" s="48"/>
      <c r="E475" s="49"/>
      <c r="F475" s="49"/>
      <c r="G475" s="49">
        <f t="shared" si="25"/>
        <v>0</v>
      </c>
      <c r="H475" s="49" t="str">
        <f t="shared" si="26"/>
        <v>ครบ</v>
      </c>
      <c r="I475" s="49"/>
      <c r="J475" s="49" t="e">
        <f>VLOOKUP(I475,Sheet2!$B$10:$C$18,2,FALSE)</f>
        <v>#N/A</v>
      </c>
      <c r="K475" s="67"/>
      <c r="L475" s="49"/>
      <c r="M475" s="49" t="e">
        <f>VLOOKUP(L475,Sheet2!$B$10:$C$18,2,FALSE)</f>
        <v>#N/A</v>
      </c>
      <c r="N475" s="67"/>
      <c r="O475" s="49"/>
      <c r="P475" s="49" t="e">
        <f>VLOOKUP(O475,Sheet2!$B$10:$C$18,2,FALSE)</f>
        <v>#N/A</v>
      </c>
      <c r="Q475" s="67"/>
      <c r="R475" s="49"/>
      <c r="S475" s="49" t="e">
        <f>VLOOKUP(R475,Sheet2!$B$10:$C$18,2,FALSE)</f>
        <v>#N/A</v>
      </c>
      <c r="T475" s="67"/>
      <c r="U475" s="67">
        <f t="shared" si="27"/>
        <v>0</v>
      </c>
      <c r="V475" s="67"/>
      <c r="W475" s="67"/>
      <c r="X475" s="67"/>
      <c r="Y475" s="66"/>
      <c r="Z475" s="66"/>
      <c r="AA475" s="66"/>
      <c r="AB475" s="66"/>
      <c r="AC475" s="66"/>
      <c r="AD475" s="42" t="str">
        <f t="shared" si="23"/>
        <v>ทันกำหนด</v>
      </c>
      <c r="AE475" s="43"/>
      <c r="AF475" s="43"/>
      <c r="AG475" s="43"/>
      <c r="AH475" s="44"/>
    </row>
    <row r="476" spans="1:34" ht="27.75" customHeight="1">
      <c r="A476" s="41">
        <v>473</v>
      </c>
      <c r="B476" s="66"/>
      <c r="C476" s="48"/>
      <c r="D476" s="48"/>
      <c r="E476" s="49"/>
      <c r="F476" s="49"/>
      <c r="G476" s="49">
        <f t="shared" si="25"/>
        <v>0</v>
      </c>
      <c r="H476" s="49" t="str">
        <f t="shared" si="26"/>
        <v>ครบ</v>
      </c>
      <c r="I476" s="49"/>
      <c r="J476" s="49" t="e">
        <f>VLOOKUP(I476,Sheet2!$B$10:$C$18,2,FALSE)</f>
        <v>#N/A</v>
      </c>
      <c r="K476" s="67"/>
      <c r="L476" s="49"/>
      <c r="M476" s="49" t="e">
        <f>VLOOKUP(L476,Sheet2!$B$10:$C$18,2,FALSE)</f>
        <v>#N/A</v>
      </c>
      <c r="N476" s="67"/>
      <c r="O476" s="49"/>
      <c r="P476" s="49" t="e">
        <f>VLOOKUP(O476,Sheet2!$B$10:$C$18,2,FALSE)</f>
        <v>#N/A</v>
      </c>
      <c r="Q476" s="67"/>
      <c r="R476" s="49"/>
      <c r="S476" s="49" t="e">
        <f>VLOOKUP(R476,Sheet2!$B$10:$C$18,2,FALSE)</f>
        <v>#N/A</v>
      </c>
      <c r="T476" s="67"/>
      <c r="U476" s="67">
        <f t="shared" si="27"/>
        <v>0</v>
      </c>
      <c r="V476" s="67"/>
      <c r="W476" s="67"/>
      <c r="X476" s="67"/>
      <c r="Y476" s="66"/>
      <c r="Z476" s="66"/>
      <c r="AA476" s="66"/>
      <c r="AB476" s="66"/>
      <c r="AC476" s="66"/>
      <c r="AD476" s="42" t="str">
        <f t="shared" si="23"/>
        <v>ทันกำหนด</v>
      </c>
      <c r="AE476" s="43"/>
      <c r="AF476" s="43"/>
      <c r="AG476" s="43"/>
      <c r="AH476" s="44"/>
    </row>
    <row r="477" spans="1:34" ht="27.75" customHeight="1">
      <c r="A477" s="41">
        <v>474</v>
      </c>
      <c r="B477" s="66"/>
      <c r="C477" s="48"/>
      <c r="D477" s="48"/>
      <c r="E477" s="49"/>
      <c r="F477" s="49"/>
      <c r="G477" s="49">
        <f t="shared" si="25"/>
        <v>0</v>
      </c>
      <c r="H477" s="49" t="str">
        <f t="shared" si="26"/>
        <v>ครบ</v>
      </c>
      <c r="I477" s="49"/>
      <c r="J477" s="49" t="e">
        <f>VLOOKUP(I477,Sheet2!$B$10:$C$18,2,FALSE)</f>
        <v>#N/A</v>
      </c>
      <c r="K477" s="67"/>
      <c r="L477" s="49"/>
      <c r="M477" s="49" t="e">
        <f>VLOOKUP(L477,Sheet2!$B$10:$C$18,2,FALSE)</f>
        <v>#N/A</v>
      </c>
      <c r="N477" s="67"/>
      <c r="O477" s="49"/>
      <c r="P477" s="49" t="e">
        <f>VLOOKUP(O477,Sheet2!$B$10:$C$18,2,FALSE)</f>
        <v>#N/A</v>
      </c>
      <c r="Q477" s="67"/>
      <c r="R477" s="49"/>
      <c r="S477" s="49" t="e">
        <f>VLOOKUP(R477,Sheet2!$B$10:$C$18,2,FALSE)</f>
        <v>#N/A</v>
      </c>
      <c r="T477" s="67"/>
      <c r="U477" s="67">
        <f t="shared" si="27"/>
        <v>0</v>
      </c>
      <c r="V477" s="67"/>
      <c r="W477" s="67"/>
      <c r="X477" s="67"/>
      <c r="Y477" s="66"/>
      <c r="Z477" s="66"/>
      <c r="AA477" s="66"/>
      <c r="AB477" s="66"/>
      <c r="AC477" s="66"/>
      <c r="AD477" s="42" t="str">
        <f t="shared" si="23"/>
        <v>ทันกำหนด</v>
      </c>
      <c r="AE477" s="43"/>
      <c r="AF477" s="43"/>
      <c r="AG477" s="43"/>
      <c r="AH477" s="44"/>
    </row>
    <row r="478" spans="1:34" ht="27.75" customHeight="1">
      <c r="A478" s="41">
        <v>475</v>
      </c>
      <c r="B478" s="66"/>
      <c r="C478" s="48"/>
      <c r="D478" s="48"/>
      <c r="E478" s="49"/>
      <c r="F478" s="49"/>
      <c r="G478" s="49">
        <f t="shared" si="25"/>
        <v>0</v>
      </c>
      <c r="H478" s="49" t="str">
        <f t="shared" si="26"/>
        <v>ครบ</v>
      </c>
      <c r="I478" s="49"/>
      <c r="J478" s="49" t="e">
        <f>VLOOKUP(I478,Sheet2!$B$10:$C$18,2,FALSE)</f>
        <v>#N/A</v>
      </c>
      <c r="K478" s="67"/>
      <c r="L478" s="49"/>
      <c r="M478" s="49" t="e">
        <f>VLOOKUP(L478,Sheet2!$B$10:$C$18,2,FALSE)</f>
        <v>#N/A</v>
      </c>
      <c r="N478" s="67"/>
      <c r="O478" s="49"/>
      <c r="P478" s="49" t="e">
        <f>VLOOKUP(O478,Sheet2!$B$10:$C$18,2,FALSE)</f>
        <v>#N/A</v>
      </c>
      <c r="Q478" s="67"/>
      <c r="R478" s="49"/>
      <c r="S478" s="49" t="e">
        <f>VLOOKUP(R478,Sheet2!$B$10:$C$18,2,FALSE)</f>
        <v>#N/A</v>
      </c>
      <c r="T478" s="67"/>
      <c r="U478" s="67">
        <f t="shared" si="27"/>
        <v>0</v>
      </c>
      <c r="V478" s="67"/>
      <c r="W478" s="67"/>
      <c r="X478" s="67"/>
      <c r="Y478" s="66"/>
      <c r="Z478" s="66"/>
      <c r="AA478" s="66"/>
      <c r="AB478" s="66"/>
      <c r="AC478" s="66"/>
      <c r="AD478" s="42" t="str">
        <f t="shared" si="23"/>
        <v>ทันกำหนด</v>
      </c>
      <c r="AE478" s="43"/>
      <c r="AF478" s="43"/>
      <c r="AG478" s="43"/>
      <c r="AH478" s="44"/>
    </row>
    <row r="479" spans="1:34" ht="27.75" customHeight="1">
      <c r="A479" s="41">
        <v>476</v>
      </c>
      <c r="B479" s="66"/>
      <c r="C479" s="48"/>
      <c r="D479" s="48"/>
      <c r="E479" s="49"/>
      <c r="F479" s="49"/>
      <c r="G479" s="49">
        <f t="shared" si="25"/>
        <v>0</v>
      </c>
      <c r="H479" s="49" t="str">
        <f t="shared" si="26"/>
        <v>ครบ</v>
      </c>
      <c r="I479" s="49"/>
      <c r="J479" s="49" t="e">
        <f>VLOOKUP(I479,Sheet2!$B$10:$C$18,2,FALSE)</f>
        <v>#N/A</v>
      </c>
      <c r="K479" s="67"/>
      <c r="L479" s="49"/>
      <c r="M479" s="49" t="e">
        <f>VLOOKUP(L479,Sheet2!$B$10:$C$18,2,FALSE)</f>
        <v>#N/A</v>
      </c>
      <c r="N479" s="67"/>
      <c r="O479" s="49"/>
      <c r="P479" s="49" t="e">
        <f>VLOOKUP(O479,Sheet2!$B$10:$C$18,2,FALSE)</f>
        <v>#N/A</v>
      </c>
      <c r="Q479" s="67"/>
      <c r="R479" s="49"/>
      <c r="S479" s="49" t="e">
        <f>VLOOKUP(R479,Sheet2!$B$10:$C$18,2,FALSE)</f>
        <v>#N/A</v>
      </c>
      <c r="T479" s="67"/>
      <c r="U479" s="67">
        <f t="shared" si="27"/>
        <v>0</v>
      </c>
      <c r="V479" s="67"/>
      <c r="W479" s="67"/>
      <c r="X479" s="67"/>
      <c r="Y479" s="66"/>
      <c r="Z479" s="66"/>
      <c r="AA479" s="66"/>
      <c r="AB479" s="66"/>
      <c r="AC479" s="66"/>
      <c r="AD479" s="42" t="str">
        <f t="shared" si="23"/>
        <v>ทันกำหนด</v>
      </c>
      <c r="AE479" s="43"/>
      <c r="AF479" s="43"/>
      <c r="AG479" s="43"/>
      <c r="AH479" s="44"/>
    </row>
    <row r="480" spans="1:34" ht="27.75" customHeight="1">
      <c r="A480" s="41">
        <v>477</v>
      </c>
      <c r="B480" s="66"/>
      <c r="C480" s="48"/>
      <c r="D480" s="48"/>
      <c r="E480" s="49"/>
      <c r="F480" s="49"/>
      <c r="G480" s="49">
        <f t="shared" si="25"/>
        <v>0</v>
      </c>
      <c r="H480" s="49" t="str">
        <f t="shared" si="26"/>
        <v>ครบ</v>
      </c>
      <c r="I480" s="49"/>
      <c r="J480" s="49" t="e">
        <f>VLOOKUP(I480,Sheet2!$B$10:$C$18,2,FALSE)</f>
        <v>#N/A</v>
      </c>
      <c r="K480" s="67"/>
      <c r="L480" s="49"/>
      <c r="M480" s="49" t="e">
        <f>VLOOKUP(L480,Sheet2!$B$10:$C$18,2,FALSE)</f>
        <v>#N/A</v>
      </c>
      <c r="N480" s="67"/>
      <c r="O480" s="49"/>
      <c r="P480" s="49" t="e">
        <f>VLOOKUP(O480,Sheet2!$B$10:$C$18,2,FALSE)</f>
        <v>#N/A</v>
      </c>
      <c r="Q480" s="67"/>
      <c r="R480" s="49"/>
      <c r="S480" s="49" t="e">
        <f>VLOOKUP(R480,Sheet2!$B$10:$C$18,2,FALSE)</f>
        <v>#N/A</v>
      </c>
      <c r="T480" s="67"/>
      <c r="U480" s="67">
        <f t="shared" si="27"/>
        <v>0</v>
      </c>
      <c r="V480" s="67"/>
      <c r="W480" s="67"/>
      <c r="X480" s="67"/>
      <c r="Y480" s="66"/>
      <c r="Z480" s="66"/>
      <c r="AA480" s="66"/>
      <c r="AB480" s="66"/>
      <c r="AC480" s="66"/>
      <c r="AD480" s="42" t="str">
        <f t="shared" si="23"/>
        <v>ทันกำหนด</v>
      </c>
      <c r="AE480" s="43"/>
      <c r="AF480" s="43"/>
      <c r="AG480" s="43"/>
      <c r="AH480" s="44"/>
    </row>
    <row r="481" spans="1:34" ht="27.75" customHeight="1">
      <c r="A481" s="41">
        <v>478</v>
      </c>
      <c r="B481" s="66"/>
      <c r="C481" s="48"/>
      <c r="D481" s="48"/>
      <c r="E481" s="49"/>
      <c r="F481" s="49"/>
      <c r="G481" s="49">
        <f t="shared" si="25"/>
        <v>0</v>
      </c>
      <c r="H481" s="49" t="str">
        <f t="shared" si="26"/>
        <v>ครบ</v>
      </c>
      <c r="I481" s="49"/>
      <c r="J481" s="49" t="e">
        <f>VLOOKUP(I481,Sheet2!$B$10:$C$18,2,FALSE)</f>
        <v>#N/A</v>
      </c>
      <c r="K481" s="67"/>
      <c r="L481" s="49"/>
      <c r="M481" s="49" t="e">
        <f>VLOOKUP(L481,Sheet2!$B$10:$C$18,2,FALSE)</f>
        <v>#N/A</v>
      </c>
      <c r="N481" s="67"/>
      <c r="O481" s="49"/>
      <c r="P481" s="49" t="e">
        <f>VLOOKUP(O481,Sheet2!$B$10:$C$18,2,FALSE)</f>
        <v>#N/A</v>
      </c>
      <c r="Q481" s="67"/>
      <c r="R481" s="49"/>
      <c r="S481" s="49" t="e">
        <f>VLOOKUP(R481,Sheet2!$B$10:$C$18,2,FALSE)</f>
        <v>#N/A</v>
      </c>
      <c r="T481" s="67"/>
      <c r="U481" s="67">
        <f t="shared" si="27"/>
        <v>0</v>
      </c>
      <c r="V481" s="67"/>
      <c r="W481" s="67"/>
      <c r="X481" s="67"/>
      <c r="Y481" s="66"/>
      <c r="Z481" s="66"/>
      <c r="AA481" s="66"/>
      <c r="AB481" s="66"/>
      <c r="AC481" s="66"/>
      <c r="AD481" s="42" t="str">
        <f t="shared" si="23"/>
        <v>ทันกำหนด</v>
      </c>
      <c r="AE481" s="43"/>
      <c r="AF481" s="43"/>
      <c r="AG481" s="43"/>
      <c r="AH481" s="44"/>
    </row>
    <row r="482" spans="1:34" ht="27.75" customHeight="1">
      <c r="A482" s="41">
        <v>479</v>
      </c>
      <c r="B482" s="66"/>
      <c r="C482" s="48"/>
      <c r="D482" s="48"/>
      <c r="E482" s="49"/>
      <c r="F482" s="49"/>
      <c r="G482" s="49">
        <f t="shared" si="25"/>
        <v>0</v>
      </c>
      <c r="H482" s="49" t="str">
        <f t="shared" si="26"/>
        <v>ครบ</v>
      </c>
      <c r="I482" s="49"/>
      <c r="J482" s="49" t="e">
        <f>VLOOKUP(I482,Sheet2!$B$10:$C$18,2,FALSE)</f>
        <v>#N/A</v>
      </c>
      <c r="K482" s="67"/>
      <c r="L482" s="49"/>
      <c r="M482" s="49" t="e">
        <f>VLOOKUP(L482,Sheet2!$B$10:$C$18,2,FALSE)</f>
        <v>#N/A</v>
      </c>
      <c r="N482" s="67"/>
      <c r="O482" s="49"/>
      <c r="P482" s="49" t="e">
        <f>VLOOKUP(O482,Sheet2!$B$10:$C$18,2,FALSE)</f>
        <v>#N/A</v>
      </c>
      <c r="Q482" s="67"/>
      <c r="R482" s="49"/>
      <c r="S482" s="49" t="e">
        <f>VLOOKUP(R482,Sheet2!$B$10:$C$18,2,FALSE)</f>
        <v>#N/A</v>
      </c>
      <c r="T482" s="67"/>
      <c r="U482" s="67">
        <f t="shared" si="27"/>
        <v>0</v>
      </c>
      <c r="V482" s="67"/>
      <c r="W482" s="67"/>
      <c r="X482" s="67"/>
      <c r="Y482" s="66"/>
      <c r="Z482" s="66"/>
      <c r="AA482" s="66"/>
      <c r="AB482" s="66"/>
      <c r="AC482" s="66"/>
      <c r="AD482" s="42" t="str">
        <f t="shared" si="23"/>
        <v>ทันกำหนด</v>
      </c>
      <c r="AE482" s="43"/>
      <c r="AF482" s="43"/>
      <c r="AG482" s="43"/>
      <c r="AH482" s="44"/>
    </row>
    <row r="483" spans="1:34" ht="27.75" customHeight="1">
      <c r="A483" s="41">
        <v>480</v>
      </c>
      <c r="B483" s="66"/>
      <c r="C483" s="48"/>
      <c r="D483" s="48"/>
      <c r="E483" s="49"/>
      <c r="F483" s="49"/>
      <c r="G483" s="49">
        <f t="shared" si="25"/>
        <v>0</v>
      </c>
      <c r="H483" s="49" t="str">
        <f t="shared" si="26"/>
        <v>ครบ</v>
      </c>
      <c r="I483" s="49"/>
      <c r="J483" s="49" t="e">
        <f>VLOOKUP(I483,Sheet2!$B$10:$C$18,2,FALSE)</f>
        <v>#N/A</v>
      </c>
      <c r="K483" s="67"/>
      <c r="L483" s="49"/>
      <c r="M483" s="49" t="e">
        <f>VLOOKUP(L483,Sheet2!$B$10:$C$18,2,FALSE)</f>
        <v>#N/A</v>
      </c>
      <c r="N483" s="67"/>
      <c r="O483" s="49"/>
      <c r="P483" s="49" t="e">
        <f>VLOOKUP(O483,Sheet2!$B$10:$C$18,2,FALSE)</f>
        <v>#N/A</v>
      </c>
      <c r="Q483" s="67"/>
      <c r="R483" s="49"/>
      <c r="S483" s="49" t="e">
        <f>VLOOKUP(R483,Sheet2!$B$10:$C$18,2,FALSE)</f>
        <v>#N/A</v>
      </c>
      <c r="T483" s="67"/>
      <c r="U483" s="67">
        <f t="shared" si="27"/>
        <v>0</v>
      </c>
      <c r="V483" s="67"/>
      <c r="W483" s="67"/>
      <c r="X483" s="67"/>
      <c r="Y483" s="66"/>
      <c r="Z483" s="66"/>
      <c r="AA483" s="66"/>
      <c r="AB483" s="66"/>
      <c r="AC483" s="66"/>
      <c r="AD483" s="42" t="str">
        <f t="shared" si="23"/>
        <v>ทันกำหนด</v>
      </c>
      <c r="AE483" s="43"/>
      <c r="AF483" s="43"/>
      <c r="AG483" s="43"/>
      <c r="AH483" s="44"/>
    </row>
    <row r="484" spans="1:34" ht="27.75" customHeight="1">
      <c r="A484" s="41">
        <v>481</v>
      </c>
      <c r="B484" s="66"/>
      <c r="C484" s="48"/>
      <c r="D484" s="48"/>
      <c r="E484" s="49"/>
      <c r="F484" s="49"/>
      <c r="G484" s="49">
        <f t="shared" si="25"/>
        <v>0</v>
      </c>
      <c r="H484" s="49" t="str">
        <f t="shared" si="26"/>
        <v>ครบ</v>
      </c>
      <c r="I484" s="49"/>
      <c r="J484" s="49" t="e">
        <f>VLOOKUP(I484,Sheet2!$B$10:$C$18,2,FALSE)</f>
        <v>#N/A</v>
      </c>
      <c r="K484" s="67"/>
      <c r="L484" s="49"/>
      <c r="M484" s="49" t="e">
        <f>VLOOKUP(L484,Sheet2!$B$10:$C$18,2,FALSE)</f>
        <v>#N/A</v>
      </c>
      <c r="N484" s="67"/>
      <c r="O484" s="49"/>
      <c r="P484" s="49" t="e">
        <f>VLOOKUP(O484,Sheet2!$B$10:$C$18,2,FALSE)</f>
        <v>#N/A</v>
      </c>
      <c r="Q484" s="67"/>
      <c r="R484" s="49"/>
      <c r="S484" s="49" t="e">
        <f>VLOOKUP(R484,Sheet2!$B$10:$C$18,2,FALSE)</f>
        <v>#N/A</v>
      </c>
      <c r="T484" s="67"/>
      <c r="U484" s="67">
        <f t="shared" si="27"/>
        <v>0</v>
      </c>
      <c r="V484" s="67"/>
      <c r="W484" s="67"/>
      <c r="X484" s="67"/>
      <c r="Y484" s="66"/>
      <c r="Z484" s="66"/>
      <c r="AA484" s="66"/>
      <c r="AB484" s="66"/>
      <c r="AC484" s="66"/>
      <c r="AD484" s="42" t="str">
        <f t="shared" si="23"/>
        <v>ทันกำหนด</v>
      </c>
      <c r="AE484" s="43"/>
      <c r="AF484" s="43"/>
      <c r="AG484" s="43"/>
      <c r="AH484" s="44"/>
    </row>
    <row r="485" spans="1:34" ht="27.75" customHeight="1">
      <c r="A485" s="41">
        <v>482</v>
      </c>
      <c r="B485" s="66"/>
      <c r="C485" s="48"/>
      <c r="D485" s="48"/>
      <c r="E485" s="49"/>
      <c r="F485" s="49"/>
      <c r="G485" s="49">
        <f t="shared" si="25"/>
        <v>0</v>
      </c>
      <c r="H485" s="49" t="str">
        <f t="shared" si="26"/>
        <v>ครบ</v>
      </c>
      <c r="I485" s="49"/>
      <c r="J485" s="49" t="e">
        <f>VLOOKUP(I485,Sheet2!$B$10:$C$18,2,FALSE)</f>
        <v>#N/A</v>
      </c>
      <c r="K485" s="67"/>
      <c r="L485" s="49"/>
      <c r="M485" s="49" t="e">
        <f>VLOOKUP(L485,Sheet2!$B$10:$C$18,2,FALSE)</f>
        <v>#N/A</v>
      </c>
      <c r="N485" s="67"/>
      <c r="O485" s="49"/>
      <c r="P485" s="49" t="e">
        <f>VLOOKUP(O485,Sheet2!$B$10:$C$18,2,FALSE)</f>
        <v>#N/A</v>
      </c>
      <c r="Q485" s="67"/>
      <c r="R485" s="49"/>
      <c r="S485" s="49" t="e">
        <f>VLOOKUP(R485,Sheet2!$B$10:$C$18,2,FALSE)</f>
        <v>#N/A</v>
      </c>
      <c r="T485" s="67"/>
      <c r="U485" s="67">
        <f t="shared" si="27"/>
        <v>0</v>
      </c>
      <c r="V485" s="67"/>
      <c r="W485" s="67"/>
      <c r="X485" s="67"/>
      <c r="Y485" s="66"/>
      <c r="Z485" s="66"/>
      <c r="AA485" s="66"/>
      <c r="AB485" s="66"/>
      <c r="AC485" s="66"/>
      <c r="AD485" s="42" t="str">
        <f t="shared" si="23"/>
        <v>ทันกำหนด</v>
      </c>
      <c r="AE485" s="43"/>
      <c r="AF485" s="43"/>
      <c r="AG485" s="43"/>
      <c r="AH485" s="44"/>
    </row>
    <row r="486" spans="1:34" ht="27.75" customHeight="1">
      <c r="A486" s="41">
        <v>483</v>
      </c>
      <c r="B486" s="66"/>
      <c r="C486" s="48"/>
      <c r="D486" s="48"/>
      <c r="E486" s="49"/>
      <c r="F486" s="49"/>
      <c r="G486" s="49">
        <f t="shared" si="25"/>
        <v>0</v>
      </c>
      <c r="H486" s="49" t="str">
        <f t="shared" si="26"/>
        <v>ครบ</v>
      </c>
      <c r="I486" s="49"/>
      <c r="J486" s="49" t="e">
        <f>VLOOKUP(I486,Sheet2!$B$10:$C$18,2,FALSE)</f>
        <v>#N/A</v>
      </c>
      <c r="K486" s="67"/>
      <c r="L486" s="49"/>
      <c r="M486" s="49" t="e">
        <f>VLOOKUP(L486,Sheet2!$B$10:$C$18,2,FALSE)</f>
        <v>#N/A</v>
      </c>
      <c r="N486" s="67"/>
      <c r="O486" s="49"/>
      <c r="P486" s="49" t="e">
        <f>VLOOKUP(O486,Sheet2!$B$10:$C$18,2,FALSE)</f>
        <v>#N/A</v>
      </c>
      <c r="Q486" s="67"/>
      <c r="R486" s="49"/>
      <c r="S486" s="49" t="e">
        <f>VLOOKUP(R486,Sheet2!$B$10:$C$18,2,FALSE)</f>
        <v>#N/A</v>
      </c>
      <c r="T486" s="67"/>
      <c r="U486" s="67">
        <f t="shared" si="27"/>
        <v>0</v>
      </c>
      <c r="V486" s="67"/>
      <c r="W486" s="67"/>
      <c r="X486" s="67"/>
      <c r="Y486" s="66"/>
      <c r="Z486" s="66"/>
      <c r="AA486" s="66"/>
      <c r="AB486" s="66"/>
      <c r="AC486" s="66"/>
      <c r="AD486" s="42" t="str">
        <f t="shared" si="23"/>
        <v>ทันกำหนด</v>
      </c>
      <c r="AE486" s="43"/>
      <c r="AF486" s="43"/>
      <c r="AG486" s="43"/>
      <c r="AH486" s="44"/>
    </row>
    <row r="487" spans="1:34" ht="27.75" customHeight="1">
      <c r="A487" s="41">
        <v>484</v>
      </c>
      <c r="B487" s="66"/>
      <c r="C487" s="48"/>
      <c r="D487" s="48"/>
      <c r="E487" s="49"/>
      <c r="F487" s="49"/>
      <c r="G487" s="49">
        <f t="shared" si="25"/>
        <v>0</v>
      </c>
      <c r="H487" s="49" t="str">
        <f t="shared" si="26"/>
        <v>ครบ</v>
      </c>
      <c r="I487" s="49"/>
      <c r="J487" s="49" t="e">
        <f>VLOOKUP(I487,Sheet2!$B$10:$C$18,2,FALSE)</f>
        <v>#N/A</v>
      </c>
      <c r="K487" s="67"/>
      <c r="L487" s="49"/>
      <c r="M487" s="49" t="e">
        <f>VLOOKUP(L487,Sheet2!$B$10:$C$18,2,FALSE)</f>
        <v>#N/A</v>
      </c>
      <c r="N487" s="67"/>
      <c r="O487" s="49"/>
      <c r="P487" s="49" t="e">
        <f>VLOOKUP(O487,Sheet2!$B$10:$C$18,2,FALSE)</f>
        <v>#N/A</v>
      </c>
      <c r="Q487" s="67"/>
      <c r="R487" s="49"/>
      <c r="S487" s="49" t="e">
        <f>VLOOKUP(R487,Sheet2!$B$10:$C$18,2,FALSE)</f>
        <v>#N/A</v>
      </c>
      <c r="T487" s="67"/>
      <c r="U487" s="67">
        <f t="shared" si="27"/>
        <v>0</v>
      </c>
      <c r="V487" s="67"/>
      <c r="W487" s="67"/>
      <c r="X487" s="67"/>
      <c r="Y487" s="66"/>
      <c r="Z487" s="66"/>
      <c r="AA487" s="66"/>
      <c r="AB487" s="66"/>
      <c r="AC487" s="66"/>
      <c r="AD487" s="42" t="str">
        <f t="shared" si="23"/>
        <v>ทันกำหนด</v>
      </c>
      <c r="AE487" s="43"/>
      <c r="AF487" s="43"/>
      <c r="AG487" s="43"/>
      <c r="AH487" s="44"/>
    </row>
    <row r="488" spans="1:34" ht="27.75" customHeight="1">
      <c r="A488" s="41">
        <v>485</v>
      </c>
      <c r="B488" s="66"/>
      <c r="C488" s="48"/>
      <c r="D488" s="48"/>
      <c r="E488" s="49"/>
      <c r="F488" s="49"/>
      <c r="G488" s="49">
        <f t="shared" si="25"/>
        <v>0</v>
      </c>
      <c r="H488" s="49" t="str">
        <f t="shared" si="26"/>
        <v>ครบ</v>
      </c>
      <c r="I488" s="49"/>
      <c r="J488" s="49" t="e">
        <f>VLOOKUP(I488,Sheet2!$B$10:$C$18,2,FALSE)</f>
        <v>#N/A</v>
      </c>
      <c r="K488" s="67"/>
      <c r="L488" s="49"/>
      <c r="M488" s="49" t="e">
        <f>VLOOKUP(L488,Sheet2!$B$10:$C$18,2,FALSE)</f>
        <v>#N/A</v>
      </c>
      <c r="N488" s="67"/>
      <c r="O488" s="49"/>
      <c r="P488" s="49" t="e">
        <f>VLOOKUP(O488,Sheet2!$B$10:$C$18,2,FALSE)</f>
        <v>#N/A</v>
      </c>
      <c r="Q488" s="67"/>
      <c r="R488" s="49"/>
      <c r="S488" s="49" t="e">
        <f>VLOOKUP(R488,Sheet2!$B$10:$C$18,2,FALSE)</f>
        <v>#N/A</v>
      </c>
      <c r="T488" s="67"/>
      <c r="U488" s="67">
        <f t="shared" si="27"/>
        <v>0</v>
      </c>
      <c r="V488" s="67"/>
      <c r="W488" s="67"/>
      <c r="X488" s="67"/>
      <c r="Y488" s="66"/>
      <c r="Z488" s="66"/>
      <c r="AA488" s="66"/>
      <c r="AB488" s="66"/>
      <c r="AC488" s="66"/>
      <c r="AD488" s="42" t="str">
        <f t="shared" si="23"/>
        <v>ทันกำหนด</v>
      </c>
      <c r="AE488" s="43"/>
      <c r="AF488" s="43"/>
      <c r="AG488" s="43"/>
      <c r="AH488" s="44"/>
    </row>
    <row r="489" spans="1:34" ht="27.75" customHeight="1">
      <c r="A489" s="41">
        <v>486</v>
      </c>
      <c r="B489" s="66"/>
      <c r="C489" s="48"/>
      <c r="D489" s="48"/>
      <c r="E489" s="49"/>
      <c r="F489" s="49"/>
      <c r="G489" s="49">
        <f t="shared" si="25"/>
        <v>0</v>
      </c>
      <c r="H489" s="49" t="str">
        <f t="shared" si="26"/>
        <v>ครบ</v>
      </c>
      <c r="I489" s="49"/>
      <c r="J489" s="49" t="e">
        <f>VLOOKUP(I489,Sheet2!$B$10:$C$18,2,FALSE)</f>
        <v>#N/A</v>
      </c>
      <c r="K489" s="67"/>
      <c r="L489" s="49"/>
      <c r="M489" s="49" t="e">
        <f>VLOOKUP(L489,Sheet2!$B$10:$C$18,2,FALSE)</f>
        <v>#N/A</v>
      </c>
      <c r="N489" s="67"/>
      <c r="O489" s="49"/>
      <c r="P489" s="49" t="e">
        <f>VLOOKUP(O489,Sheet2!$B$10:$C$18,2,FALSE)</f>
        <v>#N/A</v>
      </c>
      <c r="Q489" s="67"/>
      <c r="R489" s="49"/>
      <c r="S489" s="49" t="e">
        <f>VLOOKUP(R489,Sheet2!$B$10:$C$18,2,FALSE)</f>
        <v>#N/A</v>
      </c>
      <c r="T489" s="67"/>
      <c r="U489" s="67">
        <f t="shared" si="27"/>
        <v>0</v>
      </c>
      <c r="V489" s="67"/>
      <c r="W489" s="67"/>
      <c r="X489" s="67"/>
      <c r="Y489" s="66"/>
      <c r="Z489" s="66"/>
      <c r="AA489" s="66"/>
      <c r="AB489" s="66"/>
      <c r="AC489" s="66"/>
      <c r="AD489" s="42" t="str">
        <f t="shared" si="23"/>
        <v>ทันกำหนด</v>
      </c>
      <c r="AE489" s="43"/>
      <c r="AF489" s="43"/>
      <c r="AG489" s="43"/>
      <c r="AH489" s="44"/>
    </row>
    <row r="490" spans="1:34" ht="27.75" customHeight="1">
      <c r="A490" s="41">
        <v>487</v>
      </c>
      <c r="B490" s="66"/>
      <c r="C490" s="48"/>
      <c r="D490" s="48"/>
      <c r="E490" s="49"/>
      <c r="F490" s="49"/>
      <c r="G490" s="49">
        <f t="shared" si="25"/>
        <v>0</v>
      </c>
      <c r="H490" s="49" t="str">
        <f t="shared" si="26"/>
        <v>ครบ</v>
      </c>
      <c r="I490" s="49"/>
      <c r="J490" s="49" t="e">
        <f>VLOOKUP(I490,Sheet2!$B$10:$C$18,2,FALSE)</f>
        <v>#N/A</v>
      </c>
      <c r="K490" s="67"/>
      <c r="L490" s="49"/>
      <c r="M490" s="49" t="e">
        <f>VLOOKUP(L490,Sheet2!$B$10:$C$18,2,FALSE)</f>
        <v>#N/A</v>
      </c>
      <c r="N490" s="67"/>
      <c r="O490" s="49"/>
      <c r="P490" s="49" t="e">
        <f>VLOOKUP(O490,Sheet2!$B$10:$C$18,2,FALSE)</f>
        <v>#N/A</v>
      </c>
      <c r="Q490" s="67"/>
      <c r="R490" s="49"/>
      <c r="S490" s="49" t="e">
        <f>VLOOKUP(R490,Sheet2!$B$10:$C$18,2,FALSE)</f>
        <v>#N/A</v>
      </c>
      <c r="T490" s="67"/>
      <c r="U490" s="67">
        <f t="shared" si="27"/>
        <v>0</v>
      </c>
      <c r="V490" s="67"/>
      <c r="W490" s="67"/>
      <c r="X490" s="67"/>
      <c r="Y490" s="66"/>
      <c r="Z490" s="66"/>
      <c r="AA490" s="66"/>
      <c r="AB490" s="66"/>
      <c r="AC490" s="66"/>
      <c r="AD490" s="42" t="str">
        <f t="shared" si="23"/>
        <v>ทันกำหนด</v>
      </c>
      <c r="AE490" s="43"/>
      <c r="AF490" s="43"/>
      <c r="AG490" s="43"/>
      <c r="AH490" s="44"/>
    </row>
    <row r="491" spans="1:34" ht="27.75" customHeight="1">
      <c r="A491" s="41">
        <v>488</v>
      </c>
      <c r="B491" s="66"/>
      <c r="C491" s="48"/>
      <c r="D491" s="48"/>
      <c r="E491" s="49"/>
      <c r="F491" s="49"/>
      <c r="G491" s="49">
        <f t="shared" si="25"/>
        <v>0</v>
      </c>
      <c r="H491" s="49" t="str">
        <f t="shared" si="26"/>
        <v>ครบ</v>
      </c>
      <c r="I491" s="49"/>
      <c r="J491" s="49" t="e">
        <f>VLOOKUP(I491,Sheet2!$B$10:$C$18,2,FALSE)</f>
        <v>#N/A</v>
      </c>
      <c r="K491" s="67"/>
      <c r="L491" s="49"/>
      <c r="M491" s="49" t="e">
        <f>VLOOKUP(L491,Sheet2!$B$10:$C$18,2,FALSE)</f>
        <v>#N/A</v>
      </c>
      <c r="N491" s="67"/>
      <c r="O491" s="49"/>
      <c r="P491" s="49" t="e">
        <f>VLOOKUP(O491,Sheet2!$B$10:$C$18,2,FALSE)</f>
        <v>#N/A</v>
      </c>
      <c r="Q491" s="67"/>
      <c r="R491" s="49"/>
      <c r="S491" s="49" t="e">
        <f>VLOOKUP(R491,Sheet2!$B$10:$C$18,2,FALSE)</f>
        <v>#N/A</v>
      </c>
      <c r="T491" s="67"/>
      <c r="U491" s="67">
        <f t="shared" si="27"/>
        <v>0</v>
      </c>
      <c r="V491" s="67"/>
      <c r="W491" s="67"/>
      <c r="X491" s="67"/>
      <c r="Y491" s="66"/>
      <c r="Z491" s="66"/>
      <c r="AA491" s="66"/>
      <c r="AB491" s="66"/>
      <c r="AC491" s="66"/>
      <c r="AD491" s="42" t="str">
        <f t="shared" si="23"/>
        <v>ทันกำหนด</v>
      </c>
      <c r="AE491" s="43"/>
      <c r="AF491" s="43"/>
      <c r="AG491" s="43"/>
      <c r="AH491" s="44"/>
    </row>
    <row r="492" spans="1:34" ht="27.75" customHeight="1">
      <c r="A492" s="41">
        <v>489</v>
      </c>
      <c r="B492" s="66"/>
      <c r="C492" s="48"/>
      <c r="D492" s="48"/>
      <c r="E492" s="49"/>
      <c r="F492" s="49"/>
      <c r="G492" s="49">
        <f t="shared" si="25"/>
        <v>0</v>
      </c>
      <c r="H492" s="49" t="str">
        <f t="shared" si="26"/>
        <v>ครบ</v>
      </c>
      <c r="I492" s="49"/>
      <c r="J492" s="49" t="e">
        <f>VLOOKUP(I492,Sheet2!$B$10:$C$18,2,FALSE)</f>
        <v>#N/A</v>
      </c>
      <c r="K492" s="67"/>
      <c r="L492" s="49"/>
      <c r="M492" s="49" t="e">
        <f>VLOOKUP(L492,Sheet2!$B$10:$C$18,2,FALSE)</f>
        <v>#N/A</v>
      </c>
      <c r="N492" s="67"/>
      <c r="O492" s="49"/>
      <c r="P492" s="49" t="e">
        <f>VLOOKUP(O492,Sheet2!$B$10:$C$18,2,FALSE)</f>
        <v>#N/A</v>
      </c>
      <c r="Q492" s="67"/>
      <c r="R492" s="49"/>
      <c r="S492" s="49" t="e">
        <f>VLOOKUP(R492,Sheet2!$B$10:$C$18,2,FALSE)</f>
        <v>#N/A</v>
      </c>
      <c r="T492" s="67"/>
      <c r="U492" s="67">
        <f t="shared" si="27"/>
        <v>0</v>
      </c>
      <c r="V492" s="67"/>
      <c r="W492" s="67"/>
      <c r="X492" s="67"/>
      <c r="Y492" s="66"/>
      <c r="Z492" s="66"/>
      <c r="AA492" s="66"/>
      <c r="AB492" s="66"/>
      <c r="AC492" s="66"/>
      <c r="AD492" s="42" t="str">
        <f t="shared" si="23"/>
        <v>ทันกำหนด</v>
      </c>
      <c r="AE492" s="43"/>
      <c r="AF492" s="43"/>
      <c r="AG492" s="43"/>
      <c r="AH492" s="44"/>
    </row>
    <row r="493" spans="1:34" ht="27.75" customHeight="1">
      <c r="A493" s="41">
        <v>490</v>
      </c>
      <c r="B493" s="66"/>
      <c r="C493" s="48"/>
      <c r="D493" s="48"/>
      <c r="E493" s="49"/>
      <c r="F493" s="49"/>
      <c r="G493" s="49">
        <f t="shared" si="25"/>
        <v>0</v>
      </c>
      <c r="H493" s="49" t="str">
        <f t="shared" si="26"/>
        <v>ครบ</v>
      </c>
      <c r="I493" s="49"/>
      <c r="J493" s="49" t="e">
        <f>VLOOKUP(I493,Sheet2!$B$10:$C$18,2,FALSE)</f>
        <v>#N/A</v>
      </c>
      <c r="K493" s="67"/>
      <c r="L493" s="49"/>
      <c r="M493" s="49" t="e">
        <f>VLOOKUP(L493,Sheet2!$B$10:$C$18,2,FALSE)</f>
        <v>#N/A</v>
      </c>
      <c r="N493" s="67"/>
      <c r="O493" s="49"/>
      <c r="P493" s="49" t="e">
        <f>VLOOKUP(O493,Sheet2!$B$10:$C$18,2,FALSE)</f>
        <v>#N/A</v>
      </c>
      <c r="Q493" s="67"/>
      <c r="R493" s="49"/>
      <c r="S493" s="49" t="e">
        <f>VLOOKUP(R493,Sheet2!$B$10:$C$18,2,FALSE)</f>
        <v>#N/A</v>
      </c>
      <c r="T493" s="67"/>
      <c r="U493" s="67">
        <f t="shared" si="27"/>
        <v>0</v>
      </c>
      <c r="V493" s="67"/>
      <c r="W493" s="67"/>
      <c r="X493" s="67"/>
      <c r="Y493" s="66"/>
      <c r="Z493" s="66"/>
      <c r="AA493" s="66"/>
      <c r="AB493" s="66"/>
      <c r="AC493" s="66"/>
      <c r="AD493" s="42" t="str">
        <f t="shared" si="23"/>
        <v>ทันกำหนด</v>
      </c>
      <c r="AE493" s="43"/>
      <c r="AF493" s="43"/>
      <c r="AG493" s="43"/>
      <c r="AH493" s="44"/>
    </row>
    <row r="494" spans="1:34" ht="27.75" customHeight="1">
      <c r="A494" s="41">
        <v>491</v>
      </c>
      <c r="B494" s="66"/>
      <c r="C494" s="48"/>
      <c r="D494" s="48"/>
      <c r="E494" s="49"/>
      <c r="F494" s="49"/>
      <c r="G494" s="49">
        <f t="shared" si="25"/>
        <v>0</v>
      </c>
      <c r="H494" s="49" t="str">
        <f t="shared" si="26"/>
        <v>ครบ</v>
      </c>
      <c r="I494" s="49"/>
      <c r="J494" s="49" t="e">
        <f>VLOOKUP(I494,Sheet2!$B$10:$C$18,2,FALSE)</f>
        <v>#N/A</v>
      </c>
      <c r="K494" s="67"/>
      <c r="L494" s="49"/>
      <c r="M494" s="49" t="e">
        <f>VLOOKUP(L494,Sheet2!$B$10:$C$18,2,FALSE)</f>
        <v>#N/A</v>
      </c>
      <c r="N494" s="67"/>
      <c r="O494" s="49"/>
      <c r="P494" s="49" t="e">
        <f>VLOOKUP(O494,Sheet2!$B$10:$C$18,2,FALSE)</f>
        <v>#N/A</v>
      </c>
      <c r="Q494" s="67"/>
      <c r="R494" s="49"/>
      <c r="S494" s="49" t="e">
        <f>VLOOKUP(R494,Sheet2!$B$10:$C$18,2,FALSE)</f>
        <v>#N/A</v>
      </c>
      <c r="T494" s="67"/>
      <c r="U494" s="67">
        <f t="shared" si="27"/>
        <v>0</v>
      </c>
      <c r="V494" s="67"/>
      <c r="W494" s="67"/>
      <c r="X494" s="67"/>
      <c r="Y494" s="66"/>
      <c r="Z494" s="66"/>
      <c r="AA494" s="66"/>
      <c r="AB494" s="66"/>
      <c r="AC494" s="66"/>
      <c r="AD494" s="42" t="str">
        <f t="shared" si="23"/>
        <v>ทันกำหนด</v>
      </c>
      <c r="AE494" s="43"/>
      <c r="AF494" s="43"/>
      <c r="AG494" s="43"/>
      <c r="AH494" s="44"/>
    </row>
    <row r="495" spans="1:34" ht="27.75" customHeight="1">
      <c r="A495" s="41">
        <v>492</v>
      </c>
      <c r="B495" s="66"/>
      <c r="C495" s="48"/>
      <c r="D495" s="48"/>
      <c r="E495" s="49"/>
      <c r="F495" s="49"/>
      <c r="G495" s="49">
        <f t="shared" si="25"/>
        <v>0</v>
      </c>
      <c r="H495" s="49" t="str">
        <f t="shared" si="26"/>
        <v>ครบ</v>
      </c>
      <c r="I495" s="49"/>
      <c r="J495" s="49" t="e">
        <f>VLOOKUP(I495,Sheet2!$B$10:$C$18,2,FALSE)</f>
        <v>#N/A</v>
      </c>
      <c r="K495" s="67"/>
      <c r="L495" s="49"/>
      <c r="M495" s="49" t="e">
        <f>VLOOKUP(L495,Sheet2!$B$10:$C$18,2,FALSE)</f>
        <v>#N/A</v>
      </c>
      <c r="N495" s="67"/>
      <c r="O495" s="49"/>
      <c r="P495" s="49" t="e">
        <f>VLOOKUP(O495,Sheet2!$B$10:$C$18,2,FALSE)</f>
        <v>#N/A</v>
      </c>
      <c r="Q495" s="67"/>
      <c r="R495" s="49"/>
      <c r="S495" s="49" t="e">
        <f>VLOOKUP(R495,Sheet2!$B$10:$C$18,2,FALSE)</f>
        <v>#N/A</v>
      </c>
      <c r="T495" s="67"/>
      <c r="U495" s="67">
        <f t="shared" si="27"/>
        <v>0</v>
      </c>
      <c r="V495" s="67"/>
      <c r="W495" s="67"/>
      <c r="X495" s="67"/>
      <c r="Y495" s="66"/>
      <c r="Z495" s="66"/>
      <c r="AA495" s="66"/>
      <c r="AB495" s="66"/>
      <c r="AC495" s="66"/>
      <c r="AD495" s="42" t="str">
        <f t="shared" si="23"/>
        <v>ทันกำหนด</v>
      </c>
      <c r="AE495" s="43"/>
      <c r="AF495" s="43"/>
      <c r="AG495" s="43"/>
      <c r="AH495" s="44"/>
    </row>
    <row r="496" spans="1:34" ht="27.75" customHeight="1">
      <c r="A496" s="41">
        <v>493</v>
      </c>
      <c r="B496" s="66"/>
      <c r="C496" s="48"/>
      <c r="D496" s="48"/>
      <c r="E496" s="49"/>
      <c r="F496" s="49"/>
      <c r="G496" s="49">
        <f t="shared" si="25"/>
        <v>0</v>
      </c>
      <c r="H496" s="49" t="str">
        <f t="shared" si="26"/>
        <v>ครบ</v>
      </c>
      <c r="I496" s="49"/>
      <c r="J496" s="49" t="e">
        <f>VLOOKUP(I496,Sheet2!$B$10:$C$18,2,FALSE)</f>
        <v>#N/A</v>
      </c>
      <c r="K496" s="67"/>
      <c r="L496" s="49"/>
      <c r="M496" s="49" t="e">
        <f>VLOOKUP(L496,Sheet2!$B$10:$C$18,2,FALSE)</f>
        <v>#N/A</v>
      </c>
      <c r="N496" s="67"/>
      <c r="O496" s="49"/>
      <c r="P496" s="49" t="e">
        <f>VLOOKUP(O496,Sheet2!$B$10:$C$18,2,FALSE)</f>
        <v>#N/A</v>
      </c>
      <c r="Q496" s="67"/>
      <c r="R496" s="49"/>
      <c r="S496" s="49" t="e">
        <f>VLOOKUP(R496,Sheet2!$B$10:$C$18,2,FALSE)</f>
        <v>#N/A</v>
      </c>
      <c r="T496" s="67"/>
      <c r="U496" s="67">
        <f t="shared" si="27"/>
        <v>0</v>
      </c>
      <c r="V496" s="67"/>
      <c r="W496" s="67"/>
      <c r="X496" s="67"/>
      <c r="Y496" s="66"/>
      <c r="Z496" s="66"/>
      <c r="AA496" s="66"/>
      <c r="AB496" s="66"/>
      <c r="AC496" s="66"/>
      <c r="AD496" s="42" t="str">
        <f t="shared" si="23"/>
        <v>ทันกำหนด</v>
      </c>
      <c r="AE496" s="43"/>
      <c r="AF496" s="43"/>
      <c r="AG496" s="43"/>
      <c r="AH496" s="44"/>
    </row>
    <row r="497" spans="1:34" ht="27.75" customHeight="1">
      <c r="A497" s="41">
        <v>494</v>
      </c>
      <c r="B497" s="66"/>
      <c r="C497" s="48"/>
      <c r="D497" s="48"/>
      <c r="E497" s="49"/>
      <c r="F497" s="49"/>
      <c r="G497" s="49">
        <f t="shared" si="25"/>
        <v>0</v>
      </c>
      <c r="H497" s="49" t="str">
        <f t="shared" si="26"/>
        <v>ครบ</v>
      </c>
      <c r="I497" s="49"/>
      <c r="J497" s="49" t="e">
        <f>VLOOKUP(I497,Sheet2!$B$10:$C$18,2,FALSE)</f>
        <v>#N/A</v>
      </c>
      <c r="K497" s="67"/>
      <c r="L497" s="49"/>
      <c r="M497" s="49" t="e">
        <f>VLOOKUP(L497,Sheet2!$B$10:$C$18,2,FALSE)</f>
        <v>#N/A</v>
      </c>
      <c r="N497" s="67"/>
      <c r="O497" s="49"/>
      <c r="P497" s="49" t="e">
        <f>VLOOKUP(O497,Sheet2!$B$10:$C$18,2,FALSE)</f>
        <v>#N/A</v>
      </c>
      <c r="Q497" s="67"/>
      <c r="R497" s="49"/>
      <c r="S497" s="49" t="e">
        <f>VLOOKUP(R497,Sheet2!$B$10:$C$18,2,FALSE)</f>
        <v>#N/A</v>
      </c>
      <c r="T497" s="67"/>
      <c r="U497" s="67">
        <f t="shared" si="27"/>
        <v>0</v>
      </c>
      <c r="V497" s="67"/>
      <c r="W497" s="67"/>
      <c r="X497" s="67"/>
      <c r="Y497" s="66"/>
      <c r="Z497" s="66"/>
      <c r="AA497" s="66"/>
      <c r="AB497" s="66"/>
      <c r="AC497" s="66"/>
      <c r="AD497" s="42" t="str">
        <f t="shared" si="23"/>
        <v>ทันกำหนด</v>
      </c>
      <c r="AE497" s="43"/>
      <c r="AF497" s="43"/>
      <c r="AG497" s="43"/>
      <c r="AH497" s="44"/>
    </row>
    <row r="498" spans="1:34" ht="27.75" customHeight="1">
      <c r="A498" s="41">
        <v>495</v>
      </c>
      <c r="B498" s="66"/>
      <c r="C498" s="48"/>
      <c r="D498" s="48"/>
      <c r="E498" s="49"/>
      <c r="F498" s="49"/>
      <c r="G498" s="49">
        <f t="shared" si="25"/>
        <v>0</v>
      </c>
      <c r="H498" s="49" t="str">
        <f t="shared" si="26"/>
        <v>ครบ</v>
      </c>
      <c r="I498" s="49"/>
      <c r="J498" s="49" t="e">
        <f>VLOOKUP(I498,Sheet2!$B$10:$C$18,2,FALSE)</f>
        <v>#N/A</v>
      </c>
      <c r="K498" s="67"/>
      <c r="L498" s="49"/>
      <c r="M498" s="49" t="e">
        <f>VLOOKUP(L498,Sheet2!$B$10:$C$18,2,FALSE)</f>
        <v>#N/A</v>
      </c>
      <c r="N498" s="67"/>
      <c r="O498" s="49"/>
      <c r="P498" s="49" t="e">
        <f>VLOOKUP(O498,Sheet2!$B$10:$C$18,2,FALSE)</f>
        <v>#N/A</v>
      </c>
      <c r="Q498" s="67"/>
      <c r="R498" s="49"/>
      <c r="S498" s="49" t="e">
        <f>VLOOKUP(R498,Sheet2!$B$10:$C$18,2,FALSE)</f>
        <v>#N/A</v>
      </c>
      <c r="T498" s="67"/>
      <c r="U498" s="67">
        <f t="shared" si="27"/>
        <v>0</v>
      </c>
      <c r="V498" s="67"/>
      <c r="W498" s="67"/>
      <c r="X498" s="67"/>
      <c r="Y498" s="66"/>
      <c r="Z498" s="66"/>
      <c r="AA498" s="66"/>
      <c r="AB498" s="66"/>
      <c r="AC498" s="66"/>
      <c r="AD498" s="42" t="str">
        <f t="shared" si="23"/>
        <v>ทันกำหนด</v>
      </c>
      <c r="AE498" s="43"/>
      <c r="AF498" s="43"/>
      <c r="AG498" s="43"/>
      <c r="AH498" s="44"/>
    </row>
    <row r="499" spans="1:34" ht="27.75" customHeight="1">
      <c r="A499" s="41">
        <v>496</v>
      </c>
      <c r="B499" s="66"/>
      <c r="C499" s="48"/>
      <c r="D499" s="48"/>
      <c r="E499" s="49"/>
      <c r="F499" s="49"/>
      <c r="G499" s="49">
        <f t="shared" si="25"/>
        <v>0</v>
      </c>
      <c r="H499" s="49" t="str">
        <f t="shared" si="26"/>
        <v>ครบ</v>
      </c>
      <c r="I499" s="49"/>
      <c r="J499" s="49" t="e">
        <f>VLOOKUP(I499,Sheet2!$B$10:$C$18,2,FALSE)</f>
        <v>#N/A</v>
      </c>
      <c r="K499" s="67"/>
      <c r="L499" s="49"/>
      <c r="M499" s="49" t="e">
        <f>VLOOKUP(L499,Sheet2!$B$10:$C$18,2,FALSE)</f>
        <v>#N/A</v>
      </c>
      <c r="N499" s="67"/>
      <c r="O499" s="49"/>
      <c r="P499" s="49" t="e">
        <f>VLOOKUP(O499,Sheet2!$B$10:$C$18,2,FALSE)</f>
        <v>#N/A</v>
      </c>
      <c r="Q499" s="67"/>
      <c r="R499" s="49"/>
      <c r="S499" s="49" t="e">
        <f>VLOOKUP(R499,Sheet2!$B$10:$C$18,2,FALSE)</f>
        <v>#N/A</v>
      </c>
      <c r="T499" s="67"/>
      <c r="U499" s="67">
        <f t="shared" si="27"/>
        <v>0</v>
      </c>
      <c r="V499" s="67"/>
      <c r="W499" s="67"/>
      <c r="X499" s="67"/>
      <c r="Y499" s="66"/>
      <c r="Z499" s="66"/>
      <c r="AA499" s="66"/>
      <c r="AB499" s="66"/>
      <c r="AC499" s="66"/>
      <c r="AD499" s="42" t="str">
        <f t="shared" si="23"/>
        <v>ทันกำหนด</v>
      </c>
      <c r="AE499" s="43"/>
      <c r="AF499" s="43"/>
      <c r="AG499" s="43"/>
      <c r="AH499" s="44"/>
    </row>
    <row r="500" spans="1:34" ht="27.75" customHeight="1">
      <c r="A500" s="41">
        <v>497</v>
      </c>
      <c r="B500" s="66"/>
      <c r="C500" s="48"/>
      <c r="D500" s="48"/>
      <c r="E500" s="49"/>
      <c r="F500" s="49"/>
      <c r="G500" s="49">
        <f t="shared" si="25"/>
        <v>0</v>
      </c>
      <c r="H500" s="49" t="str">
        <f t="shared" si="26"/>
        <v>ครบ</v>
      </c>
      <c r="I500" s="49"/>
      <c r="J500" s="49" t="e">
        <f>VLOOKUP(I500,Sheet2!$B$10:$C$18,2,FALSE)</f>
        <v>#N/A</v>
      </c>
      <c r="K500" s="67"/>
      <c r="L500" s="49"/>
      <c r="M500" s="49" t="e">
        <f>VLOOKUP(L500,Sheet2!$B$10:$C$18,2,FALSE)</f>
        <v>#N/A</v>
      </c>
      <c r="N500" s="67"/>
      <c r="O500" s="49"/>
      <c r="P500" s="49" t="e">
        <f>VLOOKUP(O500,Sheet2!$B$10:$C$18,2,FALSE)</f>
        <v>#N/A</v>
      </c>
      <c r="Q500" s="67"/>
      <c r="R500" s="49"/>
      <c r="S500" s="49" t="e">
        <f>VLOOKUP(R500,Sheet2!$B$10:$C$18,2,FALSE)</f>
        <v>#N/A</v>
      </c>
      <c r="T500" s="67"/>
      <c r="U500" s="67">
        <f t="shared" si="27"/>
        <v>0</v>
      </c>
      <c r="V500" s="67"/>
      <c r="W500" s="67"/>
      <c r="X500" s="67"/>
      <c r="Y500" s="66"/>
      <c r="Z500" s="66"/>
      <c r="AA500" s="66"/>
      <c r="AB500" s="66"/>
      <c r="AC500" s="66"/>
      <c r="AD500" s="42" t="str">
        <f t="shared" si="23"/>
        <v>ทันกำหนด</v>
      </c>
      <c r="AE500" s="43"/>
      <c r="AF500" s="43"/>
      <c r="AG500" s="43"/>
      <c r="AH500" s="44"/>
    </row>
    <row r="501" spans="1:34" ht="27.75" customHeight="1">
      <c r="A501" s="41">
        <v>498</v>
      </c>
      <c r="B501" s="66"/>
      <c r="C501" s="48"/>
      <c r="D501" s="48"/>
      <c r="E501" s="49"/>
      <c r="F501" s="49"/>
      <c r="G501" s="49">
        <f t="shared" si="25"/>
        <v>0</v>
      </c>
      <c r="H501" s="49" t="str">
        <f t="shared" si="26"/>
        <v>ครบ</v>
      </c>
      <c r="I501" s="49"/>
      <c r="J501" s="49" t="e">
        <f>VLOOKUP(I501,Sheet2!$B$10:$C$18,2,FALSE)</f>
        <v>#N/A</v>
      </c>
      <c r="K501" s="67"/>
      <c r="L501" s="49"/>
      <c r="M501" s="49" t="e">
        <f>VLOOKUP(L501,Sheet2!$B$10:$C$18,2,FALSE)</f>
        <v>#N/A</v>
      </c>
      <c r="N501" s="67"/>
      <c r="O501" s="49"/>
      <c r="P501" s="49" t="e">
        <f>VLOOKUP(O501,Sheet2!$B$10:$C$18,2,FALSE)</f>
        <v>#N/A</v>
      </c>
      <c r="Q501" s="67"/>
      <c r="R501" s="49"/>
      <c r="S501" s="49" t="e">
        <f>VLOOKUP(R501,Sheet2!$B$10:$C$18,2,FALSE)</f>
        <v>#N/A</v>
      </c>
      <c r="T501" s="67"/>
      <c r="U501" s="67">
        <f t="shared" si="27"/>
        <v>0</v>
      </c>
      <c r="V501" s="67"/>
      <c r="W501" s="67"/>
      <c r="X501" s="67"/>
      <c r="Y501" s="66"/>
      <c r="Z501" s="66"/>
      <c r="AA501" s="66"/>
      <c r="AB501" s="66"/>
      <c r="AC501" s="66"/>
      <c r="AD501" s="42" t="str">
        <f t="shared" si="23"/>
        <v>ทันกำหนด</v>
      </c>
      <c r="AE501" s="43"/>
      <c r="AF501" s="43"/>
      <c r="AG501" s="43"/>
      <c r="AH501" s="44"/>
    </row>
    <row r="502" spans="1:34" ht="27.75" customHeight="1">
      <c r="A502" s="41">
        <v>499</v>
      </c>
      <c r="B502" s="66"/>
      <c r="C502" s="48"/>
      <c r="D502" s="48"/>
      <c r="E502" s="49"/>
      <c r="F502" s="49"/>
      <c r="G502" s="49">
        <f t="shared" si="25"/>
        <v>0</v>
      </c>
      <c r="H502" s="49" t="str">
        <f t="shared" si="26"/>
        <v>ครบ</v>
      </c>
      <c r="I502" s="49"/>
      <c r="J502" s="49" t="e">
        <f>VLOOKUP(I502,Sheet2!$B$10:$C$18,2,FALSE)</f>
        <v>#N/A</v>
      </c>
      <c r="K502" s="67"/>
      <c r="L502" s="49"/>
      <c r="M502" s="49" t="e">
        <f>VLOOKUP(L502,Sheet2!$B$10:$C$18,2,FALSE)</f>
        <v>#N/A</v>
      </c>
      <c r="N502" s="67"/>
      <c r="O502" s="49"/>
      <c r="P502" s="49" t="e">
        <f>VLOOKUP(O502,Sheet2!$B$10:$C$18,2,FALSE)</f>
        <v>#N/A</v>
      </c>
      <c r="Q502" s="67"/>
      <c r="R502" s="49"/>
      <c r="S502" s="49" t="e">
        <f>VLOOKUP(R502,Sheet2!$B$10:$C$18,2,FALSE)</f>
        <v>#N/A</v>
      </c>
      <c r="T502" s="67"/>
      <c r="U502" s="67">
        <f t="shared" si="27"/>
        <v>0</v>
      </c>
      <c r="V502" s="67"/>
      <c r="W502" s="67"/>
      <c r="X502" s="67"/>
      <c r="Y502" s="66"/>
      <c r="Z502" s="66"/>
      <c r="AA502" s="66"/>
      <c r="AB502" s="66"/>
      <c r="AC502" s="66"/>
      <c r="AD502" s="42" t="str">
        <f t="shared" si="23"/>
        <v>ทันกำหนด</v>
      </c>
      <c r="AE502" s="43"/>
      <c r="AF502" s="43"/>
      <c r="AG502" s="43"/>
      <c r="AH502" s="44"/>
    </row>
    <row r="503" spans="1:34" ht="27.75" customHeight="1">
      <c r="A503" s="41">
        <v>500</v>
      </c>
      <c r="B503" s="66"/>
      <c r="C503" s="48"/>
      <c r="D503" s="48"/>
      <c r="E503" s="49"/>
      <c r="F503" s="49"/>
      <c r="G503" s="49">
        <f t="shared" si="25"/>
        <v>0</v>
      </c>
      <c r="H503" s="49" t="str">
        <f t="shared" si="26"/>
        <v>ครบ</v>
      </c>
      <c r="I503" s="49"/>
      <c r="J503" s="49" t="e">
        <f>VLOOKUP(I503,Sheet2!$B$10:$C$18,2,FALSE)</f>
        <v>#N/A</v>
      </c>
      <c r="K503" s="67"/>
      <c r="L503" s="49"/>
      <c r="M503" s="49" t="e">
        <f>VLOOKUP(L503,Sheet2!$B$10:$C$18,2,FALSE)</f>
        <v>#N/A</v>
      </c>
      <c r="N503" s="67"/>
      <c r="O503" s="49"/>
      <c r="P503" s="49" t="e">
        <f>VLOOKUP(O503,Sheet2!$B$10:$C$18,2,FALSE)</f>
        <v>#N/A</v>
      </c>
      <c r="Q503" s="67"/>
      <c r="R503" s="49"/>
      <c r="S503" s="49" t="e">
        <f>VLOOKUP(R503,Sheet2!$B$10:$C$18,2,FALSE)</f>
        <v>#N/A</v>
      </c>
      <c r="T503" s="67"/>
      <c r="U503" s="67">
        <f t="shared" si="27"/>
        <v>0</v>
      </c>
      <c r="V503" s="67"/>
      <c r="W503" s="67"/>
      <c r="X503" s="67"/>
      <c r="Y503" s="66"/>
      <c r="Z503" s="66"/>
      <c r="AA503" s="66"/>
      <c r="AB503" s="66"/>
      <c r="AC503" s="66"/>
      <c r="AD503" s="42" t="str">
        <f t="shared" si="23"/>
        <v>ทันกำหนด</v>
      </c>
      <c r="AE503" s="43"/>
      <c r="AF503" s="43"/>
      <c r="AG503" s="43"/>
      <c r="AH503" s="44"/>
    </row>
    <row r="504" spans="1:34" ht="27.75" customHeight="1">
      <c r="A504" s="41">
        <v>501</v>
      </c>
      <c r="B504" s="66"/>
      <c r="C504" s="48"/>
      <c r="D504" s="48"/>
      <c r="E504" s="49"/>
      <c r="F504" s="49"/>
      <c r="G504" s="49">
        <f t="shared" si="25"/>
        <v>0</v>
      </c>
      <c r="H504" s="49" t="str">
        <f t="shared" si="26"/>
        <v>ครบ</v>
      </c>
      <c r="I504" s="49"/>
      <c r="J504" s="49" t="e">
        <f>VLOOKUP(I504,Sheet2!$B$10:$C$18,2,FALSE)</f>
        <v>#N/A</v>
      </c>
      <c r="K504" s="67"/>
      <c r="L504" s="49"/>
      <c r="M504" s="49" t="e">
        <f>VLOOKUP(L504,Sheet2!$B$10:$C$18,2,FALSE)</f>
        <v>#N/A</v>
      </c>
      <c r="N504" s="67"/>
      <c r="O504" s="49"/>
      <c r="P504" s="49" t="e">
        <f>VLOOKUP(O504,Sheet2!$B$10:$C$18,2,FALSE)</f>
        <v>#N/A</v>
      </c>
      <c r="Q504" s="67"/>
      <c r="R504" s="49"/>
      <c r="S504" s="49" t="e">
        <f>VLOOKUP(R504,Sheet2!$B$10:$C$18,2,FALSE)</f>
        <v>#N/A</v>
      </c>
      <c r="T504" s="67"/>
      <c r="U504" s="67">
        <f t="shared" si="27"/>
        <v>0</v>
      </c>
      <c r="V504" s="67"/>
      <c r="W504" s="67"/>
      <c r="X504" s="67"/>
      <c r="Y504" s="66"/>
      <c r="Z504" s="66"/>
      <c r="AA504" s="66"/>
      <c r="AB504" s="66"/>
      <c r="AC504" s="66"/>
      <c r="AD504" s="42" t="str">
        <f t="shared" si="23"/>
        <v>ทันกำหนด</v>
      </c>
      <c r="AE504" s="43"/>
      <c r="AF504" s="43"/>
      <c r="AG504" s="43"/>
      <c r="AH504" s="44"/>
    </row>
    <row r="505" spans="1:34" ht="27.75" customHeight="1">
      <c r="A505" s="41">
        <v>502</v>
      </c>
      <c r="B505" s="66"/>
      <c r="C505" s="48"/>
      <c r="D505" s="48"/>
      <c r="E505" s="49"/>
      <c r="F505" s="49"/>
      <c r="G505" s="49">
        <f t="shared" si="25"/>
        <v>0</v>
      </c>
      <c r="H505" s="49" t="str">
        <f t="shared" si="26"/>
        <v>ครบ</v>
      </c>
      <c r="I505" s="49"/>
      <c r="J505" s="49" t="e">
        <f>VLOOKUP(I505,Sheet2!$B$10:$C$18,2,FALSE)</f>
        <v>#N/A</v>
      </c>
      <c r="K505" s="67"/>
      <c r="L505" s="49"/>
      <c r="M505" s="49" t="e">
        <f>VLOOKUP(L505,Sheet2!$B$10:$C$18,2,FALSE)</f>
        <v>#N/A</v>
      </c>
      <c r="N505" s="67"/>
      <c r="O505" s="49"/>
      <c r="P505" s="49" t="e">
        <f>VLOOKUP(O505,Sheet2!$B$10:$C$18,2,FALSE)</f>
        <v>#N/A</v>
      </c>
      <c r="Q505" s="67"/>
      <c r="R505" s="49"/>
      <c r="S505" s="49" t="e">
        <f>VLOOKUP(R505,Sheet2!$B$10:$C$18,2,FALSE)</f>
        <v>#N/A</v>
      </c>
      <c r="T505" s="67"/>
      <c r="U505" s="67">
        <f t="shared" si="27"/>
        <v>0</v>
      </c>
      <c r="V505" s="67"/>
      <c r="W505" s="67"/>
      <c r="X505" s="67"/>
      <c r="Y505" s="66"/>
      <c r="Z505" s="66"/>
      <c r="AA505" s="66"/>
      <c r="AB505" s="66"/>
      <c r="AC505" s="66"/>
      <c r="AD505" s="42" t="str">
        <f t="shared" si="23"/>
        <v>ทันกำหนด</v>
      </c>
      <c r="AE505" s="43"/>
      <c r="AF505" s="43"/>
      <c r="AG505" s="43"/>
      <c r="AH505" s="44"/>
    </row>
    <row r="506" spans="1:34" ht="27.75" customHeight="1">
      <c r="A506" s="41">
        <v>503</v>
      </c>
      <c r="B506" s="66"/>
      <c r="C506" s="48"/>
      <c r="D506" s="48"/>
      <c r="E506" s="49"/>
      <c r="F506" s="49"/>
      <c r="G506" s="49">
        <f t="shared" si="25"/>
        <v>0</v>
      </c>
      <c r="H506" s="49" t="str">
        <f t="shared" si="26"/>
        <v>ครบ</v>
      </c>
      <c r="I506" s="49"/>
      <c r="J506" s="49" t="e">
        <f>VLOOKUP(I506,Sheet2!$B$10:$C$18,2,FALSE)</f>
        <v>#N/A</v>
      </c>
      <c r="K506" s="67"/>
      <c r="L506" s="49"/>
      <c r="M506" s="49" t="e">
        <f>VLOOKUP(L506,Sheet2!$B$10:$C$18,2,FALSE)</f>
        <v>#N/A</v>
      </c>
      <c r="N506" s="67"/>
      <c r="O506" s="49"/>
      <c r="P506" s="49" t="e">
        <f>VLOOKUP(O506,Sheet2!$B$10:$C$18,2,FALSE)</f>
        <v>#N/A</v>
      </c>
      <c r="Q506" s="67"/>
      <c r="R506" s="49"/>
      <c r="S506" s="49" t="e">
        <f>VLOOKUP(R506,Sheet2!$B$10:$C$18,2,FALSE)</f>
        <v>#N/A</v>
      </c>
      <c r="T506" s="67"/>
      <c r="U506" s="67">
        <f t="shared" si="27"/>
        <v>0</v>
      </c>
      <c r="V506" s="67"/>
      <c r="W506" s="67"/>
      <c r="X506" s="67"/>
      <c r="Y506" s="66"/>
      <c r="Z506" s="66"/>
      <c r="AA506" s="66"/>
      <c r="AB506" s="66"/>
      <c r="AC506" s="66"/>
      <c r="AD506" s="42" t="str">
        <f t="shared" si="23"/>
        <v>ทันกำหนด</v>
      </c>
      <c r="AE506" s="43"/>
      <c r="AF506" s="43"/>
      <c r="AG506" s="43"/>
      <c r="AH506" s="44"/>
    </row>
    <row r="507" spans="1:34" ht="27.75" customHeight="1">
      <c r="A507" s="41">
        <v>504</v>
      </c>
      <c r="B507" s="66"/>
      <c r="C507" s="48"/>
      <c r="D507" s="48"/>
      <c r="E507" s="49"/>
      <c r="F507" s="49"/>
      <c r="G507" s="49">
        <f t="shared" si="25"/>
        <v>0</v>
      </c>
      <c r="H507" s="49" t="str">
        <f t="shared" si="26"/>
        <v>ครบ</v>
      </c>
      <c r="I507" s="49"/>
      <c r="J507" s="49" t="e">
        <f>VLOOKUP(I507,Sheet2!$B$10:$C$18,2,FALSE)</f>
        <v>#N/A</v>
      </c>
      <c r="K507" s="67"/>
      <c r="L507" s="49"/>
      <c r="M507" s="49" t="e">
        <f>VLOOKUP(L507,Sheet2!$B$10:$C$18,2,FALSE)</f>
        <v>#N/A</v>
      </c>
      <c r="N507" s="67"/>
      <c r="O507" s="49"/>
      <c r="P507" s="49" t="e">
        <f>VLOOKUP(O507,Sheet2!$B$10:$C$18,2,FALSE)</f>
        <v>#N/A</v>
      </c>
      <c r="Q507" s="67"/>
      <c r="R507" s="49"/>
      <c r="S507" s="49" t="e">
        <f>VLOOKUP(R507,Sheet2!$B$10:$C$18,2,FALSE)</f>
        <v>#N/A</v>
      </c>
      <c r="T507" s="67"/>
      <c r="U507" s="67">
        <f t="shared" si="27"/>
        <v>0</v>
      </c>
      <c r="V507" s="67"/>
      <c r="W507" s="67"/>
      <c r="X507" s="67"/>
      <c r="Y507" s="66"/>
      <c r="Z507" s="66"/>
      <c r="AA507" s="66"/>
      <c r="AB507" s="66"/>
      <c r="AC507" s="66"/>
      <c r="AD507" s="42" t="str">
        <f t="shared" si="23"/>
        <v>ทันกำหนด</v>
      </c>
      <c r="AE507" s="43"/>
      <c r="AF507" s="43"/>
      <c r="AG507" s="43"/>
      <c r="AH507" s="44"/>
    </row>
    <row r="508" spans="1:34" ht="27.75" customHeight="1">
      <c r="A508" s="41">
        <v>505</v>
      </c>
      <c r="B508" s="66"/>
      <c r="C508" s="48"/>
      <c r="D508" s="48"/>
      <c r="E508" s="49"/>
      <c r="F508" s="49"/>
      <c r="G508" s="49">
        <f t="shared" si="25"/>
        <v>0</v>
      </c>
      <c r="H508" s="49" t="str">
        <f t="shared" si="26"/>
        <v>ครบ</v>
      </c>
      <c r="I508" s="49"/>
      <c r="J508" s="49" t="e">
        <f>VLOOKUP(I508,Sheet2!$B$10:$C$18,2,FALSE)</f>
        <v>#N/A</v>
      </c>
      <c r="K508" s="67"/>
      <c r="L508" s="49"/>
      <c r="M508" s="49" t="e">
        <f>VLOOKUP(L508,Sheet2!$B$10:$C$18,2,FALSE)</f>
        <v>#N/A</v>
      </c>
      <c r="N508" s="67"/>
      <c r="O508" s="49"/>
      <c r="P508" s="49" t="e">
        <f>VLOOKUP(O508,Sheet2!$B$10:$C$18,2,FALSE)</f>
        <v>#N/A</v>
      </c>
      <c r="Q508" s="67"/>
      <c r="R508" s="49"/>
      <c r="S508" s="49" t="e">
        <f>VLOOKUP(R508,Sheet2!$B$10:$C$18,2,FALSE)</f>
        <v>#N/A</v>
      </c>
      <c r="T508" s="67"/>
      <c r="U508" s="67">
        <f t="shared" si="27"/>
        <v>0</v>
      </c>
      <c r="V508" s="67"/>
      <c r="W508" s="67"/>
      <c r="X508" s="67"/>
      <c r="Y508" s="66"/>
      <c r="Z508" s="66"/>
      <c r="AA508" s="66"/>
      <c r="AB508" s="66"/>
      <c r="AC508" s="66"/>
      <c r="AD508" s="42" t="str">
        <f t="shared" si="23"/>
        <v>ทันกำหนด</v>
      </c>
      <c r="AE508" s="43"/>
      <c r="AF508" s="43"/>
      <c r="AG508" s="43"/>
      <c r="AH508" s="44"/>
    </row>
    <row r="509" spans="1:34" ht="27.75" customHeight="1">
      <c r="A509" s="41">
        <v>506</v>
      </c>
      <c r="B509" s="66"/>
      <c r="C509" s="48"/>
      <c r="D509" s="48"/>
      <c r="E509" s="49"/>
      <c r="F509" s="49"/>
      <c r="G509" s="49">
        <f t="shared" si="25"/>
        <v>0</v>
      </c>
      <c r="H509" s="49" t="str">
        <f t="shared" si="26"/>
        <v>ครบ</v>
      </c>
      <c r="I509" s="49"/>
      <c r="J509" s="49" t="e">
        <f>VLOOKUP(I509,Sheet2!$B$10:$C$18,2,FALSE)</f>
        <v>#N/A</v>
      </c>
      <c r="K509" s="67"/>
      <c r="L509" s="49"/>
      <c r="M509" s="49" t="e">
        <f>VLOOKUP(L509,Sheet2!$B$10:$C$18,2,FALSE)</f>
        <v>#N/A</v>
      </c>
      <c r="N509" s="67"/>
      <c r="O509" s="49"/>
      <c r="P509" s="49" t="e">
        <f>VLOOKUP(O509,Sheet2!$B$10:$C$18,2,FALSE)</f>
        <v>#N/A</v>
      </c>
      <c r="Q509" s="67"/>
      <c r="R509" s="49"/>
      <c r="S509" s="49" t="e">
        <f>VLOOKUP(R509,Sheet2!$B$10:$C$18,2,FALSE)</f>
        <v>#N/A</v>
      </c>
      <c r="T509" s="67"/>
      <c r="U509" s="67">
        <f t="shared" si="27"/>
        <v>0</v>
      </c>
      <c r="V509" s="67"/>
      <c r="W509" s="67"/>
      <c r="X509" s="67"/>
      <c r="Y509" s="66"/>
      <c r="Z509" s="66"/>
      <c r="AA509" s="66"/>
      <c r="AB509" s="66"/>
      <c r="AC509" s="66"/>
      <c r="AD509" s="42" t="str">
        <f t="shared" si="23"/>
        <v>ทันกำหนด</v>
      </c>
      <c r="AE509" s="43"/>
      <c r="AF509" s="43"/>
      <c r="AG509" s="43"/>
      <c r="AH509" s="44"/>
    </row>
    <row r="510" spans="1:34" ht="27.75" customHeight="1">
      <c r="A510" s="41">
        <v>507</v>
      </c>
      <c r="B510" s="66"/>
      <c r="C510" s="48"/>
      <c r="D510" s="48"/>
      <c r="E510" s="49"/>
      <c r="F510" s="49"/>
      <c r="G510" s="49">
        <f t="shared" si="25"/>
        <v>0</v>
      </c>
      <c r="H510" s="49" t="str">
        <f t="shared" si="26"/>
        <v>ครบ</v>
      </c>
      <c r="I510" s="49"/>
      <c r="J510" s="49" t="e">
        <f>VLOOKUP(I510,Sheet2!$B$10:$C$18,2,FALSE)</f>
        <v>#N/A</v>
      </c>
      <c r="K510" s="67"/>
      <c r="L510" s="49"/>
      <c r="M510" s="49" t="e">
        <f>VLOOKUP(L510,Sheet2!$B$10:$C$18,2,FALSE)</f>
        <v>#N/A</v>
      </c>
      <c r="N510" s="67"/>
      <c r="O510" s="49"/>
      <c r="P510" s="49" t="e">
        <f>VLOOKUP(O510,Sheet2!$B$10:$C$18,2,FALSE)</f>
        <v>#N/A</v>
      </c>
      <c r="Q510" s="67"/>
      <c r="R510" s="49"/>
      <c r="S510" s="49" t="e">
        <f>VLOOKUP(R510,Sheet2!$B$10:$C$18,2,FALSE)</f>
        <v>#N/A</v>
      </c>
      <c r="T510" s="67"/>
      <c r="U510" s="67">
        <f t="shared" si="27"/>
        <v>0</v>
      </c>
      <c r="V510" s="67"/>
      <c r="W510" s="67"/>
      <c r="X510" s="67"/>
      <c r="Y510" s="66"/>
      <c r="Z510" s="66"/>
      <c r="AA510" s="66"/>
      <c r="AB510" s="66"/>
      <c r="AC510" s="66"/>
      <c r="AD510" s="42" t="str">
        <f t="shared" si="23"/>
        <v>ทันกำหนด</v>
      </c>
      <c r="AE510" s="43"/>
      <c r="AF510" s="43"/>
      <c r="AG510" s="43"/>
      <c r="AH510" s="44"/>
    </row>
    <row r="511" spans="1:34" ht="27.75" customHeight="1">
      <c r="A511" s="41">
        <v>508</v>
      </c>
      <c r="B511" s="66"/>
      <c r="C511" s="48"/>
      <c r="D511" s="48"/>
      <c r="E511" s="49"/>
      <c r="F511" s="49"/>
      <c r="G511" s="49">
        <f t="shared" si="25"/>
        <v>0</v>
      </c>
      <c r="H511" s="49" t="str">
        <f t="shared" si="26"/>
        <v>ครบ</v>
      </c>
      <c r="I511" s="49"/>
      <c r="J511" s="49" t="e">
        <f>VLOOKUP(I511,Sheet2!$B$10:$C$18,2,FALSE)</f>
        <v>#N/A</v>
      </c>
      <c r="K511" s="67"/>
      <c r="L511" s="49"/>
      <c r="M511" s="49" t="e">
        <f>VLOOKUP(L511,Sheet2!$B$10:$C$18,2,FALSE)</f>
        <v>#N/A</v>
      </c>
      <c r="N511" s="67"/>
      <c r="O511" s="49"/>
      <c r="P511" s="49" t="e">
        <f>VLOOKUP(O511,Sheet2!$B$10:$C$18,2,FALSE)</f>
        <v>#N/A</v>
      </c>
      <c r="Q511" s="67"/>
      <c r="R511" s="49"/>
      <c r="S511" s="49" t="e">
        <f>VLOOKUP(R511,Sheet2!$B$10:$C$18,2,FALSE)</f>
        <v>#N/A</v>
      </c>
      <c r="T511" s="67"/>
      <c r="U511" s="67">
        <f t="shared" si="27"/>
        <v>0</v>
      </c>
      <c r="V511" s="67"/>
      <c r="W511" s="67"/>
      <c r="X511" s="67"/>
      <c r="Y511" s="66"/>
      <c r="Z511" s="66"/>
      <c r="AA511" s="66"/>
      <c r="AB511" s="66"/>
      <c r="AC511" s="66"/>
      <c r="AD511" s="42" t="str">
        <f t="shared" si="23"/>
        <v>ทันกำหนด</v>
      </c>
      <c r="AE511" s="43"/>
      <c r="AF511" s="43"/>
      <c r="AG511" s="43"/>
      <c r="AH511" s="44"/>
    </row>
    <row r="512" spans="1:34" ht="27.75" customHeight="1">
      <c r="A512" s="41">
        <v>509</v>
      </c>
      <c r="B512" s="66"/>
      <c r="C512" s="48"/>
      <c r="D512" s="48"/>
      <c r="E512" s="49"/>
      <c r="F512" s="49"/>
      <c r="G512" s="49">
        <f t="shared" si="25"/>
        <v>0</v>
      </c>
      <c r="H512" s="49" t="str">
        <f t="shared" si="26"/>
        <v>ครบ</v>
      </c>
      <c r="I512" s="49"/>
      <c r="J512" s="49" t="e">
        <f>VLOOKUP(I512,Sheet2!$B$10:$C$18,2,FALSE)</f>
        <v>#N/A</v>
      </c>
      <c r="K512" s="67"/>
      <c r="L512" s="49"/>
      <c r="M512" s="49" t="e">
        <f>VLOOKUP(L512,Sheet2!$B$10:$C$18,2,FALSE)</f>
        <v>#N/A</v>
      </c>
      <c r="N512" s="67"/>
      <c r="O512" s="49"/>
      <c r="P512" s="49" t="e">
        <f>VLOOKUP(O512,Sheet2!$B$10:$C$18,2,FALSE)</f>
        <v>#N/A</v>
      </c>
      <c r="Q512" s="67"/>
      <c r="R512" s="49"/>
      <c r="S512" s="49" t="e">
        <f>VLOOKUP(R512,Sheet2!$B$10:$C$18,2,FALSE)</f>
        <v>#N/A</v>
      </c>
      <c r="T512" s="67"/>
      <c r="U512" s="67">
        <f t="shared" si="27"/>
        <v>0</v>
      </c>
      <c r="V512" s="67"/>
      <c r="W512" s="67"/>
      <c r="X512" s="67"/>
      <c r="Y512" s="66"/>
      <c r="Z512" s="66"/>
      <c r="AA512" s="66"/>
      <c r="AB512" s="66"/>
      <c r="AC512" s="66"/>
      <c r="AD512" s="42" t="str">
        <f t="shared" si="23"/>
        <v>ทันกำหนด</v>
      </c>
      <c r="AE512" s="43"/>
      <c r="AF512" s="43"/>
      <c r="AG512" s="43"/>
      <c r="AH512" s="44"/>
    </row>
    <row r="513" spans="1:34" ht="27.75" customHeight="1">
      <c r="A513" s="41">
        <v>510</v>
      </c>
      <c r="B513" s="66"/>
      <c r="C513" s="48"/>
      <c r="D513" s="48"/>
      <c r="E513" s="49"/>
      <c r="F513" s="49"/>
      <c r="G513" s="49">
        <f t="shared" si="25"/>
        <v>0</v>
      </c>
      <c r="H513" s="49" t="str">
        <f t="shared" si="26"/>
        <v>ครบ</v>
      </c>
      <c r="I513" s="49"/>
      <c r="J513" s="49" t="e">
        <f>VLOOKUP(I513,Sheet2!$B$10:$C$18,2,FALSE)</f>
        <v>#N/A</v>
      </c>
      <c r="K513" s="67"/>
      <c r="L513" s="49"/>
      <c r="M513" s="49" t="e">
        <f>VLOOKUP(L513,Sheet2!$B$10:$C$18,2,FALSE)</f>
        <v>#N/A</v>
      </c>
      <c r="N513" s="67"/>
      <c r="O513" s="49"/>
      <c r="P513" s="49" t="e">
        <f>VLOOKUP(O513,Sheet2!$B$10:$C$18,2,FALSE)</f>
        <v>#N/A</v>
      </c>
      <c r="Q513" s="67"/>
      <c r="R513" s="49"/>
      <c r="S513" s="49" t="e">
        <f>VLOOKUP(R513,Sheet2!$B$10:$C$18,2,FALSE)</f>
        <v>#N/A</v>
      </c>
      <c r="T513" s="67"/>
      <c r="U513" s="67">
        <f t="shared" si="27"/>
        <v>0</v>
      </c>
      <c r="V513" s="67"/>
      <c r="W513" s="67"/>
      <c r="X513" s="67"/>
      <c r="Y513" s="66"/>
      <c r="Z513" s="66"/>
      <c r="AA513" s="66"/>
      <c r="AB513" s="66"/>
      <c r="AC513" s="66"/>
      <c r="AD513" s="42" t="str">
        <f t="shared" si="23"/>
        <v>ทันกำหนด</v>
      </c>
      <c r="AE513" s="43"/>
      <c r="AF513" s="43"/>
      <c r="AG513" s="43"/>
      <c r="AH513" s="44"/>
    </row>
    <row r="514" spans="1:34" ht="27.75" customHeight="1">
      <c r="A514" s="41">
        <v>511</v>
      </c>
      <c r="B514" s="66"/>
      <c r="C514" s="48"/>
      <c r="D514" s="48"/>
      <c r="E514" s="49"/>
      <c r="F514" s="49"/>
      <c r="G514" s="49">
        <f t="shared" si="25"/>
        <v>0</v>
      </c>
      <c r="H514" s="49" t="str">
        <f t="shared" si="26"/>
        <v>ครบ</v>
      </c>
      <c r="I514" s="49"/>
      <c r="J514" s="49" t="e">
        <f>VLOOKUP(I514,Sheet2!$B$10:$C$18,2,FALSE)</f>
        <v>#N/A</v>
      </c>
      <c r="K514" s="67"/>
      <c r="L514" s="49"/>
      <c r="M514" s="49" t="e">
        <f>VLOOKUP(L514,Sheet2!$B$10:$C$18,2,FALSE)</f>
        <v>#N/A</v>
      </c>
      <c r="N514" s="67"/>
      <c r="O514" s="49"/>
      <c r="P514" s="49" t="e">
        <f>VLOOKUP(O514,Sheet2!$B$10:$C$18,2,FALSE)</f>
        <v>#N/A</v>
      </c>
      <c r="Q514" s="67"/>
      <c r="R514" s="49"/>
      <c r="S514" s="49" t="e">
        <f>VLOOKUP(R514,Sheet2!$B$10:$C$18,2,FALSE)</f>
        <v>#N/A</v>
      </c>
      <c r="T514" s="67"/>
      <c r="U514" s="67">
        <f t="shared" si="27"/>
        <v>0</v>
      </c>
      <c r="V514" s="67"/>
      <c r="W514" s="67"/>
      <c r="X514" s="67"/>
      <c r="Y514" s="66"/>
      <c r="Z514" s="66"/>
      <c r="AA514" s="66"/>
      <c r="AB514" s="66"/>
      <c r="AC514" s="66"/>
      <c r="AD514" s="42" t="str">
        <f t="shared" si="23"/>
        <v>ทันกำหนด</v>
      </c>
      <c r="AE514" s="43"/>
      <c r="AF514" s="43"/>
      <c r="AG514" s="43"/>
      <c r="AH514" s="44"/>
    </row>
    <row r="515" spans="1:34" ht="27.75" customHeight="1">
      <c r="A515" s="41">
        <v>512</v>
      </c>
      <c r="B515" s="66"/>
      <c r="C515" s="48"/>
      <c r="D515" s="48"/>
      <c r="E515" s="49"/>
      <c r="F515" s="49"/>
      <c r="G515" s="49">
        <f t="shared" si="25"/>
        <v>0</v>
      </c>
      <c r="H515" s="49" t="str">
        <f t="shared" si="26"/>
        <v>ครบ</v>
      </c>
      <c r="I515" s="49"/>
      <c r="J515" s="49" t="e">
        <f>VLOOKUP(I515,Sheet2!$B$10:$C$18,2,FALSE)</f>
        <v>#N/A</v>
      </c>
      <c r="K515" s="67"/>
      <c r="L515" s="49"/>
      <c r="M515" s="49" t="e">
        <f>VLOOKUP(L515,Sheet2!$B$10:$C$18,2,FALSE)</f>
        <v>#N/A</v>
      </c>
      <c r="N515" s="67"/>
      <c r="O515" s="49"/>
      <c r="P515" s="49" t="e">
        <f>VLOOKUP(O515,Sheet2!$B$10:$C$18,2,FALSE)</f>
        <v>#N/A</v>
      </c>
      <c r="Q515" s="67"/>
      <c r="R515" s="49"/>
      <c r="S515" s="49" t="e">
        <f>VLOOKUP(R515,Sheet2!$B$10:$C$18,2,FALSE)</f>
        <v>#N/A</v>
      </c>
      <c r="T515" s="67"/>
      <c r="U515" s="67">
        <f t="shared" si="27"/>
        <v>0</v>
      </c>
      <c r="V515" s="67"/>
      <c r="W515" s="67"/>
      <c r="X515" s="67"/>
      <c r="Y515" s="66"/>
      <c r="Z515" s="66"/>
      <c r="AA515" s="66"/>
      <c r="AB515" s="66"/>
      <c r="AC515" s="66"/>
      <c r="AD515" s="42" t="str">
        <f t="shared" si="23"/>
        <v>ทันกำหนด</v>
      </c>
      <c r="AE515" s="43"/>
      <c r="AF515" s="43"/>
      <c r="AG515" s="43"/>
      <c r="AH515" s="44"/>
    </row>
    <row r="516" spans="1:34" ht="27.75" customHeight="1">
      <c r="A516" s="41">
        <v>513</v>
      </c>
      <c r="B516" s="66"/>
      <c r="C516" s="48"/>
      <c r="D516" s="48"/>
      <c r="E516" s="49"/>
      <c r="F516" s="49"/>
      <c r="G516" s="49">
        <f t="shared" si="25"/>
        <v>0</v>
      </c>
      <c r="H516" s="49" t="str">
        <f t="shared" si="26"/>
        <v>ครบ</v>
      </c>
      <c r="I516" s="49"/>
      <c r="J516" s="49" t="e">
        <f>VLOOKUP(I516,Sheet2!$B$10:$C$18,2,FALSE)</f>
        <v>#N/A</v>
      </c>
      <c r="K516" s="67"/>
      <c r="L516" s="49"/>
      <c r="M516" s="49" t="e">
        <f>VLOOKUP(L516,Sheet2!$B$10:$C$18,2,FALSE)</f>
        <v>#N/A</v>
      </c>
      <c r="N516" s="67"/>
      <c r="O516" s="49"/>
      <c r="P516" s="49" t="e">
        <f>VLOOKUP(O516,Sheet2!$B$10:$C$18,2,FALSE)</f>
        <v>#N/A</v>
      </c>
      <c r="Q516" s="67"/>
      <c r="R516" s="49"/>
      <c r="S516" s="49" t="e">
        <f>VLOOKUP(R516,Sheet2!$B$10:$C$18,2,FALSE)</f>
        <v>#N/A</v>
      </c>
      <c r="T516" s="67"/>
      <c r="U516" s="67">
        <f t="shared" si="27"/>
        <v>0</v>
      </c>
      <c r="V516" s="67"/>
      <c r="W516" s="67"/>
      <c r="X516" s="67"/>
      <c r="Y516" s="66"/>
      <c r="Z516" s="66"/>
      <c r="AA516" s="66"/>
      <c r="AB516" s="66"/>
      <c r="AC516" s="66"/>
      <c r="AD516" s="42" t="str">
        <f t="shared" si="23"/>
        <v>ทันกำหนด</v>
      </c>
      <c r="AE516" s="43"/>
      <c r="AF516" s="43"/>
      <c r="AG516" s="43"/>
      <c r="AH516" s="44"/>
    </row>
    <row r="517" spans="1:34" ht="27.75" customHeight="1">
      <c r="A517" s="41">
        <v>514</v>
      </c>
      <c r="B517" s="66"/>
      <c r="C517" s="48"/>
      <c r="D517" s="48"/>
      <c r="E517" s="49"/>
      <c r="F517" s="49"/>
      <c r="G517" s="49">
        <f t="shared" si="25"/>
        <v>0</v>
      </c>
      <c r="H517" s="49" t="str">
        <f t="shared" si="26"/>
        <v>ครบ</v>
      </c>
      <c r="I517" s="49"/>
      <c r="J517" s="49" t="e">
        <f>VLOOKUP(I517,Sheet2!$B$10:$C$18,2,FALSE)</f>
        <v>#N/A</v>
      </c>
      <c r="K517" s="67"/>
      <c r="L517" s="49"/>
      <c r="M517" s="49" t="e">
        <f>VLOOKUP(L517,Sheet2!$B$10:$C$18,2,FALSE)</f>
        <v>#N/A</v>
      </c>
      <c r="N517" s="67"/>
      <c r="O517" s="49"/>
      <c r="P517" s="49" t="e">
        <f>VLOOKUP(O517,Sheet2!$B$10:$C$18,2,FALSE)</f>
        <v>#N/A</v>
      </c>
      <c r="Q517" s="67"/>
      <c r="R517" s="49"/>
      <c r="S517" s="49" t="e">
        <f>VLOOKUP(R517,Sheet2!$B$10:$C$18,2,FALSE)</f>
        <v>#N/A</v>
      </c>
      <c r="T517" s="67"/>
      <c r="U517" s="67">
        <f t="shared" si="27"/>
        <v>0</v>
      </c>
      <c r="V517" s="67"/>
      <c r="W517" s="67"/>
      <c r="X517" s="67"/>
      <c r="Y517" s="66"/>
      <c r="Z517" s="66"/>
      <c r="AA517" s="66"/>
      <c r="AB517" s="66"/>
      <c r="AC517" s="66"/>
      <c r="AD517" s="42" t="str">
        <f t="shared" si="23"/>
        <v>ทันกำหนด</v>
      </c>
      <c r="AE517" s="43"/>
      <c r="AF517" s="43"/>
      <c r="AG517" s="43"/>
      <c r="AH517" s="44"/>
    </row>
    <row r="518" spans="1:34" ht="27.75" customHeight="1">
      <c r="A518" s="41">
        <v>515</v>
      </c>
      <c r="B518" s="66"/>
      <c r="C518" s="48"/>
      <c r="D518" s="48"/>
      <c r="E518" s="49"/>
      <c r="F518" s="49"/>
      <c r="G518" s="49">
        <f t="shared" si="25"/>
        <v>0</v>
      </c>
      <c r="H518" s="49" t="str">
        <f t="shared" si="26"/>
        <v>ครบ</v>
      </c>
      <c r="I518" s="49"/>
      <c r="J518" s="49" t="e">
        <f>VLOOKUP(I518,Sheet2!$B$10:$C$18,2,FALSE)</f>
        <v>#N/A</v>
      </c>
      <c r="K518" s="67"/>
      <c r="L518" s="49"/>
      <c r="M518" s="49" t="e">
        <f>VLOOKUP(L518,Sheet2!$B$10:$C$18,2,FALSE)</f>
        <v>#N/A</v>
      </c>
      <c r="N518" s="67"/>
      <c r="O518" s="49"/>
      <c r="P518" s="49" t="e">
        <f>VLOOKUP(O518,Sheet2!$B$10:$C$18,2,FALSE)</f>
        <v>#N/A</v>
      </c>
      <c r="Q518" s="67"/>
      <c r="R518" s="49"/>
      <c r="S518" s="49" t="e">
        <f>VLOOKUP(R518,Sheet2!$B$10:$C$18,2,FALSE)</f>
        <v>#N/A</v>
      </c>
      <c r="T518" s="67"/>
      <c r="U518" s="67">
        <f t="shared" si="27"/>
        <v>0</v>
      </c>
      <c r="V518" s="67"/>
      <c r="W518" s="67"/>
      <c r="X518" s="67"/>
      <c r="Y518" s="66"/>
      <c r="Z518" s="66"/>
      <c r="AA518" s="66"/>
      <c r="AB518" s="66"/>
      <c r="AC518" s="66"/>
      <c r="AD518" s="42" t="str">
        <f t="shared" si="23"/>
        <v>ทันกำหนด</v>
      </c>
      <c r="AE518" s="43"/>
      <c r="AF518" s="43"/>
      <c r="AG518" s="43"/>
      <c r="AH518" s="44"/>
    </row>
    <row r="519" spans="1:34" ht="27.75" customHeight="1">
      <c r="A519" s="41">
        <v>516</v>
      </c>
      <c r="B519" s="66"/>
      <c r="C519" s="48"/>
      <c r="D519" s="48"/>
      <c r="E519" s="49"/>
      <c r="F519" s="49"/>
      <c r="G519" s="49">
        <f t="shared" si="25"/>
        <v>0</v>
      </c>
      <c r="H519" s="49" t="str">
        <f t="shared" si="26"/>
        <v>ครบ</v>
      </c>
      <c r="I519" s="49"/>
      <c r="J519" s="49" t="e">
        <f>VLOOKUP(I519,Sheet2!$B$10:$C$18,2,FALSE)</f>
        <v>#N/A</v>
      </c>
      <c r="K519" s="67"/>
      <c r="L519" s="49"/>
      <c r="M519" s="49" t="e">
        <f>VLOOKUP(L519,Sheet2!$B$10:$C$18,2,FALSE)</f>
        <v>#N/A</v>
      </c>
      <c r="N519" s="67"/>
      <c r="O519" s="49"/>
      <c r="P519" s="49" t="e">
        <f>VLOOKUP(O519,Sheet2!$B$10:$C$18,2,FALSE)</f>
        <v>#N/A</v>
      </c>
      <c r="Q519" s="67"/>
      <c r="R519" s="49"/>
      <c r="S519" s="49" t="e">
        <f>VLOOKUP(R519,Sheet2!$B$10:$C$18,2,FALSE)</f>
        <v>#N/A</v>
      </c>
      <c r="T519" s="67"/>
      <c r="U519" s="67">
        <f t="shared" si="27"/>
        <v>0</v>
      </c>
      <c r="V519" s="67"/>
      <c r="W519" s="67"/>
      <c r="X519" s="67"/>
      <c r="Y519" s="66"/>
      <c r="Z519" s="66"/>
      <c r="AA519" s="66"/>
      <c r="AB519" s="66"/>
      <c r="AC519" s="66"/>
      <c r="AD519" s="42" t="str">
        <f t="shared" si="23"/>
        <v>ทันกำหนด</v>
      </c>
      <c r="AE519" s="43"/>
      <c r="AF519" s="43"/>
      <c r="AG519" s="43"/>
      <c r="AH519" s="44"/>
    </row>
    <row r="520" spans="1:34" ht="27.75" customHeight="1">
      <c r="A520" s="41">
        <v>517</v>
      </c>
      <c r="B520" s="66"/>
      <c r="C520" s="48"/>
      <c r="D520" s="48"/>
      <c r="E520" s="49"/>
      <c r="F520" s="49"/>
      <c r="G520" s="49">
        <f t="shared" si="25"/>
        <v>0</v>
      </c>
      <c r="H520" s="49" t="str">
        <f t="shared" si="26"/>
        <v>ครบ</v>
      </c>
      <c r="I520" s="49"/>
      <c r="J520" s="49" t="e">
        <f>VLOOKUP(I520,Sheet2!$B$10:$C$18,2,FALSE)</f>
        <v>#N/A</v>
      </c>
      <c r="K520" s="67"/>
      <c r="L520" s="49"/>
      <c r="M520" s="49" t="e">
        <f>VLOOKUP(L520,Sheet2!$B$10:$C$18,2,FALSE)</f>
        <v>#N/A</v>
      </c>
      <c r="N520" s="67"/>
      <c r="O520" s="49"/>
      <c r="P520" s="49" t="e">
        <f>VLOOKUP(O520,Sheet2!$B$10:$C$18,2,FALSE)</f>
        <v>#N/A</v>
      </c>
      <c r="Q520" s="67"/>
      <c r="R520" s="49"/>
      <c r="S520" s="49" t="e">
        <f>VLOOKUP(R520,Sheet2!$B$10:$C$18,2,FALSE)</f>
        <v>#N/A</v>
      </c>
      <c r="T520" s="67"/>
      <c r="U520" s="67">
        <f t="shared" si="27"/>
        <v>0</v>
      </c>
      <c r="V520" s="67"/>
      <c r="W520" s="67"/>
      <c r="X520" s="67"/>
      <c r="Y520" s="66"/>
      <c r="Z520" s="66"/>
      <c r="AA520" s="66"/>
      <c r="AB520" s="66"/>
      <c r="AC520" s="66"/>
      <c r="AD520" s="42" t="str">
        <f t="shared" si="23"/>
        <v>ทันกำหนด</v>
      </c>
      <c r="AE520" s="43"/>
      <c r="AF520" s="43"/>
      <c r="AG520" s="43"/>
      <c r="AH520" s="44"/>
    </row>
    <row r="521" spans="1:34" ht="27.75" customHeight="1">
      <c r="A521" s="41">
        <v>518</v>
      </c>
      <c r="B521" s="66"/>
      <c r="C521" s="48"/>
      <c r="D521" s="48"/>
      <c r="E521" s="49"/>
      <c r="F521" s="49"/>
      <c r="G521" s="49">
        <f t="shared" si="25"/>
        <v>0</v>
      </c>
      <c r="H521" s="49" t="str">
        <f t="shared" si="26"/>
        <v>ครบ</v>
      </c>
      <c r="I521" s="49"/>
      <c r="J521" s="49" t="e">
        <f>VLOOKUP(I521,Sheet2!$B$10:$C$18,2,FALSE)</f>
        <v>#N/A</v>
      </c>
      <c r="K521" s="67"/>
      <c r="L521" s="49"/>
      <c r="M521" s="49" t="e">
        <f>VLOOKUP(L521,Sheet2!$B$10:$C$18,2,FALSE)</f>
        <v>#N/A</v>
      </c>
      <c r="N521" s="67"/>
      <c r="O521" s="49"/>
      <c r="P521" s="49" t="e">
        <f>VLOOKUP(O521,Sheet2!$B$10:$C$18,2,FALSE)</f>
        <v>#N/A</v>
      </c>
      <c r="Q521" s="67"/>
      <c r="R521" s="49"/>
      <c r="S521" s="49" t="e">
        <f>VLOOKUP(R521,Sheet2!$B$10:$C$18,2,FALSE)</f>
        <v>#N/A</v>
      </c>
      <c r="T521" s="67"/>
      <c r="U521" s="67">
        <f t="shared" si="27"/>
        <v>0</v>
      </c>
      <c r="V521" s="67"/>
      <c r="W521" s="67"/>
      <c r="X521" s="67"/>
      <c r="Y521" s="66"/>
      <c r="Z521" s="66"/>
      <c r="AA521" s="66"/>
      <c r="AB521" s="66"/>
      <c r="AC521" s="66"/>
      <c r="AD521" s="42" t="str">
        <f t="shared" si="23"/>
        <v>ทันกำหนด</v>
      </c>
      <c r="AE521" s="43"/>
      <c r="AF521" s="43"/>
      <c r="AG521" s="43"/>
      <c r="AH521" s="44"/>
    </row>
    <row r="522" spans="1:34" ht="27.75" customHeight="1">
      <c r="A522" s="41">
        <v>519</v>
      </c>
      <c r="B522" s="66"/>
      <c r="C522" s="48"/>
      <c r="D522" s="48"/>
      <c r="E522" s="49"/>
      <c r="F522" s="49"/>
      <c r="G522" s="49">
        <f t="shared" si="25"/>
        <v>0</v>
      </c>
      <c r="H522" s="49" t="str">
        <f t="shared" si="26"/>
        <v>ครบ</v>
      </c>
      <c r="I522" s="49"/>
      <c r="J522" s="49" t="e">
        <f>VLOOKUP(I522,Sheet2!$B$10:$C$18,2,FALSE)</f>
        <v>#N/A</v>
      </c>
      <c r="K522" s="67"/>
      <c r="L522" s="49"/>
      <c r="M522" s="49" t="e">
        <f>VLOOKUP(L522,Sheet2!$B$10:$C$18,2,FALSE)</f>
        <v>#N/A</v>
      </c>
      <c r="N522" s="67"/>
      <c r="O522" s="49"/>
      <c r="P522" s="49" t="e">
        <f>VLOOKUP(O522,Sheet2!$B$10:$C$18,2,FALSE)</f>
        <v>#N/A</v>
      </c>
      <c r="Q522" s="67"/>
      <c r="R522" s="49"/>
      <c r="S522" s="49" t="e">
        <f>VLOOKUP(R522,Sheet2!$B$10:$C$18,2,FALSE)</f>
        <v>#N/A</v>
      </c>
      <c r="T522" s="67"/>
      <c r="U522" s="67">
        <f t="shared" si="27"/>
        <v>0</v>
      </c>
      <c r="V522" s="67"/>
      <c r="W522" s="67"/>
      <c r="X522" s="67"/>
      <c r="Y522" s="66"/>
      <c r="Z522" s="66"/>
      <c r="AA522" s="66"/>
      <c r="AB522" s="66"/>
      <c r="AC522" s="66"/>
      <c r="AD522" s="42" t="str">
        <f t="shared" si="23"/>
        <v>ทันกำหนด</v>
      </c>
      <c r="AE522" s="43"/>
      <c r="AF522" s="43"/>
      <c r="AG522" s="43"/>
      <c r="AH522" s="44"/>
    </row>
    <row r="523" spans="1:34" ht="27.75" customHeight="1">
      <c r="A523" s="41">
        <v>520</v>
      </c>
      <c r="B523" s="66"/>
      <c r="C523" s="48"/>
      <c r="D523" s="48"/>
      <c r="E523" s="49"/>
      <c r="F523" s="49"/>
      <c r="G523" s="49">
        <f t="shared" si="25"/>
        <v>0</v>
      </c>
      <c r="H523" s="49" t="str">
        <f t="shared" si="26"/>
        <v>ครบ</v>
      </c>
      <c r="I523" s="49"/>
      <c r="J523" s="49" t="e">
        <f>VLOOKUP(I523,Sheet2!$B$10:$C$18,2,FALSE)</f>
        <v>#N/A</v>
      </c>
      <c r="K523" s="67"/>
      <c r="L523" s="49"/>
      <c r="M523" s="49" t="e">
        <f>VLOOKUP(L523,Sheet2!$B$10:$C$18,2,FALSE)</f>
        <v>#N/A</v>
      </c>
      <c r="N523" s="67"/>
      <c r="O523" s="49"/>
      <c r="P523" s="49" t="e">
        <f>VLOOKUP(O523,Sheet2!$B$10:$C$18,2,FALSE)</f>
        <v>#N/A</v>
      </c>
      <c r="Q523" s="67"/>
      <c r="R523" s="49"/>
      <c r="S523" s="49" t="e">
        <f>VLOOKUP(R523,Sheet2!$B$10:$C$18,2,FALSE)</f>
        <v>#N/A</v>
      </c>
      <c r="T523" s="67"/>
      <c r="U523" s="67">
        <f t="shared" si="27"/>
        <v>0</v>
      </c>
      <c r="V523" s="67"/>
      <c r="W523" s="67"/>
      <c r="X523" s="67"/>
      <c r="Y523" s="66"/>
      <c r="Z523" s="66"/>
      <c r="AA523" s="66"/>
      <c r="AB523" s="66"/>
      <c r="AC523" s="66"/>
      <c r="AD523" s="42" t="str">
        <f t="shared" si="23"/>
        <v>ทันกำหนด</v>
      </c>
      <c r="AE523" s="43"/>
      <c r="AF523" s="43"/>
      <c r="AG523" s="43"/>
      <c r="AH523" s="44"/>
    </row>
    <row r="524" spans="1:34" ht="27.75" customHeight="1">
      <c r="A524" s="41">
        <v>521</v>
      </c>
      <c r="B524" s="66"/>
      <c r="C524" s="48"/>
      <c r="D524" s="48"/>
      <c r="E524" s="49"/>
      <c r="F524" s="49"/>
      <c r="G524" s="49">
        <f t="shared" si="25"/>
        <v>0</v>
      </c>
      <c r="H524" s="49" t="str">
        <f t="shared" si="26"/>
        <v>ครบ</v>
      </c>
      <c r="I524" s="49"/>
      <c r="J524" s="49" t="e">
        <f>VLOOKUP(I524,Sheet2!$B$10:$C$18,2,FALSE)</f>
        <v>#N/A</v>
      </c>
      <c r="K524" s="67"/>
      <c r="L524" s="49"/>
      <c r="M524" s="49" t="e">
        <f>VLOOKUP(L524,Sheet2!$B$10:$C$18,2,FALSE)</f>
        <v>#N/A</v>
      </c>
      <c r="N524" s="67"/>
      <c r="O524" s="49"/>
      <c r="P524" s="49" t="e">
        <f>VLOOKUP(O524,Sheet2!$B$10:$C$18,2,FALSE)</f>
        <v>#N/A</v>
      </c>
      <c r="Q524" s="67"/>
      <c r="R524" s="49"/>
      <c r="S524" s="49" t="e">
        <f>VLOOKUP(R524,Sheet2!$B$10:$C$18,2,FALSE)</f>
        <v>#N/A</v>
      </c>
      <c r="T524" s="67"/>
      <c r="U524" s="67">
        <f t="shared" si="27"/>
        <v>0</v>
      </c>
      <c r="V524" s="67"/>
      <c r="W524" s="67"/>
      <c r="X524" s="67"/>
      <c r="Y524" s="66"/>
      <c r="Z524" s="66"/>
      <c r="AA524" s="66"/>
      <c r="AB524" s="66"/>
      <c r="AC524" s="66"/>
      <c r="AD524" s="42" t="str">
        <f t="shared" si="23"/>
        <v>ทันกำหนด</v>
      </c>
      <c r="AE524" s="43"/>
      <c r="AF524" s="43"/>
      <c r="AG524" s="43"/>
      <c r="AH524" s="44"/>
    </row>
    <row r="525" spans="1:34" ht="27.75" customHeight="1">
      <c r="A525" s="41">
        <v>522</v>
      </c>
      <c r="B525" s="66"/>
      <c r="C525" s="48"/>
      <c r="D525" s="48"/>
      <c r="E525" s="49"/>
      <c r="F525" s="49"/>
      <c r="G525" s="49">
        <f t="shared" si="25"/>
        <v>0</v>
      </c>
      <c r="H525" s="49" t="str">
        <f t="shared" si="26"/>
        <v>ครบ</v>
      </c>
      <c r="I525" s="49"/>
      <c r="J525" s="49" t="e">
        <f>VLOOKUP(I525,Sheet2!$B$10:$C$18,2,FALSE)</f>
        <v>#N/A</v>
      </c>
      <c r="K525" s="67"/>
      <c r="L525" s="49"/>
      <c r="M525" s="49" t="e">
        <f>VLOOKUP(L525,Sheet2!$B$10:$C$18,2,FALSE)</f>
        <v>#N/A</v>
      </c>
      <c r="N525" s="67"/>
      <c r="O525" s="49"/>
      <c r="P525" s="49" t="e">
        <f>VLOOKUP(O525,Sheet2!$B$10:$C$18,2,FALSE)</f>
        <v>#N/A</v>
      </c>
      <c r="Q525" s="67"/>
      <c r="R525" s="49"/>
      <c r="S525" s="49" t="e">
        <f>VLOOKUP(R525,Sheet2!$B$10:$C$18,2,FALSE)</f>
        <v>#N/A</v>
      </c>
      <c r="T525" s="67"/>
      <c r="U525" s="67">
        <f t="shared" si="27"/>
        <v>0</v>
      </c>
      <c r="V525" s="67"/>
      <c r="W525" s="67"/>
      <c r="X525" s="67"/>
      <c r="Y525" s="66"/>
      <c r="Z525" s="66"/>
      <c r="AA525" s="66"/>
      <c r="AB525" s="66"/>
      <c r="AC525" s="66"/>
      <c r="AD525" s="42" t="str">
        <f t="shared" si="23"/>
        <v>ทันกำหนด</v>
      </c>
      <c r="AE525" s="43"/>
      <c r="AF525" s="43"/>
      <c r="AG525" s="43"/>
      <c r="AH525" s="44"/>
    </row>
    <row r="526" spans="1:34" ht="27.75" customHeight="1">
      <c r="A526" s="41">
        <v>523</v>
      </c>
      <c r="B526" s="66"/>
      <c r="C526" s="48"/>
      <c r="D526" s="48"/>
      <c r="E526" s="49"/>
      <c r="F526" s="49"/>
      <c r="G526" s="49">
        <f t="shared" si="25"/>
        <v>0</v>
      </c>
      <c r="H526" s="49" t="str">
        <f t="shared" si="26"/>
        <v>ครบ</v>
      </c>
      <c r="I526" s="49"/>
      <c r="J526" s="49" t="e">
        <f>VLOOKUP(I526,Sheet2!$B$10:$C$18,2,FALSE)</f>
        <v>#N/A</v>
      </c>
      <c r="K526" s="67"/>
      <c r="L526" s="49"/>
      <c r="M526" s="49" t="e">
        <f>VLOOKUP(L526,Sheet2!$B$10:$C$18,2,FALSE)</f>
        <v>#N/A</v>
      </c>
      <c r="N526" s="67"/>
      <c r="O526" s="49"/>
      <c r="P526" s="49" t="e">
        <f>VLOOKUP(O526,Sheet2!$B$10:$C$18,2,FALSE)</f>
        <v>#N/A</v>
      </c>
      <c r="Q526" s="67"/>
      <c r="R526" s="49"/>
      <c r="S526" s="49" t="e">
        <f>VLOOKUP(R526,Sheet2!$B$10:$C$18,2,FALSE)</f>
        <v>#N/A</v>
      </c>
      <c r="T526" s="67"/>
      <c r="U526" s="67">
        <f t="shared" si="27"/>
        <v>0</v>
      </c>
      <c r="V526" s="67"/>
      <c r="W526" s="67"/>
      <c r="X526" s="67"/>
      <c r="Y526" s="66"/>
      <c r="Z526" s="66"/>
      <c r="AA526" s="66"/>
      <c r="AB526" s="66"/>
      <c r="AC526" s="66"/>
      <c r="AD526" s="42" t="str">
        <f t="shared" si="23"/>
        <v>ทันกำหนด</v>
      </c>
      <c r="AE526" s="43"/>
      <c r="AF526" s="43"/>
      <c r="AG526" s="43"/>
      <c r="AH526" s="44"/>
    </row>
    <row r="527" spans="1:34" ht="27.75" customHeight="1">
      <c r="A527" s="41">
        <v>524</v>
      </c>
      <c r="B527" s="66"/>
      <c r="C527" s="48"/>
      <c r="D527" s="48"/>
      <c r="E527" s="49"/>
      <c r="F527" s="49"/>
      <c r="G527" s="49">
        <f t="shared" si="25"/>
        <v>0</v>
      </c>
      <c r="H527" s="49" t="str">
        <f t="shared" si="26"/>
        <v>ครบ</v>
      </c>
      <c r="I527" s="49"/>
      <c r="J527" s="49" t="e">
        <f>VLOOKUP(I527,Sheet2!$B$10:$C$18,2,FALSE)</f>
        <v>#N/A</v>
      </c>
      <c r="K527" s="67"/>
      <c r="L527" s="49"/>
      <c r="M527" s="49" t="e">
        <f>VLOOKUP(L527,Sheet2!$B$10:$C$18,2,FALSE)</f>
        <v>#N/A</v>
      </c>
      <c r="N527" s="67"/>
      <c r="O527" s="49"/>
      <c r="P527" s="49" t="e">
        <f>VLOOKUP(O527,Sheet2!$B$10:$C$18,2,FALSE)</f>
        <v>#N/A</v>
      </c>
      <c r="Q527" s="67"/>
      <c r="R527" s="49"/>
      <c r="S527" s="49" t="e">
        <f>VLOOKUP(R527,Sheet2!$B$10:$C$18,2,FALSE)</f>
        <v>#N/A</v>
      </c>
      <c r="T527" s="67"/>
      <c r="U527" s="67">
        <f t="shared" si="27"/>
        <v>0</v>
      </c>
      <c r="V527" s="67"/>
      <c r="W527" s="67"/>
      <c r="X527" s="67"/>
      <c r="Y527" s="66"/>
      <c r="Z527" s="66"/>
      <c r="AA527" s="66"/>
      <c r="AB527" s="66"/>
      <c r="AC527" s="66"/>
      <c r="AD527" s="42" t="str">
        <f t="shared" si="23"/>
        <v>ทันกำหนด</v>
      </c>
      <c r="AE527" s="43"/>
      <c r="AF527" s="43"/>
      <c r="AG527" s="43"/>
      <c r="AH527" s="44"/>
    </row>
    <row r="528" spans="1:34" ht="27.75" customHeight="1">
      <c r="A528" s="41">
        <v>525</v>
      </c>
      <c r="B528" s="66"/>
      <c r="C528" s="48"/>
      <c r="D528" s="48"/>
      <c r="E528" s="49"/>
      <c r="F528" s="49"/>
      <c r="G528" s="49">
        <f t="shared" si="25"/>
        <v>0</v>
      </c>
      <c r="H528" s="49" t="str">
        <f t="shared" si="26"/>
        <v>ครบ</v>
      </c>
      <c r="I528" s="49"/>
      <c r="J528" s="49" t="e">
        <f>VLOOKUP(I528,Sheet2!$B$10:$C$18,2,FALSE)</f>
        <v>#N/A</v>
      </c>
      <c r="K528" s="67"/>
      <c r="L528" s="49"/>
      <c r="M528" s="49" t="e">
        <f>VLOOKUP(L528,Sheet2!$B$10:$C$18,2,FALSE)</f>
        <v>#N/A</v>
      </c>
      <c r="N528" s="67"/>
      <c r="O528" s="49"/>
      <c r="P528" s="49" t="e">
        <f>VLOOKUP(O528,Sheet2!$B$10:$C$18,2,FALSE)</f>
        <v>#N/A</v>
      </c>
      <c r="Q528" s="67"/>
      <c r="R528" s="49"/>
      <c r="S528" s="49" t="e">
        <f>VLOOKUP(R528,Sheet2!$B$10:$C$18,2,FALSE)</f>
        <v>#N/A</v>
      </c>
      <c r="T528" s="67"/>
      <c r="U528" s="67">
        <f t="shared" si="27"/>
        <v>0</v>
      </c>
      <c r="V528" s="67"/>
      <c r="W528" s="67"/>
      <c r="X528" s="67"/>
      <c r="Y528" s="66"/>
      <c r="Z528" s="66"/>
      <c r="AA528" s="66"/>
      <c r="AB528" s="66"/>
      <c r="AC528" s="66"/>
      <c r="AD528" s="42" t="str">
        <f t="shared" si="23"/>
        <v>ทันกำหนด</v>
      </c>
      <c r="AE528" s="43"/>
      <c r="AF528" s="43"/>
      <c r="AG528" s="43"/>
      <c r="AH528" s="44"/>
    </row>
    <row r="529" spans="1:34" ht="27.75" customHeight="1">
      <c r="A529" s="41">
        <v>526</v>
      </c>
      <c r="B529" s="66"/>
      <c r="C529" s="48"/>
      <c r="D529" s="48"/>
      <c r="E529" s="49"/>
      <c r="F529" s="49"/>
      <c r="G529" s="49">
        <f t="shared" si="25"/>
        <v>0</v>
      </c>
      <c r="H529" s="49" t="str">
        <f t="shared" si="26"/>
        <v>ครบ</v>
      </c>
      <c r="I529" s="49"/>
      <c r="J529" s="49" t="e">
        <f>VLOOKUP(I529,Sheet2!$B$10:$C$18,2,FALSE)</f>
        <v>#N/A</v>
      </c>
      <c r="K529" s="67"/>
      <c r="L529" s="49"/>
      <c r="M529" s="49" t="e">
        <f>VLOOKUP(L529,Sheet2!$B$10:$C$18,2,FALSE)</f>
        <v>#N/A</v>
      </c>
      <c r="N529" s="67"/>
      <c r="O529" s="49"/>
      <c r="P529" s="49" t="e">
        <f>VLOOKUP(O529,Sheet2!$B$10:$C$18,2,FALSE)</f>
        <v>#N/A</v>
      </c>
      <c r="Q529" s="67"/>
      <c r="R529" s="49"/>
      <c r="S529" s="49" t="e">
        <f>VLOOKUP(R529,Sheet2!$B$10:$C$18,2,FALSE)</f>
        <v>#N/A</v>
      </c>
      <c r="T529" s="67"/>
      <c r="U529" s="67">
        <f t="shared" si="27"/>
        <v>0</v>
      </c>
      <c r="V529" s="67"/>
      <c r="W529" s="67"/>
      <c r="X529" s="67"/>
      <c r="Y529" s="66"/>
      <c r="Z529" s="66"/>
      <c r="AA529" s="66"/>
      <c r="AB529" s="66"/>
      <c r="AC529" s="66"/>
      <c r="AD529" s="42" t="str">
        <f t="shared" si="23"/>
        <v>ทันกำหนด</v>
      </c>
      <c r="AE529" s="43"/>
      <c r="AF529" s="43"/>
      <c r="AG529" s="43"/>
      <c r="AH529" s="44"/>
    </row>
    <row r="530" spans="1:34" ht="27.75" customHeight="1">
      <c r="A530" s="41">
        <v>527</v>
      </c>
      <c r="B530" s="66"/>
      <c r="C530" s="48"/>
      <c r="D530" s="48"/>
      <c r="E530" s="49"/>
      <c r="F530" s="49"/>
      <c r="G530" s="49">
        <f t="shared" si="25"/>
        <v>0</v>
      </c>
      <c r="H530" s="49" t="str">
        <f t="shared" si="26"/>
        <v>ครบ</v>
      </c>
      <c r="I530" s="49"/>
      <c r="J530" s="49" t="e">
        <f>VLOOKUP(I530,Sheet2!$B$10:$C$18,2,FALSE)</f>
        <v>#N/A</v>
      </c>
      <c r="K530" s="67"/>
      <c r="L530" s="49"/>
      <c r="M530" s="49" t="e">
        <f>VLOOKUP(L530,Sheet2!$B$10:$C$18,2,FALSE)</f>
        <v>#N/A</v>
      </c>
      <c r="N530" s="67"/>
      <c r="O530" s="49"/>
      <c r="P530" s="49" t="e">
        <f>VLOOKUP(O530,Sheet2!$B$10:$C$18,2,FALSE)</f>
        <v>#N/A</v>
      </c>
      <c r="Q530" s="67"/>
      <c r="R530" s="49"/>
      <c r="S530" s="49" t="e">
        <f>VLOOKUP(R530,Sheet2!$B$10:$C$18,2,FALSE)</f>
        <v>#N/A</v>
      </c>
      <c r="T530" s="67"/>
      <c r="U530" s="67">
        <f t="shared" si="27"/>
        <v>0</v>
      </c>
      <c r="V530" s="67"/>
      <c r="W530" s="67"/>
      <c r="X530" s="67"/>
      <c r="Y530" s="66"/>
      <c r="Z530" s="66"/>
      <c r="AA530" s="66"/>
      <c r="AB530" s="66"/>
      <c r="AC530" s="66"/>
      <c r="AD530" s="42" t="str">
        <f t="shared" si="23"/>
        <v>ทันกำหนด</v>
      </c>
      <c r="AE530" s="43"/>
      <c r="AF530" s="43"/>
      <c r="AG530" s="43"/>
      <c r="AH530" s="44"/>
    </row>
    <row r="531" spans="1:34" ht="27.75" customHeight="1">
      <c r="A531" s="41">
        <v>528</v>
      </c>
      <c r="B531" s="66"/>
      <c r="C531" s="48"/>
      <c r="D531" s="48"/>
      <c r="E531" s="49"/>
      <c r="F531" s="49"/>
      <c r="G531" s="49">
        <f t="shared" si="25"/>
        <v>0</v>
      </c>
      <c r="H531" s="49" t="str">
        <f t="shared" si="26"/>
        <v>ครบ</v>
      </c>
      <c r="I531" s="49"/>
      <c r="J531" s="49" t="e">
        <f>VLOOKUP(I531,Sheet2!$B$10:$C$18,2,FALSE)</f>
        <v>#N/A</v>
      </c>
      <c r="K531" s="67"/>
      <c r="L531" s="49"/>
      <c r="M531" s="49" t="e">
        <f>VLOOKUP(L531,Sheet2!$B$10:$C$18,2,FALSE)</f>
        <v>#N/A</v>
      </c>
      <c r="N531" s="67"/>
      <c r="O531" s="49"/>
      <c r="P531" s="49" t="e">
        <f>VLOOKUP(O531,Sheet2!$B$10:$C$18,2,FALSE)</f>
        <v>#N/A</v>
      </c>
      <c r="Q531" s="67"/>
      <c r="R531" s="49"/>
      <c r="S531" s="49" t="e">
        <f>VLOOKUP(R531,Sheet2!$B$10:$C$18,2,FALSE)</f>
        <v>#N/A</v>
      </c>
      <c r="T531" s="67"/>
      <c r="U531" s="67">
        <f t="shared" si="27"/>
        <v>0</v>
      </c>
      <c r="V531" s="67"/>
      <c r="W531" s="67"/>
      <c r="X531" s="67"/>
      <c r="Y531" s="66"/>
      <c r="Z531" s="66"/>
      <c r="AA531" s="66"/>
      <c r="AB531" s="66"/>
      <c r="AC531" s="66"/>
      <c r="AD531" s="42" t="str">
        <f t="shared" si="23"/>
        <v>ทันกำหนด</v>
      </c>
      <c r="AE531" s="43"/>
      <c r="AF531" s="43"/>
      <c r="AG531" s="43"/>
      <c r="AH531" s="44"/>
    </row>
    <row r="532" spans="1:34" ht="27.75" customHeight="1">
      <c r="A532" s="41">
        <v>529</v>
      </c>
      <c r="B532" s="66"/>
      <c r="C532" s="48"/>
      <c r="D532" s="48"/>
      <c r="E532" s="49"/>
      <c r="F532" s="49"/>
      <c r="G532" s="49">
        <f t="shared" si="25"/>
        <v>0</v>
      </c>
      <c r="H532" s="49" t="str">
        <f t="shared" si="26"/>
        <v>ครบ</v>
      </c>
      <c r="I532" s="49"/>
      <c r="J532" s="49" t="e">
        <f>VLOOKUP(I532,Sheet2!$B$10:$C$18,2,FALSE)</f>
        <v>#N/A</v>
      </c>
      <c r="K532" s="67"/>
      <c r="L532" s="49"/>
      <c r="M532" s="49" t="e">
        <f>VLOOKUP(L532,Sheet2!$B$10:$C$18,2,FALSE)</f>
        <v>#N/A</v>
      </c>
      <c r="N532" s="67"/>
      <c r="O532" s="49"/>
      <c r="P532" s="49" t="e">
        <f>VLOOKUP(O532,Sheet2!$B$10:$C$18,2,FALSE)</f>
        <v>#N/A</v>
      </c>
      <c r="Q532" s="67"/>
      <c r="R532" s="49"/>
      <c r="S532" s="49" t="e">
        <f>VLOOKUP(R532,Sheet2!$B$10:$C$18,2,FALSE)</f>
        <v>#N/A</v>
      </c>
      <c r="T532" s="67"/>
      <c r="U532" s="67">
        <f t="shared" si="27"/>
        <v>0</v>
      </c>
      <c r="V532" s="67"/>
      <c r="W532" s="67"/>
      <c r="X532" s="67"/>
      <c r="Y532" s="66"/>
      <c r="Z532" s="66"/>
      <c r="AA532" s="66"/>
      <c r="AB532" s="66"/>
      <c r="AC532" s="66"/>
      <c r="AD532" s="42" t="str">
        <f t="shared" si="23"/>
        <v>ทันกำหนด</v>
      </c>
      <c r="AE532" s="43"/>
      <c r="AF532" s="43"/>
      <c r="AG532" s="43"/>
      <c r="AH532" s="44"/>
    </row>
    <row r="533" spans="1:34" ht="27.75" customHeight="1">
      <c r="A533" s="41">
        <v>530</v>
      </c>
      <c r="B533" s="66"/>
      <c r="C533" s="48"/>
      <c r="D533" s="48"/>
      <c r="E533" s="49"/>
      <c r="F533" s="49"/>
      <c r="G533" s="49">
        <f t="shared" si="25"/>
        <v>0</v>
      </c>
      <c r="H533" s="49" t="str">
        <f t="shared" si="26"/>
        <v>ครบ</v>
      </c>
      <c r="I533" s="49"/>
      <c r="J533" s="49" t="e">
        <f>VLOOKUP(I533,Sheet2!$B$10:$C$18,2,FALSE)</f>
        <v>#N/A</v>
      </c>
      <c r="K533" s="67"/>
      <c r="L533" s="49"/>
      <c r="M533" s="49" t="e">
        <f>VLOOKUP(L533,Sheet2!$B$10:$C$18,2,FALSE)</f>
        <v>#N/A</v>
      </c>
      <c r="N533" s="67"/>
      <c r="O533" s="49"/>
      <c r="P533" s="49" t="e">
        <f>VLOOKUP(O533,Sheet2!$B$10:$C$18,2,FALSE)</f>
        <v>#N/A</v>
      </c>
      <c r="Q533" s="67"/>
      <c r="R533" s="49"/>
      <c r="S533" s="49" t="e">
        <f>VLOOKUP(R533,Sheet2!$B$10:$C$18,2,FALSE)</f>
        <v>#N/A</v>
      </c>
      <c r="T533" s="67"/>
      <c r="U533" s="67">
        <f t="shared" si="27"/>
        <v>0</v>
      </c>
      <c r="V533" s="67"/>
      <c r="W533" s="67"/>
      <c r="X533" s="67"/>
      <c r="Y533" s="66"/>
      <c r="Z533" s="66"/>
      <c r="AA533" s="66"/>
      <c r="AB533" s="66"/>
      <c r="AC533" s="66"/>
      <c r="AD533" s="42" t="str">
        <f t="shared" si="23"/>
        <v>ทันกำหนด</v>
      </c>
      <c r="AE533" s="43"/>
      <c r="AF533" s="43"/>
      <c r="AG533" s="43"/>
      <c r="AH533" s="44"/>
    </row>
    <row r="534" spans="1:34" ht="27.75" customHeight="1">
      <c r="A534" s="41">
        <v>531</v>
      </c>
      <c r="B534" s="66"/>
      <c r="C534" s="48"/>
      <c r="D534" s="48"/>
      <c r="E534" s="49"/>
      <c r="F534" s="49"/>
      <c r="G534" s="49">
        <f t="shared" si="25"/>
        <v>0</v>
      </c>
      <c r="H534" s="49" t="str">
        <f t="shared" si="26"/>
        <v>ครบ</v>
      </c>
      <c r="I534" s="49"/>
      <c r="J534" s="49" t="e">
        <f>VLOOKUP(I534,Sheet2!$B$10:$C$18,2,FALSE)</f>
        <v>#N/A</v>
      </c>
      <c r="K534" s="67"/>
      <c r="L534" s="49"/>
      <c r="M534" s="49" t="e">
        <f>VLOOKUP(L534,Sheet2!$B$10:$C$18,2,FALSE)</f>
        <v>#N/A</v>
      </c>
      <c r="N534" s="67"/>
      <c r="O534" s="49"/>
      <c r="P534" s="49" t="e">
        <f>VLOOKUP(O534,Sheet2!$B$10:$C$18,2,FALSE)</f>
        <v>#N/A</v>
      </c>
      <c r="Q534" s="67"/>
      <c r="R534" s="49"/>
      <c r="S534" s="49" t="e">
        <f>VLOOKUP(R534,Sheet2!$B$10:$C$18,2,FALSE)</f>
        <v>#N/A</v>
      </c>
      <c r="T534" s="67"/>
      <c r="U534" s="67">
        <f t="shared" si="27"/>
        <v>0</v>
      </c>
      <c r="V534" s="67"/>
      <c r="W534" s="67"/>
      <c r="X534" s="67"/>
      <c r="Y534" s="66"/>
      <c r="Z534" s="66"/>
      <c r="AA534" s="66"/>
      <c r="AB534" s="66"/>
      <c r="AC534" s="66"/>
      <c r="AD534" s="42" t="str">
        <f t="shared" si="23"/>
        <v>ทันกำหนด</v>
      </c>
      <c r="AE534" s="43"/>
      <c r="AF534" s="43"/>
      <c r="AG534" s="43"/>
      <c r="AH534" s="44"/>
    </row>
    <row r="535" spans="1:34" ht="27.75" customHeight="1">
      <c r="A535" s="41">
        <v>532</v>
      </c>
      <c r="B535" s="66"/>
      <c r="C535" s="48"/>
      <c r="D535" s="48"/>
      <c r="E535" s="49"/>
      <c r="F535" s="49"/>
      <c r="G535" s="49">
        <f t="shared" si="25"/>
        <v>0</v>
      </c>
      <c r="H535" s="49" t="str">
        <f t="shared" si="26"/>
        <v>ครบ</v>
      </c>
      <c r="I535" s="49"/>
      <c r="J535" s="49" t="e">
        <f>VLOOKUP(I535,Sheet2!$B$10:$C$18,2,FALSE)</f>
        <v>#N/A</v>
      </c>
      <c r="K535" s="67"/>
      <c r="L535" s="49"/>
      <c r="M535" s="49" t="e">
        <f>VLOOKUP(L535,Sheet2!$B$10:$C$18,2,FALSE)</f>
        <v>#N/A</v>
      </c>
      <c r="N535" s="67"/>
      <c r="O535" s="49"/>
      <c r="P535" s="49" t="e">
        <f>VLOOKUP(O535,Sheet2!$B$10:$C$18,2,FALSE)</f>
        <v>#N/A</v>
      </c>
      <c r="Q535" s="67"/>
      <c r="R535" s="49"/>
      <c r="S535" s="49" t="e">
        <f>VLOOKUP(R535,Sheet2!$B$10:$C$18,2,FALSE)</f>
        <v>#N/A</v>
      </c>
      <c r="T535" s="67"/>
      <c r="U535" s="67">
        <f t="shared" si="27"/>
        <v>0</v>
      </c>
      <c r="V535" s="67"/>
      <c r="W535" s="67"/>
      <c r="X535" s="67"/>
      <c r="Y535" s="66"/>
      <c r="Z535" s="66"/>
      <c r="AA535" s="66"/>
      <c r="AB535" s="66"/>
      <c r="AC535" s="66"/>
      <c r="AD535" s="42" t="str">
        <f t="shared" si="23"/>
        <v>ทันกำหนด</v>
      </c>
      <c r="AE535" s="43"/>
      <c r="AF535" s="43"/>
      <c r="AG535" s="43"/>
      <c r="AH535" s="44"/>
    </row>
    <row r="536" spans="1:34" ht="27.75" customHeight="1">
      <c r="A536" s="41">
        <v>533</v>
      </c>
      <c r="B536" s="66"/>
      <c r="C536" s="48"/>
      <c r="D536" s="48"/>
      <c r="E536" s="49"/>
      <c r="F536" s="49"/>
      <c r="G536" s="49">
        <f t="shared" si="25"/>
        <v>0</v>
      </c>
      <c r="H536" s="49" t="str">
        <f t="shared" si="26"/>
        <v>ครบ</v>
      </c>
      <c r="I536" s="49"/>
      <c r="J536" s="49" t="e">
        <f>VLOOKUP(I536,Sheet2!$B$10:$C$18,2,FALSE)</f>
        <v>#N/A</v>
      </c>
      <c r="K536" s="67"/>
      <c r="L536" s="49"/>
      <c r="M536" s="49" t="e">
        <f>VLOOKUP(L536,Sheet2!$B$10:$C$18,2,FALSE)</f>
        <v>#N/A</v>
      </c>
      <c r="N536" s="67"/>
      <c r="O536" s="49"/>
      <c r="P536" s="49" t="e">
        <f>VLOOKUP(O536,Sheet2!$B$10:$C$18,2,FALSE)</f>
        <v>#N/A</v>
      </c>
      <c r="Q536" s="67"/>
      <c r="R536" s="49"/>
      <c r="S536" s="49" t="e">
        <f>VLOOKUP(R536,Sheet2!$B$10:$C$18,2,FALSE)</f>
        <v>#N/A</v>
      </c>
      <c r="T536" s="67"/>
      <c r="U536" s="67">
        <f t="shared" si="27"/>
        <v>0</v>
      </c>
      <c r="V536" s="67"/>
      <c r="W536" s="67"/>
      <c r="X536" s="67"/>
      <c r="Y536" s="66"/>
      <c r="Z536" s="66"/>
      <c r="AA536" s="66"/>
      <c r="AB536" s="66"/>
      <c r="AC536" s="66"/>
      <c r="AD536" s="42" t="str">
        <f t="shared" si="23"/>
        <v>ทันกำหนด</v>
      </c>
      <c r="AE536" s="43"/>
      <c r="AF536" s="43"/>
      <c r="AG536" s="43"/>
      <c r="AH536" s="44"/>
    </row>
    <row r="537" spans="1:34" ht="27.75" customHeight="1">
      <c r="A537" s="41">
        <v>534</v>
      </c>
      <c r="B537" s="66"/>
      <c r="C537" s="48"/>
      <c r="D537" s="48"/>
      <c r="E537" s="49"/>
      <c r="F537" s="49"/>
      <c r="G537" s="49">
        <f t="shared" si="25"/>
        <v>0</v>
      </c>
      <c r="H537" s="49" t="str">
        <f t="shared" si="26"/>
        <v>ครบ</v>
      </c>
      <c r="I537" s="49"/>
      <c r="J537" s="49" t="e">
        <f>VLOOKUP(I537,Sheet2!$B$10:$C$18,2,FALSE)</f>
        <v>#N/A</v>
      </c>
      <c r="K537" s="67"/>
      <c r="L537" s="49"/>
      <c r="M537" s="49" t="e">
        <f>VLOOKUP(L537,Sheet2!$B$10:$C$18,2,FALSE)</f>
        <v>#N/A</v>
      </c>
      <c r="N537" s="67"/>
      <c r="O537" s="49"/>
      <c r="P537" s="49" t="e">
        <f>VLOOKUP(O537,Sheet2!$B$10:$C$18,2,FALSE)</f>
        <v>#N/A</v>
      </c>
      <c r="Q537" s="67"/>
      <c r="R537" s="49"/>
      <c r="S537" s="49" t="e">
        <f>VLOOKUP(R537,Sheet2!$B$10:$C$18,2,FALSE)</f>
        <v>#N/A</v>
      </c>
      <c r="T537" s="67"/>
      <c r="U537" s="67">
        <f t="shared" si="27"/>
        <v>0</v>
      </c>
      <c r="V537" s="67"/>
      <c r="W537" s="67"/>
      <c r="X537" s="67"/>
      <c r="Y537" s="66"/>
      <c r="Z537" s="66"/>
      <c r="AA537" s="66"/>
      <c r="AB537" s="66"/>
      <c r="AC537" s="66"/>
      <c r="AD537" s="42" t="str">
        <f t="shared" si="23"/>
        <v>ทันกำหนด</v>
      </c>
      <c r="AE537" s="43"/>
      <c r="AF537" s="43"/>
      <c r="AG537" s="43"/>
      <c r="AH537" s="44"/>
    </row>
    <row r="538" spans="1:34" ht="27.75" customHeight="1">
      <c r="A538" s="41">
        <v>535</v>
      </c>
      <c r="B538" s="66"/>
      <c r="C538" s="48"/>
      <c r="D538" s="48"/>
      <c r="E538" s="49"/>
      <c r="F538" s="49"/>
      <c r="G538" s="49">
        <f t="shared" si="25"/>
        <v>0</v>
      </c>
      <c r="H538" s="49" t="str">
        <f t="shared" si="26"/>
        <v>ครบ</v>
      </c>
      <c r="I538" s="49"/>
      <c r="J538" s="49" t="e">
        <f>VLOOKUP(I538,Sheet2!$B$10:$C$18,2,FALSE)</f>
        <v>#N/A</v>
      </c>
      <c r="K538" s="67"/>
      <c r="L538" s="49"/>
      <c r="M538" s="49" t="e">
        <f>VLOOKUP(L538,Sheet2!$B$10:$C$18,2,FALSE)</f>
        <v>#N/A</v>
      </c>
      <c r="N538" s="67"/>
      <c r="O538" s="49"/>
      <c r="P538" s="49" t="e">
        <f>VLOOKUP(O538,Sheet2!$B$10:$C$18,2,FALSE)</f>
        <v>#N/A</v>
      </c>
      <c r="Q538" s="67"/>
      <c r="R538" s="49"/>
      <c r="S538" s="49" t="e">
        <f>VLOOKUP(R538,Sheet2!$B$10:$C$18,2,FALSE)</f>
        <v>#N/A</v>
      </c>
      <c r="T538" s="67"/>
      <c r="U538" s="67">
        <f t="shared" si="27"/>
        <v>0</v>
      </c>
      <c r="V538" s="67"/>
      <c r="W538" s="67"/>
      <c r="X538" s="67"/>
      <c r="Y538" s="66"/>
      <c r="Z538" s="66"/>
      <c r="AA538" s="66"/>
      <c r="AB538" s="66"/>
      <c r="AC538" s="66"/>
      <c r="AD538" s="42" t="str">
        <f t="shared" si="23"/>
        <v>ทันกำหนด</v>
      </c>
      <c r="AE538" s="43"/>
      <c r="AF538" s="43"/>
      <c r="AG538" s="43"/>
      <c r="AH538" s="44"/>
    </row>
    <row r="539" spans="1:34" ht="27.75" customHeight="1">
      <c r="A539" s="41">
        <v>536</v>
      </c>
      <c r="B539" s="66"/>
      <c r="C539" s="48"/>
      <c r="D539" s="48"/>
      <c r="E539" s="49"/>
      <c r="F539" s="49"/>
      <c r="G539" s="49">
        <f t="shared" si="25"/>
        <v>0</v>
      </c>
      <c r="H539" s="49" t="str">
        <f t="shared" si="26"/>
        <v>ครบ</v>
      </c>
      <c r="I539" s="49"/>
      <c r="J539" s="49" t="e">
        <f>VLOOKUP(I539,Sheet2!$B$10:$C$18,2,FALSE)</f>
        <v>#N/A</v>
      </c>
      <c r="K539" s="67"/>
      <c r="L539" s="49"/>
      <c r="M539" s="49" t="e">
        <f>VLOOKUP(L539,Sheet2!$B$10:$C$18,2,FALSE)</f>
        <v>#N/A</v>
      </c>
      <c r="N539" s="67"/>
      <c r="O539" s="49"/>
      <c r="P539" s="49" t="e">
        <f>VLOOKUP(O539,Sheet2!$B$10:$C$18,2,FALSE)</f>
        <v>#N/A</v>
      </c>
      <c r="Q539" s="67"/>
      <c r="R539" s="49"/>
      <c r="S539" s="49" t="e">
        <f>VLOOKUP(R539,Sheet2!$B$10:$C$18,2,FALSE)</f>
        <v>#N/A</v>
      </c>
      <c r="T539" s="67"/>
      <c r="U539" s="67">
        <f t="shared" si="27"/>
        <v>0</v>
      </c>
      <c r="V539" s="67"/>
      <c r="W539" s="67"/>
      <c r="X539" s="67"/>
      <c r="Y539" s="66"/>
      <c r="Z539" s="66"/>
      <c r="AA539" s="66"/>
      <c r="AB539" s="66"/>
      <c r="AC539" s="66"/>
      <c r="AD539" s="42" t="str">
        <f t="shared" si="23"/>
        <v>ทันกำหนด</v>
      </c>
      <c r="AE539" s="43"/>
      <c r="AF539" s="43"/>
      <c r="AG539" s="43"/>
      <c r="AH539" s="44"/>
    </row>
    <row r="540" spans="1:34" ht="27.75" customHeight="1">
      <c r="A540" s="41">
        <v>537</v>
      </c>
      <c r="B540" s="66"/>
      <c r="C540" s="48"/>
      <c r="D540" s="48"/>
      <c r="E540" s="49"/>
      <c r="F540" s="49"/>
      <c r="G540" s="49">
        <f t="shared" si="25"/>
        <v>0</v>
      </c>
      <c r="H540" s="49" t="str">
        <f t="shared" si="26"/>
        <v>ครบ</v>
      </c>
      <c r="I540" s="49"/>
      <c r="J540" s="49" t="e">
        <f>VLOOKUP(I540,Sheet2!$B$10:$C$18,2,FALSE)</f>
        <v>#N/A</v>
      </c>
      <c r="K540" s="67"/>
      <c r="L540" s="49"/>
      <c r="M540" s="49" t="e">
        <f>VLOOKUP(L540,Sheet2!$B$10:$C$18,2,FALSE)</f>
        <v>#N/A</v>
      </c>
      <c r="N540" s="67"/>
      <c r="O540" s="49"/>
      <c r="P540" s="49" t="e">
        <f>VLOOKUP(O540,Sheet2!$B$10:$C$18,2,FALSE)</f>
        <v>#N/A</v>
      </c>
      <c r="Q540" s="67"/>
      <c r="R540" s="49"/>
      <c r="S540" s="49" t="e">
        <f>VLOOKUP(R540,Sheet2!$B$10:$C$18,2,FALSE)</f>
        <v>#N/A</v>
      </c>
      <c r="T540" s="67"/>
      <c r="U540" s="67">
        <f t="shared" si="27"/>
        <v>0</v>
      </c>
      <c r="V540" s="67"/>
      <c r="W540" s="67"/>
      <c r="X540" s="67"/>
      <c r="Y540" s="66"/>
      <c r="Z540" s="66"/>
      <c r="AA540" s="66"/>
      <c r="AB540" s="66"/>
      <c r="AC540" s="66"/>
      <c r="AD540" s="42" t="str">
        <f t="shared" si="23"/>
        <v>ทันกำหนด</v>
      </c>
      <c r="AE540" s="43"/>
      <c r="AF540" s="43"/>
      <c r="AG540" s="43"/>
      <c r="AH540" s="44"/>
    </row>
    <row r="541" spans="1:34" ht="27.75" customHeight="1">
      <c r="A541" s="41">
        <v>538</v>
      </c>
      <c r="B541" s="66"/>
      <c r="C541" s="48"/>
      <c r="D541" s="48"/>
      <c r="E541" s="49"/>
      <c r="F541" s="49"/>
      <c r="G541" s="49">
        <f t="shared" si="25"/>
        <v>0</v>
      </c>
      <c r="H541" s="49" t="str">
        <f t="shared" si="26"/>
        <v>ครบ</v>
      </c>
      <c r="I541" s="49"/>
      <c r="J541" s="49" t="e">
        <f>VLOOKUP(I541,Sheet2!$B$10:$C$18,2,FALSE)</f>
        <v>#N/A</v>
      </c>
      <c r="K541" s="67"/>
      <c r="L541" s="49"/>
      <c r="M541" s="49" t="e">
        <f>VLOOKUP(L541,Sheet2!$B$10:$C$18,2,FALSE)</f>
        <v>#N/A</v>
      </c>
      <c r="N541" s="67"/>
      <c r="O541" s="49"/>
      <c r="P541" s="49" t="e">
        <f>VLOOKUP(O541,Sheet2!$B$10:$C$18,2,FALSE)</f>
        <v>#N/A</v>
      </c>
      <c r="Q541" s="67"/>
      <c r="R541" s="49"/>
      <c r="S541" s="49" t="e">
        <f>VLOOKUP(R541,Sheet2!$B$10:$C$18,2,FALSE)</f>
        <v>#N/A</v>
      </c>
      <c r="T541" s="67"/>
      <c r="U541" s="67">
        <f t="shared" si="27"/>
        <v>0</v>
      </c>
      <c r="V541" s="67"/>
      <c r="W541" s="67"/>
      <c r="X541" s="67"/>
      <c r="Y541" s="66"/>
      <c r="Z541" s="66"/>
      <c r="AA541" s="66"/>
      <c r="AB541" s="66"/>
      <c r="AC541" s="66"/>
      <c r="AD541" s="42" t="str">
        <f t="shared" si="23"/>
        <v>ทันกำหนด</v>
      </c>
      <c r="AE541" s="43"/>
      <c r="AF541" s="43"/>
      <c r="AG541" s="43"/>
      <c r="AH541" s="44"/>
    </row>
    <row r="542" spans="1:34" ht="27.75" customHeight="1">
      <c r="A542" s="41">
        <v>539</v>
      </c>
      <c r="B542" s="66"/>
      <c r="C542" s="48"/>
      <c r="D542" s="48"/>
      <c r="E542" s="49"/>
      <c r="F542" s="49"/>
      <c r="G542" s="49">
        <f t="shared" si="25"/>
        <v>0</v>
      </c>
      <c r="H542" s="49" t="str">
        <f t="shared" si="26"/>
        <v>ครบ</v>
      </c>
      <c r="I542" s="49"/>
      <c r="J542" s="49" t="e">
        <f>VLOOKUP(I542,Sheet2!$B$10:$C$18,2,FALSE)</f>
        <v>#N/A</v>
      </c>
      <c r="K542" s="67"/>
      <c r="L542" s="49"/>
      <c r="M542" s="49" t="e">
        <f>VLOOKUP(L542,Sheet2!$B$10:$C$18,2,FALSE)</f>
        <v>#N/A</v>
      </c>
      <c r="N542" s="67"/>
      <c r="O542" s="49"/>
      <c r="P542" s="49" t="e">
        <f>VLOOKUP(O542,Sheet2!$B$10:$C$18,2,FALSE)</f>
        <v>#N/A</v>
      </c>
      <c r="Q542" s="67"/>
      <c r="R542" s="49"/>
      <c r="S542" s="49" t="e">
        <f>VLOOKUP(R542,Sheet2!$B$10:$C$18,2,FALSE)</f>
        <v>#N/A</v>
      </c>
      <c r="T542" s="67"/>
      <c r="U542" s="67">
        <f t="shared" si="27"/>
        <v>0</v>
      </c>
      <c r="V542" s="67"/>
      <c r="W542" s="67"/>
      <c r="X542" s="67"/>
      <c r="Y542" s="66"/>
      <c r="Z542" s="66"/>
      <c r="AA542" s="66"/>
      <c r="AB542" s="66"/>
      <c r="AC542" s="66"/>
      <c r="AD542" s="42" t="str">
        <f t="shared" si="23"/>
        <v>ทันกำหนด</v>
      </c>
      <c r="AE542" s="43"/>
      <c r="AF542" s="43"/>
      <c r="AG542" s="43"/>
      <c r="AH542" s="44"/>
    </row>
    <row r="543" spans="1:34" ht="27.75" customHeight="1">
      <c r="A543" s="41">
        <v>540</v>
      </c>
      <c r="B543" s="66"/>
      <c r="C543" s="48"/>
      <c r="D543" s="48"/>
      <c r="E543" s="49"/>
      <c r="F543" s="49"/>
      <c r="G543" s="49">
        <f t="shared" si="25"/>
        <v>0</v>
      </c>
      <c r="H543" s="49" t="str">
        <f t="shared" si="26"/>
        <v>ครบ</v>
      </c>
      <c r="I543" s="49"/>
      <c r="J543" s="49" t="e">
        <f>VLOOKUP(I543,Sheet2!$B$10:$C$18,2,FALSE)</f>
        <v>#N/A</v>
      </c>
      <c r="K543" s="67"/>
      <c r="L543" s="49"/>
      <c r="M543" s="49" t="e">
        <f>VLOOKUP(L543,Sheet2!$B$10:$C$18,2,FALSE)</f>
        <v>#N/A</v>
      </c>
      <c r="N543" s="67"/>
      <c r="O543" s="49"/>
      <c r="P543" s="49" t="e">
        <f>VLOOKUP(O543,Sheet2!$B$10:$C$18,2,FALSE)</f>
        <v>#N/A</v>
      </c>
      <c r="Q543" s="67"/>
      <c r="R543" s="49"/>
      <c r="S543" s="49" t="e">
        <f>VLOOKUP(R543,Sheet2!$B$10:$C$18,2,FALSE)</f>
        <v>#N/A</v>
      </c>
      <c r="T543" s="67"/>
      <c r="U543" s="67">
        <f t="shared" si="27"/>
        <v>0</v>
      </c>
      <c r="V543" s="67"/>
      <c r="W543" s="67"/>
      <c r="X543" s="67"/>
      <c r="Y543" s="66"/>
      <c r="Z543" s="66"/>
      <c r="AA543" s="66"/>
      <c r="AB543" s="66"/>
      <c r="AC543" s="66"/>
      <c r="AD543" s="42" t="str">
        <f t="shared" si="23"/>
        <v>ทันกำหนด</v>
      </c>
      <c r="AE543" s="43"/>
      <c r="AF543" s="43"/>
      <c r="AG543" s="43"/>
      <c r="AH543" s="44"/>
    </row>
    <row r="544" spans="1:34" ht="27.75" customHeight="1">
      <c r="A544" s="41">
        <v>541</v>
      </c>
      <c r="B544" s="66"/>
      <c r="C544" s="48"/>
      <c r="D544" s="48"/>
      <c r="E544" s="49"/>
      <c r="F544" s="49"/>
      <c r="G544" s="49">
        <f t="shared" si="25"/>
        <v>0</v>
      </c>
      <c r="H544" s="49" t="str">
        <f t="shared" si="26"/>
        <v>ครบ</v>
      </c>
      <c r="I544" s="49"/>
      <c r="J544" s="49" t="e">
        <f>VLOOKUP(I544,Sheet2!$B$10:$C$18,2,FALSE)</f>
        <v>#N/A</v>
      </c>
      <c r="K544" s="67"/>
      <c r="L544" s="49"/>
      <c r="M544" s="49" t="e">
        <f>VLOOKUP(L544,Sheet2!$B$10:$C$18,2,FALSE)</f>
        <v>#N/A</v>
      </c>
      <c r="N544" s="67"/>
      <c r="O544" s="49"/>
      <c r="P544" s="49" t="e">
        <f>VLOOKUP(O544,Sheet2!$B$10:$C$18,2,FALSE)</f>
        <v>#N/A</v>
      </c>
      <c r="Q544" s="67"/>
      <c r="R544" s="49"/>
      <c r="S544" s="49" t="e">
        <f>VLOOKUP(R544,Sheet2!$B$10:$C$18,2,FALSE)</f>
        <v>#N/A</v>
      </c>
      <c r="T544" s="67"/>
      <c r="U544" s="67">
        <f t="shared" si="27"/>
        <v>0</v>
      </c>
      <c r="V544" s="67"/>
      <c r="W544" s="67"/>
      <c r="X544" s="67"/>
      <c r="Y544" s="66"/>
      <c r="Z544" s="66"/>
      <c r="AA544" s="66"/>
      <c r="AB544" s="66"/>
      <c r="AC544" s="66"/>
      <c r="AD544" s="42" t="str">
        <f t="shared" si="23"/>
        <v>ทันกำหนด</v>
      </c>
      <c r="AE544" s="43"/>
      <c r="AF544" s="43"/>
      <c r="AG544" s="43"/>
      <c r="AH544" s="44"/>
    </row>
    <row r="545" spans="1:34" ht="27.75" customHeight="1">
      <c r="A545" s="41">
        <v>542</v>
      </c>
      <c r="B545" s="66"/>
      <c r="C545" s="48"/>
      <c r="D545" s="48"/>
      <c r="E545" s="49"/>
      <c r="F545" s="49"/>
      <c r="G545" s="49">
        <f t="shared" si="25"/>
        <v>0</v>
      </c>
      <c r="H545" s="49" t="str">
        <f t="shared" si="26"/>
        <v>ครบ</v>
      </c>
      <c r="I545" s="49"/>
      <c r="J545" s="49" t="e">
        <f>VLOOKUP(I545,Sheet2!$B$10:$C$18,2,FALSE)</f>
        <v>#N/A</v>
      </c>
      <c r="K545" s="67"/>
      <c r="L545" s="49"/>
      <c r="M545" s="49" t="e">
        <f>VLOOKUP(L545,Sheet2!$B$10:$C$18,2,FALSE)</f>
        <v>#N/A</v>
      </c>
      <c r="N545" s="67"/>
      <c r="O545" s="49"/>
      <c r="P545" s="49" t="e">
        <f>VLOOKUP(O545,Sheet2!$B$10:$C$18,2,FALSE)</f>
        <v>#N/A</v>
      </c>
      <c r="Q545" s="67"/>
      <c r="R545" s="49"/>
      <c r="S545" s="49" t="e">
        <f>VLOOKUP(R545,Sheet2!$B$10:$C$18,2,FALSE)</f>
        <v>#N/A</v>
      </c>
      <c r="T545" s="67"/>
      <c r="U545" s="67">
        <f t="shared" si="27"/>
        <v>0</v>
      </c>
      <c r="V545" s="67"/>
      <c r="W545" s="67"/>
      <c r="X545" s="67"/>
      <c r="Y545" s="66"/>
      <c r="Z545" s="66"/>
      <c r="AA545" s="66"/>
      <c r="AB545" s="66"/>
      <c r="AC545" s="66"/>
      <c r="AD545" s="42" t="str">
        <f t="shared" si="23"/>
        <v>ทันกำหนด</v>
      </c>
      <c r="AE545" s="43"/>
      <c r="AF545" s="43"/>
      <c r="AG545" s="43"/>
      <c r="AH545" s="44"/>
    </row>
    <row r="546" spans="1:34" ht="27.75" customHeight="1">
      <c r="A546" s="41">
        <v>543</v>
      </c>
      <c r="B546" s="66"/>
      <c r="C546" s="48"/>
      <c r="D546" s="48"/>
      <c r="E546" s="49"/>
      <c r="F546" s="49"/>
      <c r="G546" s="49">
        <f t="shared" si="25"/>
        <v>0</v>
      </c>
      <c r="H546" s="49" t="str">
        <f t="shared" si="26"/>
        <v>ครบ</v>
      </c>
      <c r="I546" s="49"/>
      <c r="J546" s="49" t="e">
        <f>VLOOKUP(I546,Sheet2!$B$10:$C$18,2,FALSE)</f>
        <v>#N/A</v>
      </c>
      <c r="K546" s="67"/>
      <c r="L546" s="49"/>
      <c r="M546" s="49" t="e">
        <f>VLOOKUP(L546,Sheet2!$B$10:$C$18,2,FALSE)</f>
        <v>#N/A</v>
      </c>
      <c r="N546" s="67"/>
      <c r="O546" s="49"/>
      <c r="P546" s="49" t="e">
        <f>VLOOKUP(O546,Sheet2!$B$10:$C$18,2,FALSE)</f>
        <v>#N/A</v>
      </c>
      <c r="Q546" s="67"/>
      <c r="R546" s="49"/>
      <c r="S546" s="49" t="e">
        <f>VLOOKUP(R546,Sheet2!$B$10:$C$18,2,FALSE)</f>
        <v>#N/A</v>
      </c>
      <c r="T546" s="67"/>
      <c r="U546" s="67">
        <f t="shared" si="27"/>
        <v>0</v>
      </c>
      <c r="V546" s="67"/>
      <c r="W546" s="67"/>
      <c r="X546" s="67"/>
      <c r="Y546" s="66"/>
      <c r="Z546" s="66"/>
      <c r="AA546" s="66"/>
      <c r="AB546" s="66"/>
      <c r="AC546" s="66"/>
      <c r="AD546" s="42" t="str">
        <f t="shared" si="23"/>
        <v>ทันกำหนด</v>
      </c>
      <c r="AE546" s="43"/>
      <c r="AF546" s="43"/>
      <c r="AG546" s="43"/>
      <c r="AH546" s="44"/>
    </row>
    <row r="547" spans="1:34" ht="27.75" customHeight="1">
      <c r="A547" s="41">
        <v>544</v>
      </c>
      <c r="B547" s="66"/>
      <c r="C547" s="48"/>
      <c r="D547" s="48"/>
      <c r="E547" s="49"/>
      <c r="F547" s="49"/>
      <c r="G547" s="49">
        <f t="shared" si="25"/>
        <v>0</v>
      </c>
      <c r="H547" s="49" t="str">
        <f t="shared" si="26"/>
        <v>ครบ</v>
      </c>
      <c r="I547" s="49"/>
      <c r="J547" s="49" t="e">
        <f>VLOOKUP(I547,Sheet2!$B$10:$C$18,2,FALSE)</f>
        <v>#N/A</v>
      </c>
      <c r="K547" s="67"/>
      <c r="L547" s="49"/>
      <c r="M547" s="49" t="e">
        <f>VLOOKUP(L547,Sheet2!$B$10:$C$18,2,FALSE)</f>
        <v>#N/A</v>
      </c>
      <c r="N547" s="67"/>
      <c r="O547" s="49"/>
      <c r="P547" s="49" t="e">
        <f>VLOOKUP(O547,Sheet2!$B$10:$C$18,2,FALSE)</f>
        <v>#N/A</v>
      </c>
      <c r="Q547" s="67"/>
      <c r="R547" s="49"/>
      <c r="S547" s="49" t="e">
        <f>VLOOKUP(R547,Sheet2!$B$10:$C$18,2,FALSE)</f>
        <v>#N/A</v>
      </c>
      <c r="T547" s="67"/>
      <c r="U547" s="67">
        <f t="shared" si="27"/>
        <v>0</v>
      </c>
      <c r="V547" s="67"/>
      <c r="W547" s="67"/>
      <c r="X547" s="67"/>
      <c r="Y547" s="66"/>
      <c r="Z547" s="66"/>
      <c r="AA547" s="66"/>
      <c r="AB547" s="66"/>
      <c r="AC547" s="66"/>
      <c r="AD547" s="42" t="str">
        <f t="shared" si="23"/>
        <v>ทันกำหนด</v>
      </c>
      <c r="AE547" s="43"/>
      <c r="AF547" s="43"/>
      <c r="AG547" s="43"/>
      <c r="AH547" s="44"/>
    </row>
    <row r="548" spans="1:34" ht="27.75" customHeight="1">
      <c r="A548" s="41">
        <v>545</v>
      </c>
      <c r="B548" s="66"/>
      <c r="C548" s="48"/>
      <c r="D548" s="48"/>
      <c r="E548" s="49"/>
      <c r="F548" s="49"/>
      <c r="G548" s="49">
        <f t="shared" si="25"/>
        <v>0</v>
      </c>
      <c r="H548" s="49" t="str">
        <f t="shared" si="26"/>
        <v>ครบ</v>
      </c>
      <c r="I548" s="49"/>
      <c r="J548" s="49" t="e">
        <f>VLOOKUP(I548,Sheet2!$B$10:$C$18,2,FALSE)</f>
        <v>#N/A</v>
      </c>
      <c r="K548" s="67"/>
      <c r="L548" s="49"/>
      <c r="M548" s="49" t="e">
        <f>VLOOKUP(L548,Sheet2!$B$10:$C$18,2,FALSE)</f>
        <v>#N/A</v>
      </c>
      <c r="N548" s="67"/>
      <c r="O548" s="49"/>
      <c r="P548" s="49" t="e">
        <f>VLOOKUP(O548,Sheet2!$B$10:$C$18,2,FALSE)</f>
        <v>#N/A</v>
      </c>
      <c r="Q548" s="67"/>
      <c r="R548" s="49"/>
      <c r="S548" s="49" t="e">
        <f>VLOOKUP(R548,Sheet2!$B$10:$C$18,2,FALSE)</f>
        <v>#N/A</v>
      </c>
      <c r="T548" s="67"/>
      <c r="U548" s="67">
        <f t="shared" si="27"/>
        <v>0</v>
      </c>
      <c r="V548" s="67"/>
      <c r="W548" s="67"/>
      <c r="X548" s="67"/>
      <c r="Y548" s="66"/>
      <c r="Z548" s="66"/>
      <c r="AA548" s="66"/>
      <c r="AB548" s="66"/>
      <c r="AC548" s="66"/>
      <c r="AD548" s="42" t="str">
        <f t="shared" si="23"/>
        <v>ทันกำหนด</v>
      </c>
      <c r="AE548" s="43"/>
      <c r="AF548" s="43"/>
      <c r="AG548" s="43"/>
      <c r="AH548" s="44"/>
    </row>
    <row r="549" spans="1:34" ht="27.75" customHeight="1">
      <c r="A549" s="41">
        <v>546</v>
      </c>
      <c r="B549" s="66"/>
      <c r="C549" s="48"/>
      <c r="D549" s="48"/>
      <c r="E549" s="49"/>
      <c r="F549" s="49"/>
      <c r="G549" s="49">
        <f t="shared" si="25"/>
        <v>0</v>
      </c>
      <c r="H549" s="49" t="str">
        <f t="shared" si="26"/>
        <v>ครบ</v>
      </c>
      <c r="I549" s="49"/>
      <c r="J549" s="49" t="e">
        <f>VLOOKUP(I549,Sheet2!$B$10:$C$18,2,FALSE)</f>
        <v>#N/A</v>
      </c>
      <c r="K549" s="67"/>
      <c r="L549" s="49"/>
      <c r="M549" s="49" t="e">
        <f>VLOOKUP(L549,Sheet2!$B$10:$C$18,2,FALSE)</f>
        <v>#N/A</v>
      </c>
      <c r="N549" s="67"/>
      <c r="O549" s="49"/>
      <c r="P549" s="49" t="e">
        <f>VLOOKUP(O549,Sheet2!$B$10:$C$18,2,FALSE)</f>
        <v>#N/A</v>
      </c>
      <c r="Q549" s="67"/>
      <c r="R549" s="49"/>
      <c r="S549" s="49" t="e">
        <f>VLOOKUP(R549,Sheet2!$B$10:$C$18,2,FALSE)</f>
        <v>#N/A</v>
      </c>
      <c r="T549" s="67"/>
      <c r="U549" s="67">
        <f t="shared" si="27"/>
        <v>0</v>
      </c>
      <c r="V549" s="67"/>
      <c r="W549" s="67"/>
      <c r="X549" s="67"/>
      <c r="Y549" s="66"/>
      <c r="Z549" s="66"/>
      <c r="AA549" s="66"/>
      <c r="AB549" s="66"/>
      <c r="AC549" s="66"/>
      <c r="AD549" s="42" t="str">
        <f t="shared" si="23"/>
        <v>ทันกำหนด</v>
      </c>
      <c r="AE549" s="43"/>
      <c r="AF549" s="43"/>
      <c r="AG549" s="43"/>
      <c r="AH549" s="44"/>
    </row>
    <row r="550" spans="1:34" ht="27.75" customHeight="1">
      <c r="A550" s="41">
        <v>547</v>
      </c>
      <c r="B550" s="66"/>
      <c r="C550" s="48"/>
      <c r="D550" s="48"/>
      <c r="E550" s="49"/>
      <c r="F550" s="49"/>
      <c r="G550" s="49">
        <f t="shared" si="25"/>
        <v>0</v>
      </c>
      <c r="H550" s="49" t="str">
        <f t="shared" si="26"/>
        <v>ครบ</v>
      </c>
      <c r="I550" s="49"/>
      <c r="J550" s="49" t="e">
        <f>VLOOKUP(I550,Sheet2!$B$10:$C$18,2,FALSE)</f>
        <v>#N/A</v>
      </c>
      <c r="K550" s="67"/>
      <c r="L550" s="49"/>
      <c r="M550" s="49" t="e">
        <f>VLOOKUP(L550,Sheet2!$B$10:$C$18,2,FALSE)</f>
        <v>#N/A</v>
      </c>
      <c r="N550" s="67"/>
      <c r="O550" s="49"/>
      <c r="P550" s="49" t="e">
        <f>VLOOKUP(O550,Sheet2!$B$10:$C$18,2,FALSE)</f>
        <v>#N/A</v>
      </c>
      <c r="Q550" s="67"/>
      <c r="R550" s="49"/>
      <c r="S550" s="49" t="e">
        <f>VLOOKUP(R550,Sheet2!$B$10:$C$18,2,FALSE)</f>
        <v>#N/A</v>
      </c>
      <c r="T550" s="67"/>
      <c r="U550" s="67">
        <f t="shared" si="27"/>
        <v>0</v>
      </c>
      <c r="V550" s="67"/>
      <c r="W550" s="67"/>
      <c r="X550" s="67"/>
      <c r="Y550" s="66"/>
      <c r="Z550" s="66"/>
      <c r="AA550" s="66"/>
      <c r="AB550" s="66"/>
      <c r="AC550" s="66"/>
      <c r="AD550" s="42" t="str">
        <f t="shared" si="23"/>
        <v>ทันกำหนด</v>
      </c>
      <c r="AE550" s="43"/>
      <c r="AF550" s="43"/>
      <c r="AG550" s="43"/>
      <c r="AH550" s="44"/>
    </row>
    <row r="551" spans="1:34" ht="27.75" customHeight="1">
      <c r="A551" s="41">
        <v>548</v>
      </c>
      <c r="B551" s="66"/>
      <c r="C551" s="48"/>
      <c r="D551" s="48"/>
      <c r="E551" s="49"/>
      <c r="F551" s="49"/>
      <c r="G551" s="49">
        <f t="shared" si="25"/>
        <v>0</v>
      </c>
      <c r="H551" s="49" t="str">
        <f t="shared" si="26"/>
        <v>ครบ</v>
      </c>
      <c r="I551" s="49"/>
      <c r="J551" s="49" t="e">
        <f>VLOOKUP(I551,Sheet2!$B$10:$C$18,2,FALSE)</f>
        <v>#N/A</v>
      </c>
      <c r="K551" s="67"/>
      <c r="L551" s="49"/>
      <c r="M551" s="49" t="e">
        <f>VLOOKUP(L551,Sheet2!$B$10:$C$18,2,FALSE)</f>
        <v>#N/A</v>
      </c>
      <c r="N551" s="67"/>
      <c r="O551" s="49"/>
      <c r="P551" s="49" t="e">
        <f>VLOOKUP(O551,Sheet2!$B$10:$C$18,2,FALSE)</f>
        <v>#N/A</v>
      </c>
      <c r="Q551" s="67"/>
      <c r="R551" s="49"/>
      <c r="S551" s="49" t="e">
        <f>VLOOKUP(R551,Sheet2!$B$10:$C$18,2,FALSE)</f>
        <v>#N/A</v>
      </c>
      <c r="T551" s="67"/>
      <c r="U551" s="67">
        <f t="shared" si="27"/>
        <v>0</v>
      </c>
      <c r="V551" s="67"/>
      <c r="W551" s="67"/>
      <c r="X551" s="67"/>
      <c r="Y551" s="66"/>
      <c r="Z551" s="66"/>
      <c r="AA551" s="66"/>
      <c r="AB551" s="66"/>
      <c r="AC551" s="66"/>
      <c r="AD551" s="42" t="str">
        <f t="shared" si="23"/>
        <v>ทันกำหนด</v>
      </c>
      <c r="AE551" s="43"/>
      <c r="AF551" s="43"/>
      <c r="AG551" s="43"/>
      <c r="AH551" s="44"/>
    </row>
    <row r="552" spans="1:34" ht="27.75" customHeight="1">
      <c r="A552" s="41">
        <v>549</v>
      </c>
      <c r="B552" s="66"/>
      <c r="C552" s="48"/>
      <c r="D552" s="48"/>
      <c r="E552" s="49"/>
      <c r="F552" s="49"/>
      <c r="G552" s="49">
        <f t="shared" si="25"/>
        <v>0</v>
      </c>
      <c r="H552" s="49" t="str">
        <f t="shared" si="26"/>
        <v>ครบ</v>
      </c>
      <c r="I552" s="49"/>
      <c r="J552" s="49" t="e">
        <f>VLOOKUP(I552,Sheet2!$B$10:$C$18,2,FALSE)</f>
        <v>#N/A</v>
      </c>
      <c r="K552" s="67"/>
      <c r="L552" s="49"/>
      <c r="M552" s="49" t="e">
        <f>VLOOKUP(L552,Sheet2!$B$10:$C$18,2,FALSE)</f>
        <v>#N/A</v>
      </c>
      <c r="N552" s="67"/>
      <c r="O552" s="49"/>
      <c r="P552" s="49" t="e">
        <f>VLOOKUP(O552,Sheet2!$B$10:$C$18,2,FALSE)</f>
        <v>#N/A</v>
      </c>
      <c r="Q552" s="67"/>
      <c r="R552" s="49"/>
      <c r="S552" s="49" t="e">
        <f>VLOOKUP(R552,Sheet2!$B$10:$C$18,2,FALSE)</f>
        <v>#N/A</v>
      </c>
      <c r="T552" s="67"/>
      <c r="U552" s="67">
        <f t="shared" si="27"/>
        <v>0</v>
      </c>
      <c r="V552" s="67"/>
      <c r="W552" s="67"/>
      <c r="X552" s="67"/>
      <c r="Y552" s="66"/>
      <c r="Z552" s="66"/>
      <c r="AA552" s="66"/>
      <c r="AB552" s="66"/>
      <c r="AC552" s="66"/>
      <c r="AD552" s="42" t="str">
        <f t="shared" si="23"/>
        <v>ทันกำหนด</v>
      </c>
      <c r="AE552" s="43"/>
      <c r="AF552" s="43"/>
      <c r="AG552" s="43"/>
      <c r="AH552" s="44"/>
    </row>
    <row r="553" spans="1:34" ht="27.75" customHeight="1">
      <c r="A553" s="41">
        <v>550</v>
      </c>
      <c r="B553" s="66"/>
      <c r="C553" s="48"/>
      <c r="D553" s="48"/>
      <c r="E553" s="49"/>
      <c r="F553" s="49"/>
      <c r="G553" s="49">
        <f t="shared" si="25"/>
        <v>0</v>
      </c>
      <c r="H553" s="49" t="str">
        <f t="shared" si="26"/>
        <v>ครบ</v>
      </c>
      <c r="I553" s="49"/>
      <c r="J553" s="49" t="e">
        <f>VLOOKUP(I553,Sheet2!$B$10:$C$18,2,FALSE)</f>
        <v>#N/A</v>
      </c>
      <c r="K553" s="67"/>
      <c r="L553" s="49"/>
      <c r="M553" s="49" t="e">
        <f>VLOOKUP(L553,Sheet2!$B$10:$C$18,2,FALSE)</f>
        <v>#N/A</v>
      </c>
      <c r="N553" s="67"/>
      <c r="O553" s="49"/>
      <c r="P553" s="49" t="e">
        <f>VLOOKUP(O553,Sheet2!$B$10:$C$18,2,FALSE)</f>
        <v>#N/A</v>
      </c>
      <c r="Q553" s="67"/>
      <c r="R553" s="49"/>
      <c r="S553" s="49" t="e">
        <f>VLOOKUP(R553,Sheet2!$B$10:$C$18,2,FALSE)</f>
        <v>#N/A</v>
      </c>
      <c r="T553" s="67"/>
      <c r="U553" s="67">
        <f t="shared" si="27"/>
        <v>0</v>
      </c>
      <c r="V553" s="67"/>
      <c r="W553" s="67"/>
      <c r="X553" s="67"/>
      <c r="Y553" s="66"/>
      <c r="Z553" s="66"/>
      <c r="AA553" s="66"/>
      <c r="AB553" s="66"/>
      <c r="AC553" s="66"/>
      <c r="AD553" s="42" t="str">
        <f t="shared" si="23"/>
        <v>ทันกำหนด</v>
      </c>
      <c r="AE553" s="43"/>
      <c r="AF553" s="43"/>
      <c r="AG553" s="43"/>
      <c r="AH553" s="44"/>
    </row>
    <row r="554" spans="1:34" ht="27.75" customHeight="1">
      <c r="A554" s="41">
        <v>551</v>
      </c>
      <c r="B554" s="66"/>
      <c r="C554" s="48"/>
      <c r="D554" s="48"/>
      <c r="E554" s="49"/>
      <c r="F554" s="49"/>
      <c r="G554" s="49">
        <f t="shared" si="25"/>
        <v>0</v>
      </c>
      <c r="H554" s="49" t="str">
        <f t="shared" si="26"/>
        <v>ครบ</v>
      </c>
      <c r="I554" s="49"/>
      <c r="J554" s="49" t="e">
        <f>VLOOKUP(I554,Sheet2!$B$10:$C$18,2,FALSE)</f>
        <v>#N/A</v>
      </c>
      <c r="K554" s="67"/>
      <c r="L554" s="49"/>
      <c r="M554" s="49" t="e">
        <f>VLOOKUP(L554,Sheet2!$B$10:$C$18,2,FALSE)</f>
        <v>#N/A</v>
      </c>
      <c r="N554" s="67"/>
      <c r="O554" s="49"/>
      <c r="P554" s="49" t="e">
        <f>VLOOKUP(O554,Sheet2!$B$10:$C$18,2,FALSE)</f>
        <v>#N/A</v>
      </c>
      <c r="Q554" s="67"/>
      <c r="R554" s="49"/>
      <c r="S554" s="49" t="e">
        <f>VLOOKUP(R554,Sheet2!$B$10:$C$18,2,FALSE)</f>
        <v>#N/A</v>
      </c>
      <c r="T554" s="67"/>
      <c r="U554" s="67">
        <f t="shared" si="27"/>
        <v>0</v>
      </c>
      <c r="V554" s="67"/>
      <c r="W554" s="67"/>
      <c r="X554" s="67"/>
      <c r="Y554" s="66"/>
      <c r="Z554" s="66"/>
      <c r="AA554" s="66"/>
      <c r="AB554" s="66"/>
      <c r="AC554" s="66"/>
      <c r="AD554" s="42" t="str">
        <f t="shared" si="23"/>
        <v>ทันกำหนด</v>
      </c>
      <c r="AE554" s="43"/>
      <c r="AF554" s="43"/>
      <c r="AG554" s="43"/>
      <c r="AH554" s="44"/>
    </row>
    <row r="555" spans="1:34" ht="27.75" customHeight="1">
      <c r="A555" s="41">
        <v>552</v>
      </c>
      <c r="B555" s="66"/>
      <c r="C555" s="48"/>
      <c r="D555" s="48"/>
      <c r="E555" s="49"/>
      <c r="F555" s="49"/>
      <c r="G555" s="49">
        <f t="shared" si="25"/>
        <v>0</v>
      </c>
      <c r="H555" s="49" t="str">
        <f t="shared" si="26"/>
        <v>ครบ</v>
      </c>
      <c r="I555" s="49"/>
      <c r="J555" s="49" t="e">
        <f>VLOOKUP(I555,Sheet2!$B$10:$C$18,2,FALSE)</f>
        <v>#N/A</v>
      </c>
      <c r="K555" s="67"/>
      <c r="L555" s="49"/>
      <c r="M555" s="49" t="e">
        <f>VLOOKUP(L555,Sheet2!$B$10:$C$18,2,FALSE)</f>
        <v>#N/A</v>
      </c>
      <c r="N555" s="67"/>
      <c r="O555" s="49"/>
      <c r="P555" s="49" t="e">
        <f>VLOOKUP(O555,Sheet2!$B$10:$C$18,2,FALSE)</f>
        <v>#N/A</v>
      </c>
      <c r="Q555" s="67"/>
      <c r="R555" s="49"/>
      <c r="S555" s="49" t="e">
        <f>VLOOKUP(R555,Sheet2!$B$10:$C$18,2,FALSE)</f>
        <v>#N/A</v>
      </c>
      <c r="T555" s="67"/>
      <c r="U555" s="67">
        <f t="shared" si="27"/>
        <v>0</v>
      </c>
      <c r="V555" s="67"/>
      <c r="W555" s="67"/>
      <c r="X555" s="67"/>
      <c r="Y555" s="66"/>
      <c r="Z555" s="66"/>
      <c r="AA555" s="66"/>
      <c r="AB555" s="66"/>
      <c r="AC555" s="66"/>
      <c r="AD555" s="42" t="str">
        <f t="shared" si="23"/>
        <v>ทันกำหนด</v>
      </c>
      <c r="AE555" s="43"/>
      <c r="AF555" s="43"/>
      <c r="AG555" s="43"/>
      <c r="AH555" s="44"/>
    </row>
    <row r="556" spans="1:34" ht="27.75" customHeight="1">
      <c r="A556" s="41">
        <v>553</v>
      </c>
      <c r="B556" s="66"/>
      <c r="C556" s="48"/>
      <c r="D556" s="48"/>
      <c r="E556" s="49"/>
      <c r="F556" s="49"/>
      <c r="G556" s="49">
        <f t="shared" si="25"/>
        <v>0</v>
      </c>
      <c r="H556" s="49" t="str">
        <f t="shared" si="26"/>
        <v>ครบ</v>
      </c>
      <c r="I556" s="49"/>
      <c r="J556" s="49" t="e">
        <f>VLOOKUP(I556,Sheet2!$B$10:$C$18,2,FALSE)</f>
        <v>#N/A</v>
      </c>
      <c r="K556" s="67"/>
      <c r="L556" s="49"/>
      <c r="M556" s="49" t="e">
        <f>VLOOKUP(L556,Sheet2!$B$10:$C$18,2,FALSE)</f>
        <v>#N/A</v>
      </c>
      <c r="N556" s="67"/>
      <c r="O556" s="49"/>
      <c r="P556" s="49" t="e">
        <f>VLOOKUP(O556,Sheet2!$B$10:$C$18,2,FALSE)</f>
        <v>#N/A</v>
      </c>
      <c r="Q556" s="67"/>
      <c r="R556" s="49"/>
      <c r="S556" s="49" t="e">
        <f>VLOOKUP(R556,Sheet2!$B$10:$C$18,2,FALSE)</f>
        <v>#N/A</v>
      </c>
      <c r="T556" s="67"/>
      <c r="U556" s="67">
        <f t="shared" si="27"/>
        <v>0</v>
      </c>
      <c r="V556" s="67"/>
      <c r="W556" s="67"/>
      <c r="X556" s="67"/>
      <c r="Y556" s="66"/>
      <c r="Z556" s="66"/>
      <c r="AA556" s="66"/>
      <c r="AB556" s="66"/>
      <c r="AC556" s="66"/>
      <c r="AD556" s="42" t="str">
        <f t="shared" si="23"/>
        <v>ทันกำหนด</v>
      </c>
      <c r="AE556" s="43"/>
      <c r="AF556" s="43"/>
      <c r="AG556" s="43"/>
      <c r="AH556" s="44"/>
    </row>
    <row r="557" spans="1:34" ht="27.75" customHeight="1">
      <c r="A557" s="41">
        <v>554</v>
      </c>
      <c r="B557" s="66"/>
      <c r="C557" s="48"/>
      <c r="D557" s="48"/>
      <c r="E557" s="49"/>
      <c r="F557" s="49"/>
      <c r="G557" s="49">
        <f t="shared" si="25"/>
        <v>0</v>
      </c>
      <c r="H557" s="49" t="str">
        <f t="shared" si="26"/>
        <v>ครบ</v>
      </c>
      <c r="I557" s="49"/>
      <c r="J557" s="49" t="e">
        <f>VLOOKUP(I557,Sheet2!$B$10:$C$18,2,FALSE)</f>
        <v>#N/A</v>
      </c>
      <c r="K557" s="67"/>
      <c r="L557" s="49"/>
      <c r="M557" s="49" t="e">
        <f>VLOOKUP(L557,Sheet2!$B$10:$C$18,2,FALSE)</f>
        <v>#N/A</v>
      </c>
      <c r="N557" s="67"/>
      <c r="O557" s="49"/>
      <c r="P557" s="49" t="e">
        <f>VLOOKUP(O557,Sheet2!$B$10:$C$18,2,FALSE)</f>
        <v>#N/A</v>
      </c>
      <c r="Q557" s="67"/>
      <c r="R557" s="49"/>
      <c r="S557" s="49" t="e">
        <f>VLOOKUP(R557,Sheet2!$B$10:$C$18,2,FALSE)</f>
        <v>#N/A</v>
      </c>
      <c r="T557" s="67"/>
      <c r="U557" s="67">
        <f t="shared" si="27"/>
        <v>0</v>
      </c>
      <c r="V557" s="67"/>
      <c r="W557" s="67"/>
      <c r="X557" s="67"/>
      <c r="Y557" s="66"/>
      <c r="Z557" s="66"/>
      <c r="AA557" s="66"/>
      <c r="AB557" s="66"/>
      <c r="AC557" s="66"/>
      <c r="AD557" s="42" t="str">
        <f t="shared" si="23"/>
        <v>ทันกำหนด</v>
      </c>
      <c r="AE557" s="43"/>
      <c r="AF557" s="43"/>
      <c r="AG557" s="43"/>
      <c r="AH557" s="44"/>
    </row>
    <row r="558" spans="1:34" ht="27.75" customHeight="1">
      <c r="A558" s="41">
        <v>555</v>
      </c>
      <c r="B558" s="66"/>
      <c r="C558" s="48"/>
      <c r="D558" s="48"/>
      <c r="E558" s="49"/>
      <c r="F558" s="49"/>
      <c r="G558" s="49">
        <f t="shared" si="25"/>
        <v>0</v>
      </c>
      <c r="H558" s="49" t="str">
        <f t="shared" si="26"/>
        <v>ครบ</v>
      </c>
      <c r="I558" s="49"/>
      <c r="J558" s="49" t="e">
        <f>VLOOKUP(I558,Sheet2!$B$10:$C$18,2,FALSE)</f>
        <v>#N/A</v>
      </c>
      <c r="K558" s="67"/>
      <c r="L558" s="49"/>
      <c r="M558" s="49" t="e">
        <f>VLOOKUP(L558,Sheet2!$B$10:$C$18,2,FALSE)</f>
        <v>#N/A</v>
      </c>
      <c r="N558" s="67"/>
      <c r="O558" s="49"/>
      <c r="P558" s="49" t="e">
        <f>VLOOKUP(O558,Sheet2!$B$10:$C$18,2,FALSE)</f>
        <v>#N/A</v>
      </c>
      <c r="Q558" s="67"/>
      <c r="R558" s="49"/>
      <c r="S558" s="49" t="e">
        <f>VLOOKUP(R558,Sheet2!$B$10:$C$18,2,FALSE)</f>
        <v>#N/A</v>
      </c>
      <c r="T558" s="67"/>
      <c r="U558" s="67">
        <f t="shared" si="27"/>
        <v>0</v>
      </c>
      <c r="V558" s="67"/>
      <c r="W558" s="67"/>
      <c r="X558" s="67"/>
      <c r="Y558" s="66"/>
      <c r="Z558" s="66"/>
      <c r="AA558" s="66"/>
      <c r="AB558" s="66"/>
      <c r="AC558" s="66"/>
      <c r="AD558" s="42" t="str">
        <f t="shared" si="23"/>
        <v>ทันกำหนด</v>
      </c>
      <c r="AE558" s="43"/>
      <c r="AF558" s="43"/>
      <c r="AG558" s="43"/>
      <c r="AH558" s="44"/>
    </row>
    <row r="559" spans="1:34" ht="27.75" customHeight="1">
      <c r="A559" s="41">
        <v>556</v>
      </c>
      <c r="B559" s="66"/>
      <c r="C559" s="48"/>
      <c r="D559" s="48"/>
      <c r="E559" s="49"/>
      <c r="F559" s="49"/>
      <c r="G559" s="49">
        <f t="shared" si="25"/>
        <v>0</v>
      </c>
      <c r="H559" s="49" t="str">
        <f t="shared" si="26"/>
        <v>ครบ</v>
      </c>
      <c r="I559" s="49"/>
      <c r="J559" s="49" t="e">
        <f>VLOOKUP(I559,Sheet2!$B$10:$C$18,2,FALSE)</f>
        <v>#N/A</v>
      </c>
      <c r="K559" s="67"/>
      <c r="L559" s="49"/>
      <c r="M559" s="49" t="e">
        <f>VLOOKUP(L559,Sheet2!$B$10:$C$18,2,FALSE)</f>
        <v>#N/A</v>
      </c>
      <c r="N559" s="67"/>
      <c r="O559" s="49"/>
      <c r="P559" s="49" t="e">
        <f>VLOOKUP(O559,Sheet2!$B$10:$C$18,2,FALSE)</f>
        <v>#N/A</v>
      </c>
      <c r="Q559" s="67"/>
      <c r="R559" s="49"/>
      <c r="S559" s="49" t="e">
        <f>VLOOKUP(R559,Sheet2!$B$10:$C$18,2,FALSE)</f>
        <v>#N/A</v>
      </c>
      <c r="T559" s="67"/>
      <c r="U559" s="67">
        <f t="shared" si="27"/>
        <v>0</v>
      </c>
      <c r="V559" s="67"/>
      <c r="W559" s="67"/>
      <c r="X559" s="67"/>
      <c r="Y559" s="66"/>
      <c r="Z559" s="66"/>
      <c r="AA559" s="66"/>
      <c r="AB559" s="66"/>
      <c r="AC559" s="66"/>
      <c r="AD559" s="42" t="str">
        <f t="shared" si="23"/>
        <v>ทันกำหนด</v>
      </c>
      <c r="AE559" s="43"/>
      <c r="AF559" s="43"/>
      <c r="AG559" s="43"/>
      <c r="AH559" s="44"/>
    </row>
    <row r="560" spans="1:34" ht="27.75" customHeight="1">
      <c r="A560" s="41">
        <v>557</v>
      </c>
      <c r="B560" s="66"/>
      <c r="C560" s="48"/>
      <c r="D560" s="48"/>
      <c r="E560" s="49"/>
      <c r="F560" s="49"/>
      <c r="G560" s="49">
        <f t="shared" si="25"/>
        <v>0</v>
      </c>
      <c r="H560" s="49" t="str">
        <f t="shared" si="26"/>
        <v>ครบ</v>
      </c>
      <c r="I560" s="49"/>
      <c r="J560" s="49" t="e">
        <f>VLOOKUP(I560,Sheet2!$B$10:$C$18,2,FALSE)</f>
        <v>#N/A</v>
      </c>
      <c r="K560" s="67"/>
      <c r="L560" s="49"/>
      <c r="M560" s="49" t="e">
        <f>VLOOKUP(L560,Sheet2!$B$10:$C$18,2,FALSE)</f>
        <v>#N/A</v>
      </c>
      <c r="N560" s="67"/>
      <c r="O560" s="49"/>
      <c r="P560" s="49" t="e">
        <f>VLOOKUP(O560,Sheet2!$B$10:$C$18,2,FALSE)</f>
        <v>#N/A</v>
      </c>
      <c r="Q560" s="67"/>
      <c r="R560" s="49"/>
      <c r="S560" s="49" t="e">
        <f>VLOOKUP(R560,Sheet2!$B$10:$C$18,2,FALSE)</f>
        <v>#N/A</v>
      </c>
      <c r="T560" s="67"/>
      <c r="U560" s="67">
        <f t="shared" si="27"/>
        <v>0</v>
      </c>
      <c r="V560" s="67"/>
      <c r="W560" s="67"/>
      <c r="X560" s="67"/>
      <c r="Y560" s="66"/>
      <c r="Z560" s="66"/>
      <c r="AA560" s="66"/>
      <c r="AB560" s="66"/>
      <c r="AC560" s="66"/>
      <c r="AD560" s="42" t="str">
        <f t="shared" si="23"/>
        <v>ทันกำหนด</v>
      </c>
      <c r="AE560" s="43"/>
      <c r="AF560" s="43"/>
      <c r="AG560" s="43"/>
      <c r="AH560" s="44"/>
    </row>
    <row r="561" spans="1:34" ht="27.75" customHeight="1">
      <c r="A561" s="41">
        <v>558</v>
      </c>
      <c r="B561" s="66"/>
      <c r="C561" s="48"/>
      <c r="D561" s="48"/>
      <c r="E561" s="49"/>
      <c r="F561" s="49"/>
      <c r="G561" s="49">
        <f t="shared" si="25"/>
        <v>0</v>
      </c>
      <c r="H561" s="49" t="str">
        <f t="shared" si="26"/>
        <v>ครบ</v>
      </c>
      <c r="I561" s="49"/>
      <c r="J561" s="49" t="e">
        <f>VLOOKUP(I561,Sheet2!$B$10:$C$18,2,FALSE)</f>
        <v>#N/A</v>
      </c>
      <c r="K561" s="67"/>
      <c r="L561" s="49"/>
      <c r="M561" s="49" t="e">
        <f>VLOOKUP(L561,Sheet2!$B$10:$C$18,2,FALSE)</f>
        <v>#N/A</v>
      </c>
      <c r="N561" s="67"/>
      <c r="O561" s="49"/>
      <c r="P561" s="49" t="e">
        <f>VLOOKUP(O561,Sheet2!$B$10:$C$18,2,FALSE)</f>
        <v>#N/A</v>
      </c>
      <c r="Q561" s="67"/>
      <c r="R561" s="49"/>
      <c r="S561" s="49" t="e">
        <f>VLOOKUP(R561,Sheet2!$B$10:$C$18,2,FALSE)</f>
        <v>#N/A</v>
      </c>
      <c r="T561" s="67"/>
      <c r="U561" s="67">
        <f t="shared" si="27"/>
        <v>0</v>
      </c>
      <c r="V561" s="67"/>
      <c r="W561" s="67"/>
      <c r="X561" s="67"/>
      <c r="Y561" s="66"/>
      <c r="Z561" s="66"/>
      <c r="AA561" s="66"/>
      <c r="AB561" s="66"/>
      <c r="AC561" s="66"/>
      <c r="AD561" s="42" t="str">
        <f t="shared" si="23"/>
        <v>ทันกำหนด</v>
      </c>
      <c r="AE561" s="43"/>
      <c r="AF561" s="43"/>
      <c r="AG561" s="43"/>
      <c r="AH561" s="44"/>
    </row>
    <row r="562" spans="1:34" ht="27.75" customHeight="1">
      <c r="A562" s="41">
        <v>559</v>
      </c>
      <c r="B562" s="66"/>
      <c r="C562" s="48"/>
      <c r="D562" s="48"/>
      <c r="E562" s="49"/>
      <c r="F562" s="49"/>
      <c r="G562" s="49">
        <f t="shared" si="25"/>
        <v>0</v>
      </c>
      <c r="H562" s="49" t="str">
        <f t="shared" si="26"/>
        <v>ครบ</v>
      </c>
      <c r="I562" s="49"/>
      <c r="J562" s="49" t="e">
        <f>VLOOKUP(I562,Sheet2!$B$10:$C$18,2,FALSE)</f>
        <v>#N/A</v>
      </c>
      <c r="K562" s="67"/>
      <c r="L562" s="49"/>
      <c r="M562" s="49" t="e">
        <f>VLOOKUP(L562,Sheet2!$B$10:$C$18,2,FALSE)</f>
        <v>#N/A</v>
      </c>
      <c r="N562" s="67"/>
      <c r="O562" s="49"/>
      <c r="P562" s="49" t="e">
        <f>VLOOKUP(O562,Sheet2!$B$10:$C$18,2,FALSE)</f>
        <v>#N/A</v>
      </c>
      <c r="Q562" s="67"/>
      <c r="R562" s="49"/>
      <c r="S562" s="49" t="e">
        <f>VLOOKUP(R562,Sheet2!$B$10:$C$18,2,FALSE)</f>
        <v>#N/A</v>
      </c>
      <c r="T562" s="67"/>
      <c r="U562" s="67">
        <f t="shared" si="27"/>
        <v>0</v>
      </c>
      <c r="V562" s="67"/>
      <c r="W562" s="67"/>
      <c r="X562" s="67"/>
      <c r="Y562" s="66"/>
      <c r="Z562" s="66"/>
      <c r="AA562" s="66"/>
      <c r="AB562" s="66"/>
      <c r="AC562" s="66"/>
      <c r="AD562" s="42" t="str">
        <f t="shared" si="23"/>
        <v>ทันกำหนด</v>
      </c>
      <c r="AE562" s="43"/>
      <c r="AF562" s="43"/>
      <c r="AG562" s="43"/>
      <c r="AH562" s="44"/>
    </row>
    <row r="563" spans="1:34" ht="27.75" customHeight="1">
      <c r="A563" s="41">
        <v>560</v>
      </c>
      <c r="B563" s="66"/>
      <c r="C563" s="48"/>
      <c r="D563" s="48"/>
      <c r="E563" s="49"/>
      <c r="F563" s="49"/>
      <c r="G563" s="49">
        <f t="shared" si="25"/>
        <v>0</v>
      </c>
      <c r="H563" s="49" t="str">
        <f t="shared" si="26"/>
        <v>ครบ</v>
      </c>
      <c r="I563" s="49"/>
      <c r="J563" s="49" t="e">
        <f>VLOOKUP(I563,Sheet2!$B$10:$C$18,2,FALSE)</f>
        <v>#N/A</v>
      </c>
      <c r="K563" s="67"/>
      <c r="L563" s="49"/>
      <c r="M563" s="49" t="e">
        <f>VLOOKUP(L563,Sheet2!$B$10:$C$18,2,FALSE)</f>
        <v>#N/A</v>
      </c>
      <c r="N563" s="67"/>
      <c r="O563" s="49"/>
      <c r="P563" s="49" t="e">
        <f>VLOOKUP(O563,Sheet2!$B$10:$C$18,2,FALSE)</f>
        <v>#N/A</v>
      </c>
      <c r="Q563" s="67"/>
      <c r="R563" s="49"/>
      <c r="S563" s="49" t="e">
        <f>VLOOKUP(R563,Sheet2!$B$10:$C$18,2,FALSE)</f>
        <v>#N/A</v>
      </c>
      <c r="T563" s="67"/>
      <c r="U563" s="67">
        <f t="shared" si="27"/>
        <v>0</v>
      </c>
      <c r="V563" s="67"/>
      <c r="W563" s="67"/>
      <c r="X563" s="67"/>
      <c r="Y563" s="66"/>
      <c r="Z563" s="66"/>
      <c r="AA563" s="66"/>
      <c r="AB563" s="66"/>
      <c r="AC563" s="66"/>
      <c r="AD563" s="42" t="str">
        <f t="shared" si="23"/>
        <v>ทันกำหนด</v>
      </c>
      <c r="AE563" s="43"/>
      <c r="AF563" s="43"/>
      <c r="AG563" s="43"/>
      <c r="AH563" s="44"/>
    </row>
    <row r="564" spans="1:34" ht="27.75" customHeight="1">
      <c r="A564" s="41">
        <v>561</v>
      </c>
      <c r="B564" s="66"/>
      <c r="C564" s="48"/>
      <c r="D564" s="48"/>
      <c r="E564" s="49"/>
      <c r="F564" s="49"/>
      <c r="G564" s="49">
        <f t="shared" si="25"/>
        <v>0</v>
      </c>
      <c r="H564" s="49" t="str">
        <f t="shared" si="26"/>
        <v>ครบ</v>
      </c>
      <c r="I564" s="49"/>
      <c r="J564" s="49" t="e">
        <f>VLOOKUP(I564,Sheet2!$B$10:$C$18,2,FALSE)</f>
        <v>#N/A</v>
      </c>
      <c r="K564" s="67"/>
      <c r="L564" s="49"/>
      <c r="M564" s="49" t="e">
        <f>VLOOKUP(L564,Sheet2!$B$10:$C$18,2,FALSE)</f>
        <v>#N/A</v>
      </c>
      <c r="N564" s="67"/>
      <c r="O564" s="49"/>
      <c r="P564" s="49" t="e">
        <f>VLOOKUP(O564,Sheet2!$B$10:$C$18,2,FALSE)</f>
        <v>#N/A</v>
      </c>
      <c r="Q564" s="67"/>
      <c r="R564" s="49"/>
      <c r="S564" s="49" t="e">
        <f>VLOOKUP(R564,Sheet2!$B$10:$C$18,2,FALSE)</f>
        <v>#N/A</v>
      </c>
      <c r="T564" s="67"/>
      <c r="U564" s="67">
        <f t="shared" si="27"/>
        <v>0</v>
      </c>
      <c r="V564" s="67"/>
      <c r="W564" s="67"/>
      <c r="X564" s="67"/>
      <c r="Y564" s="66"/>
      <c r="Z564" s="66"/>
      <c r="AA564" s="66"/>
      <c r="AB564" s="66"/>
      <c r="AC564" s="66"/>
      <c r="AD564" s="42" t="str">
        <f t="shared" si="23"/>
        <v>ทันกำหนด</v>
      </c>
      <c r="AE564" s="43"/>
      <c r="AF564" s="43"/>
      <c r="AG564" s="43"/>
      <c r="AH564" s="44"/>
    </row>
    <row r="565" spans="1:34" ht="27.75" customHeight="1">
      <c r="A565" s="41">
        <v>562</v>
      </c>
      <c r="B565" s="66"/>
      <c r="C565" s="48"/>
      <c r="D565" s="48"/>
      <c r="E565" s="49"/>
      <c r="F565" s="49"/>
      <c r="G565" s="49">
        <f t="shared" si="25"/>
        <v>0</v>
      </c>
      <c r="H565" s="49" t="str">
        <f t="shared" si="26"/>
        <v>ครบ</v>
      </c>
      <c r="I565" s="49"/>
      <c r="J565" s="49" t="e">
        <f>VLOOKUP(I565,Sheet2!$B$10:$C$18,2,FALSE)</f>
        <v>#N/A</v>
      </c>
      <c r="K565" s="67"/>
      <c r="L565" s="49"/>
      <c r="M565" s="49" t="e">
        <f>VLOOKUP(L565,Sheet2!$B$10:$C$18,2,FALSE)</f>
        <v>#N/A</v>
      </c>
      <c r="N565" s="67"/>
      <c r="O565" s="49"/>
      <c r="P565" s="49" t="e">
        <f>VLOOKUP(O565,Sheet2!$B$10:$C$18,2,FALSE)</f>
        <v>#N/A</v>
      </c>
      <c r="Q565" s="67"/>
      <c r="R565" s="49"/>
      <c r="S565" s="49" t="e">
        <f>VLOOKUP(R565,Sheet2!$B$10:$C$18,2,FALSE)</f>
        <v>#N/A</v>
      </c>
      <c r="T565" s="67"/>
      <c r="U565" s="67">
        <f t="shared" si="27"/>
        <v>0</v>
      </c>
      <c r="V565" s="67"/>
      <c r="W565" s="67"/>
      <c r="X565" s="67"/>
      <c r="Y565" s="66"/>
      <c r="Z565" s="66"/>
      <c r="AA565" s="66"/>
      <c r="AB565" s="66"/>
      <c r="AC565" s="66"/>
      <c r="AD565" s="42" t="str">
        <f t="shared" si="23"/>
        <v>ทันกำหนด</v>
      </c>
      <c r="AE565" s="43"/>
      <c r="AF565" s="43"/>
      <c r="AG565" s="43"/>
      <c r="AH565" s="44"/>
    </row>
    <row r="566" spans="1:34" ht="27.75" customHeight="1">
      <c r="A566" s="41">
        <v>563</v>
      </c>
      <c r="B566" s="66"/>
      <c r="C566" s="48"/>
      <c r="D566" s="48"/>
      <c r="E566" s="49"/>
      <c r="F566" s="49"/>
      <c r="G566" s="49">
        <f t="shared" si="25"/>
        <v>0</v>
      </c>
      <c r="H566" s="49" t="str">
        <f t="shared" si="26"/>
        <v>ครบ</v>
      </c>
      <c r="I566" s="49"/>
      <c r="J566" s="49" t="e">
        <f>VLOOKUP(I566,Sheet2!$B$10:$C$18,2,FALSE)</f>
        <v>#N/A</v>
      </c>
      <c r="K566" s="67"/>
      <c r="L566" s="49"/>
      <c r="M566" s="49" t="e">
        <f>VLOOKUP(L566,Sheet2!$B$10:$C$18,2,FALSE)</f>
        <v>#N/A</v>
      </c>
      <c r="N566" s="67"/>
      <c r="O566" s="49"/>
      <c r="P566" s="49" t="e">
        <f>VLOOKUP(O566,Sheet2!$B$10:$C$18,2,FALSE)</f>
        <v>#N/A</v>
      </c>
      <c r="Q566" s="67"/>
      <c r="R566" s="49"/>
      <c r="S566" s="49" t="e">
        <f>VLOOKUP(R566,Sheet2!$B$10:$C$18,2,FALSE)</f>
        <v>#N/A</v>
      </c>
      <c r="T566" s="67"/>
      <c r="U566" s="67">
        <f t="shared" si="27"/>
        <v>0</v>
      </c>
      <c r="V566" s="67"/>
      <c r="W566" s="67"/>
      <c r="X566" s="67"/>
      <c r="Y566" s="66"/>
      <c r="Z566" s="66"/>
      <c r="AA566" s="66"/>
      <c r="AB566" s="66"/>
      <c r="AC566" s="66"/>
      <c r="AD566" s="42" t="str">
        <f t="shared" si="23"/>
        <v>ทันกำหนด</v>
      </c>
      <c r="AE566" s="43"/>
      <c r="AF566" s="43"/>
      <c r="AG566" s="43"/>
      <c r="AH566" s="44"/>
    </row>
    <row r="567" spans="1:34" ht="27.75" customHeight="1">
      <c r="A567" s="41">
        <v>564</v>
      </c>
      <c r="B567" s="66"/>
      <c r="C567" s="48"/>
      <c r="D567" s="48"/>
      <c r="E567" s="49"/>
      <c r="F567" s="49"/>
      <c r="G567" s="49">
        <f t="shared" si="25"/>
        <v>0</v>
      </c>
      <c r="H567" s="49" t="str">
        <f t="shared" si="26"/>
        <v>ครบ</v>
      </c>
      <c r="I567" s="49"/>
      <c r="J567" s="49" t="e">
        <f>VLOOKUP(I567,Sheet2!$B$10:$C$18,2,FALSE)</f>
        <v>#N/A</v>
      </c>
      <c r="K567" s="67"/>
      <c r="L567" s="49"/>
      <c r="M567" s="49" t="e">
        <f>VLOOKUP(L567,Sheet2!$B$10:$C$18,2,FALSE)</f>
        <v>#N/A</v>
      </c>
      <c r="N567" s="67"/>
      <c r="O567" s="49"/>
      <c r="P567" s="49" t="e">
        <f>VLOOKUP(O567,Sheet2!$B$10:$C$18,2,FALSE)</f>
        <v>#N/A</v>
      </c>
      <c r="Q567" s="67"/>
      <c r="R567" s="49"/>
      <c r="S567" s="49" t="e">
        <f>VLOOKUP(R567,Sheet2!$B$10:$C$18,2,FALSE)</f>
        <v>#N/A</v>
      </c>
      <c r="T567" s="67"/>
      <c r="U567" s="67">
        <f t="shared" si="27"/>
        <v>0</v>
      </c>
      <c r="V567" s="67"/>
      <c r="W567" s="67"/>
      <c r="X567" s="67"/>
      <c r="Y567" s="66"/>
      <c r="Z567" s="66"/>
      <c r="AA567" s="66"/>
      <c r="AB567" s="66"/>
      <c r="AC567" s="66"/>
      <c r="AD567" s="42" t="str">
        <f t="shared" si="23"/>
        <v>ทันกำหนด</v>
      </c>
      <c r="AE567" s="43"/>
      <c r="AF567" s="43"/>
      <c r="AG567" s="43"/>
      <c r="AH567" s="44"/>
    </row>
    <row r="568" spans="1:34" ht="27.75" customHeight="1">
      <c r="A568" s="41">
        <v>565</v>
      </c>
      <c r="B568" s="66"/>
      <c r="C568" s="48"/>
      <c r="D568" s="48"/>
      <c r="E568" s="49"/>
      <c r="F568" s="49"/>
      <c r="G568" s="49">
        <f t="shared" si="25"/>
        <v>0</v>
      </c>
      <c r="H568" s="49" t="str">
        <f t="shared" si="26"/>
        <v>ครบ</v>
      </c>
      <c r="I568" s="49"/>
      <c r="J568" s="49" t="e">
        <f>VLOOKUP(I568,Sheet2!$B$10:$C$18,2,FALSE)</f>
        <v>#N/A</v>
      </c>
      <c r="K568" s="67"/>
      <c r="L568" s="49"/>
      <c r="M568" s="49" t="e">
        <f>VLOOKUP(L568,Sheet2!$B$10:$C$18,2,FALSE)</f>
        <v>#N/A</v>
      </c>
      <c r="N568" s="67"/>
      <c r="O568" s="49"/>
      <c r="P568" s="49" t="e">
        <f>VLOOKUP(O568,Sheet2!$B$10:$C$18,2,FALSE)</f>
        <v>#N/A</v>
      </c>
      <c r="Q568" s="67"/>
      <c r="R568" s="49"/>
      <c r="S568" s="49" t="e">
        <f>VLOOKUP(R568,Sheet2!$B$10:$C$18,2,FALSE)</f>
        <v>#N/A</v>
      </c>
      <c r="T568" s="67"/>
      <c r="U568" s="67">
        <f t="shared" si="27"/>
        <v>0</v>
      </c>
      <c r="V568" s="67"/>
      <c r="W568" s="67"/>
      <c r="X568" s="67"/>
      <c r="Y568" s="66"/>
      <c r="Z568" s="66"/>
      <c r="AA568" s="66"/>
      <c r="AB568" s="66"/>
      <c r="AC568" s="66"/>
      <c r="AD568" s="42" t="str">
        <f t="shared" si="23"/>
        <v>ทันกำหนด</v>
      </c>
      <c r="AE568" s="43"/>
      <c r="AF568" s="43"/>
      <c r="AG568" s="43"/>
      <c r="AH568" s="44"/>
    </row>
    <row r="569" spans="1:34" ht="27.75" customHeight="1">
      <c r="A569" s="41">
        <v>566</v>
      </c>
      <c r="B569" s="66"/>
      <c r="C569" s="48"/>
      <c r="D569" s="48"/>
      <c r="E569" s="49"/>
      <c r="F569" s="49"/>
      <c r="G569" s="49">
        <f t="shared" si="25"/>
        <v>0</v>
      </c>
      <c r="H569" s="49" t="str">
        <f t="shared" si="26"/>
        <v>ครบ</v>
      </c>
      <c r="I569" s="49"/>
      <c r="J569" s="49" t="e">
        <f>VLOOKUP(I569,Sheet2!$B$10:$C$18,2,FALSE)</f>
        <v>#N/A</v>
      </c>
      <c r="K569" s="67"/>
      <c r="L569" s="49"/>
      <c r="M569" s="49" t="e">
        <f>VLOOKUP(L569,Sheet2!$B$10:$C$18,2,FALSE)</f>
        <v>#N/A</v>
      </c>
      <c r="N569" s="67"/>
      <c r="O569" s="49"/>
      <c r="P569" s="49" t="e">
        <f>VLOOKUP(O569,Sheet2!$B$10:$C$18,2,FALSE)</f>
        <v>#N/A</v>
      </c>
      <c r="Q569" s="67"/>
      <c r="R569" s="49"/>
      <c r="S569" s="49" t="e">
        <f>VLOOKUP(R569,Sheet2!$B$10:$C$18,2,FALSE)</f>
        <v>#N/A</v>
      </c>
      <c r="T569" s="67"/>
      <c r="U569" s="67">
        <f t="shared" si="27"/>
        <v>0</v>
      </c>
      <c r="V569" s="67"/>
      <c r="W569" s="67"/>
      <c r="X569" s="67"/>
      <c r="Y569" s="66"/>
      <c r="Z569" s="66"/>
      <c r="AA569" s="66"/>
      <c r="AB569" s="66"/>
      <c r="AC569" s="66"/>
      <c r="AD569" s="42" t="str">
        <f t="shared" si="23"/>
        <v>ทันกำหนด</v>
      </c>
      <c r="AE569" s="43"/>
      <c r="AF569" s="43"/>
      <c r="AG569" s="43"/>
      <c r="AH569" s="44"/>
    </row>
    <row r="570" spans="1:34" ht="27.75" customHeight="1">
      <c r="A570" s="41">
        <v>567</v>
      </c>
      <c r="B570" s="66"/>
      <c r="C570" s="48"/>
      <c r="D570" s="48"/>
      <c r="E570" s="49"/>
      <c r="F570" s="49"/>
      <c r="G570" s="49">
        <f t="shared" si="25"/>
        <v>0</v>
      </c>
      <c r="H570" s="49" t="str">
        <f t="shared" si="26"/>
        <v>ครบ</v>
      </c>
      <c r="I570" s="49"/>
      <c r="J570" s="49" t="e">
        <f>VLOOKUP(I570,Sheet2!$B$10:$C$18,2,FALSE)</f>
        <v>#N/A</v>
      </c>
      <c r="K570" s="67"/>
      <c r="L570" s="49"/>
      <c r="M570" s="49" t="e">
        <f>VLOOKUP(L570,Sheet2!$B$10:$C$18,2,FALSE)</f>
        <v>#N/A</v>
      </c>
      <c r="N570" s="67"/>
      <c r="O570" s="49"/>
      <c r="P570" s="49" t="e">
        <f>VLOOKUP(O570,Sheet2!$B$10:$C$18,2,FALSE)</f>
        <v>#N/A</v>
      </c>
      <c r="Q570" s="67"/>
      <c r="R570" s="49"/>
      <c r="S570" s="49" t="e">
        <f>VLOOKUP(R570,Sheet2!$B$10:$C$18,2,FALSE)</f>
        <v>#N/A</v>
      </c>
      <c r="T570" s="67"/>
      <c r="U570" s="67">
        <f t="shared" si="27"/>
        <v>0</v>
      </c>
      <c r="V570" s="67"/>
      <c r="W570" s="67"/>
      <c r="X570" s="67"/>
      <c r="Y570" s="66"/>
      <c r="Z570" s="66"/>
      <c r="AA570" s="66"/>
      <c r="AB570" s="66"/>
      <c r="AC570" s="66"/>
      <c r="AD570" s="42" t="str">
        <f t="shared" si="23"/>
        <v>ทันกำหนด</v>
      </c>
      <c r="AE570" s="43"/>
      <c r="AF570" s="43"/>
      <c r="AG570" s="43"/>
      <c r="AH570" s="44"/>
    </row>
    <row r="571" spans="1:34" ht="27.75" customHeight="1">
      <c r="A571" s="41">
        <v>568</v>
      </c>
      <c r="B571" s="66"/>
      <c r="C571" s="48"/>
      <c r="D571" s="48"/>
      <c r="E571" s="49"/>
      <c r="F571" s="49"/>
      <c r="G571" s="49">
        <f t="shared" si="25"/>
        <v>0</v>
      </c>
      <c r="H571" s="49" t="str">
        <f t="shared" si="26"/>
        <v>ครบ</v>
      </c>
      <c r="I571" s="49"/>
      <c r="J571" s="49" t="e">
        <f>VLOOKUP(I571,Sheet2!$B$10:$C$18,2,FALSE)</f>
        <v>#N/A</v>
      </c>
      <c r="K571" s="67"/>
      <c r="L571" s="49"/>
      <c r="M571" s="49" t="e">
        <f>VLOOKUP(L571,Sheet2!$B$10:$C$18,2,FALSE)</f>
        <v>#N/A</v>
      </c>
      <c r="N571" s="67"/>
      <c r="O571" s="49"/>
      <c r="P571" s="49" t="e">
        <f>VLOOKUP(O571,Sheet2!$B$10:$C$18,2,FALSE)</f>
        <v>#N/A</v>
      </c>
      <c r="Q571" s="67"/>
      <c r="R571" s="49"/>
      <c r="S571" s="49" t="e">
        <f>VLOOKUP(R571,Sheet2!$B$10:$C$18,2,FALSE)</f>
        <v>#N/A</v>
      </c>
      <c r="T571" s="67"/>
      <c r="U571" s="67">
        <f t="shared" si="27"/>
        <v>0</v>
      </c>
      <c r="V571" s="67"/>
      <c r="W571" s="67"/>
      <c r="X571" s="67"/>
      <c r="Y571" s="66"/>
      <c r="Z571" s="66"/>
      <c r="AA571" s="66"/>
      <c r="AB571" s="66"/>
      <c r="AC571" s="66"/>
      <c r="AD571" s="42" t="str">
        <f t="shared" si="23"/>
        <v>ทันกำหนด</v>
      </c>
      <c r="AE571" s="43"/>
      <c r="AF571" s="43"/>
      <c r="AG571" s="43"/>
      <c r="AH571" s="44"/>
    </row>
    <row r="572" spans="1:34" ht="27.75" customHeight="1">
      <c r="A572" s="41">
        <v>569</v>
      </c>
      <c r="B572" s="66"/>
      <c r="C572" s="48"/>
      <c r="D572" s="48"/>
      <c r="E572" s="49"/>
      <c r="F572" s="49"/>
      <c r="G572" s="49">
        <f t="shared" si="25"/>
        <v>0</v>
      </c>
      <c r="H572" s="49" t="str">
        <f t="shared" si="26"/>
        <v>ครบ</v>
      </c>
      <c r="I572" s="49"/>
      <c r="J572" s="49" t="e">
        <f>VLOOKUP(I572,Sheet2!$B$10:$C$18,2,FALSE)</f>
        <v>#N/A</v>
      </c>
      <c r="K572" s="67"/>
      <c r="L572" s="49"/>
      <c r="M572" s="49" t="e">
        <f>VLOOKUP(L572,Sheet2!$B$10:$C$18,2,FALSE)</f>
        <v>#N/A</v>
      </c>
      <c r="N572" s="67"/>
      <c r="O572" s="49"/>
      <c r="P572" s="49" t="e">
        <f>VLOOKUP(O572,Sheet2!$B$10:$C$18,2,FALSE)</f>
        <v>#N/A</v>
      </c>
      <c r="Q572" s="67"/>
      <c r="R572" s="49"/>
      <c r="S572" s="49" t="e">
        <f>VLOOKUP(R572,Sheet2!$B$10:$C$18,2,FALSE)</f>
        <v>#N/A</v>
      </c>
      <c r="T572" s="67"/>
      <c r="U572" s="67">
        <f t="shared" si="27"/>
        <v>0</v>
      </c>
      <c r="V572" s="67"/>
      <c r="W572" s="67"/>
      <c r="X572" s="67"/>
      <c r="Y572" s="66"/>
      <c r="Z572" s="66"/>
      <c r="AA572" s="66"/>
      <c r="AB572" s="66"/>
      <c r="AC572" s="66"/>
      <c r="AD572" s="42" t="str">
        <f t="shared" si="23"/>
        <v>ทันกำหนด</v>
      </c>
      <c r="AE572" s="43"/>
      <c r="AF572" s="43"/>
      <c r="AG572" s="43"/>
      <c r="AH572" s="44"/>
    </row>
    <row r="573" spans="1:34" ht="27.75" customHeight="1">
      <c r="A573" s="41">
        <v>570</v>
      </c>
      <c r="B573" s="66"/>
      <c r="C573" s="48"/>
      <c r="D573" s="48"/>
      <c r="E573" s="49"/>
      <c r="F573" s="49"/>
      <c r="G573" s="49">
        <f t="shared" si="25"/>
        <v>0</v>
      </c>
      <c r="H573" s="49" t="str">
        <f t="shared" si="26"/>
        <v>ครบ</v>
      </c>
      <c r="I573" s="49"/>
      <c r="J573" s="49" t="e">
        <f>VLOOKUP(I573,Sheet2!$B$10:$C$18,2,FALSE)</f>
        <v>#N/A</v>
      </c>
      <c r="K573" s="67"/>
      <c r="L573" s="49"/>
      <c r="M573" s="49" t="e">
        <f>VLOOKUP(L573,Sheet2!$B$10:$C$18,2,FALSE)</f>
        <v>#N/A</v>
      </c>
      <c r="N573" s="67"/>
      <c r="O573" s="49"/>
      <c r="P573" s="49" t="e">
        <f>VLOOKUP(O573,Sheet2!$B$10:$C$18,2,FALSE)</f>
        <v>#N/A</v>
      </c>
      <c r="Q573" s="67"/>
      <c r="R573" s="49"/>
      <c r="S573" s="49" t="e">
        <f>VLOOKUP(R573,Sheet2!$B$10:$C$18,2,FALSE)</f>
        <v>#N/A</v>
      </c>
      <c r="T573" s="67"/>
      <c r="U573" s="67">
        <f t="shared" si="27"/>
        <v>0</v>
      </c>
      <c r="V573" s="67"/>
      <c r="W573" s="67"/>
      <c r="X573" s="67"/>
      <c r="Y573" s="66"/>
      <c r="Z573" s="66"/>
      <c r="AA573" s="66"/>
      <c r="AB573" s="66"/>
      <c r="AC573" s="66"/>
      <c r="AD573" s="42" t="str">
        <f t="shared" si="23"/>
        <v>ทันกำหนด</v>
      </c>
      <c r="AE573" s="43"/>
      <c r="AF573" s="43"/>
      <c r="AG573" s="43"/>
      <c r="AH573" s="44"/>
    </row>
    <row r="574" spans="1:34" ht="27.75" customHeight="1">
      <c r="A574" s="41">
        <v>571</v>
      </c>
      <c r="B574" s="66"/>
      <c r="C574" s="48"/>
      <c r="D574" s="48"/>
      <c r="E574" s="49"/>
      <c r="F574" s="49"/>
      <c r="G574" s="49">
        <f t="shared" si="25"/>
        <v>0</v>
      </c>
      <c r="H574" s="49" t="str">
        <f t="shared" si="26"/>
        <v>ครบ</v>
      </c>
      <c r="I574" s="49"/>
      <c r="J574" s="49" t="e">
        <f>VLOOKUP(I574,Sheet2!$B$10:$C$18,2,FALSE)</f>
        <v>#N/A</v>
      </c>
      <c r="K574" s="67"/>
      <c r="L574" s="49"/>
      <c r="M574" s="49" t="e">
        <f>VLOOKUP(L574,Sheet2!$B$10:$C$18,2,FALSE)</f>
        <v>#N/A</v>
      </c>
      <c r="N574" s="67"/>
      <c r="O574" s="49"/>
      <c r="P574" s="49" t="e">
        <f>VLOOKUP(O574,Sheet2!$B$10:$C$18,2,FALSE)</f>
        <v>#N/A</v>
      </c>
      <c r="Q574" s="67"/>
      <c r="R574" s="49"/>
      <c r="S574" s="49" t="e">
        <f>VLOOKUP(R574,Sheet2!$B$10:$C$18,2,FALSE)</f>
        <v>#N/A</v>
      </c>
      <c r="T574" s="67"/>
      <c r="U574" s="67">
        <f t="shared" si="27"/>
        <v>0</v>
      </c>
      <c r="V574" s="67"/>
      <c r="W574" s="67"/>
      <c r="X574" s="67"/>
      <c r="Y574" s="66"/>
      <c r="Z574" s="66"/>
      <c r="AA574" s="66"/>
      <c r="AB574" s="66"/>
      <c r="AC574" s="66"/>
      <c r="AD574" s="42" t="str">
        <f t="shared" si="23"/>
        <v>ทันกำหนด</v>
      </c>
      <c r="AE574" s="43"/>
      <c r="AF574" s="43"/>
      <c r="AG574" s="43"/>
      <c r="AH574" s="44"/>
    </row>
    <row r="575" spans="1:34" ht="27.75" customHeight="1">
      <c r="A575" s="41">
        <v>572</v>
      </c>
      <c r="B575" s="66"/>
      <c r="C575" s="48"/>
      <c r="D575" s="48"/>
      <c r="E575" s="49"/>
      <c r="F575" s="49"/>
      <c r="G575" s="49">
        <f t="shared" si="25"/>
        <v>0</v>
      </c>
      <c r="H575" s="49" t="str">
        <f t="shared" si="26"/>
        <v>ครบ</v>
      </c>
      <c r="I575" s="49"/>
      <c r="J575" s="49" t="e">
        <f>VLOOKUP(I575,Sheet2!$B$10:$C$18,2,FALSE)</f>
        <v>#N/A</v>
      </c>
      <c r="K575" s="67"/>
      <c r="L575" s="49"/>
      <c r="M575" s="49" t="e">
        <f>VLOOKUP(L575,Sheet2!$B$10:$C$18,2,FALSE)</f>
        <v>#N/A</v>
      </c>
      <c r="N575" s="67"/>
      <c r="O575" s="49"/>
      <c r="P575" s="49" t="e">
        <f>VLOOKUP(O575,Sheet2!$B$10:$C$18,2,FALSE)</f>
        <v>#N/A</v>
      </c>
      <c r="Q575" s="67"/>
      <c r="R575" s="49"/>
      <c r="S575" s="49" t="e">
        <f>VLOOKUP(R575,Sheet2!$B$10:$C$18,2,FALSE)</f>
        <v>#N/A</v>
      </c>
      <c r="T575" s="67"/>
      <c r="U575" s="67">
        <f t="shared" si="27"/>
        <v>0</v>
      </c>
      <c r="V575" s="67"/>
      <c r="W575" s="67"/>
      <c r="X575" s="67"/>
      <c r="Y575" s="66"/>
      <c r="Z575" s="66"/>
      <c r="AA575" s="66"/>
      <c r="AB575" s="66"/>
      <c r="AC575" s="66"/>
      <c r="AD575" s="42" t="str">
        <f t="shared" si="23"/>
        <v>ทันกำหนด</v>
      </c>
      <c r="AE575" s="43"/>
      <c r="AF575" s="43"/>
      <c r="AG575" s="43"/>
      <c r="AH575" s="44"/>
    </row>
    <row r="576" spans="1:34" ht="27.75" customHeight="1">
      <c r="A576" s="41">
        <v>573</v>
      </c>
      <c r="B576" s="66"/>
      <c r="C576" s="48"/>
      <c r="D576" s="48"/>
      <c r="E576" s="49"/>
      <c r="F576" s="49"/>
      <c r="G576" s="49">
        <f t="shared" si="25"/>
        <v>0</v>
      </c>
      <c r="H576" s="49" t="str">
        <f t="shared" si="26"/>
        <v>ครบ</v>
      </c>
      <c r="I576" s="49"/>
      <c r="J576" s="49" t="e">
        <f>VLOOKUP(I576,Sheet2!$B$10:$C$18,2,FALSE)</f>
        <v>#N/A</v>
      </c>
      <c r="K576" s="67"/>
      <c r="L576" s="49"/>
      <c r="M576" s="49" t="e">
        <f>VLOOKUP(L576,Sheet2!$B$10:$C$18,2,FALSE)</f>
        <v>#N/A</v>
      </c>
      <c r="N576" s="67"/>
      <c r="O576" s="49"/>
      <c r="P576" s="49" t="e">
        <f>VLOOKUP(O576,Sheet2!$B$10:$C$18,2,FALSE)</f>
        <v>#N/A</v>
      </c>
      <c r="Q576" s="67"/>
      <c r="R576" s="49"/>
      <c r="S576" s="49" t="e">
        <f>VLOOKUP(R576,Sheet2!$B$10:$C$18,2,FALSE)</f>
        <v>#N/A</v>
      </c>
      <c r="T576" s="67"/>
      <c r="U576" s="67">
        <f t="shared" si="27"/>
        <v>0</v>
      </c>
      <c r="V576" s="67"/>
      <c r="W576" s="67"/>
      <c r="X576" s="67"/>
      <c r="Y576" s="66"/>
      <c r="Z576" s="66"/>
      <c r="AA576" s="66"/>
      <c r="AB576" s="66"/>
      <c r="AC576" s="66"/>
      <c r="AD576" s="42" t="str">
        <f t="shared" si="23"/>
        <v>ทันกำหนด</v>
      </c>
      <c r="AE576" s="43"/>
      <c r="AF576" s="43"/>
      <c r="AG576" s="43"/>
      <c r="AH576" s="44"/>
    </row>
    <row r="577" spans="1:34" ht="27.75" customHeight="1">
      <c r="A577" s="41">
        <v>574</v>
      </c>
      <c r="B577" s="66"/>
      <c r="C577" s="48"/>
      <c r="D577" s="48"/>
      <c r="E577" s="49"/>
      <c r="F577" s="49"/>
      <c r="G577" s="49">
        <f t="shared" si="25"/>
        <v>0</v>
      </c>
      <c r="H577" s="49" t="str">
        <f t="shared" si="26"/>
        <v>ครบ</v>
      </c>
      <c r="I577" s="49"/>
      <c r="J577" s="49" t="e">
        <f>VLOOKUP(I577,Sheet2!$B$10:$C$18,2,FALSE)</f>
        <v>#N/A</v>
      </c>
      <c r="K577" s="67"/>
      <c r="L577" s="49"/>
      <c r="M577" s="49" t="e">
        <f>VLOOKUP(L577,Sheet2!$B$10:$C$18,2,FALSE)</f>
        <v>#N/A</v>
      </c>
      <c r="N577" s="67"/>
      <c r="O577" s="49"/>
      <c r="P577" s="49" t="e">
        <f>VLOOKUP(O577,Sheet2!$B$10:$C$18,2,FALSE)</f>
        <v>#N/A</v>
      </c>
      <c r="Q577" s="67"/>
      <c r="R577" s="49"/>
      <c r="S577" s="49" t="e">
        <f>VLOOKUP(R577,Sheet2!$B$10:$C$18,2,FALSE)</f>
        <v>#N/A</v>
      </c>
      <c r="T577" s="67"/>
      <c r="U577" s="67">
        <f t="shared" si="27"/>
        <v>0</v>
      </c>
      <c r="V577" s="67"/>
      <c r="W577" s="67"/>
      <c r="X577" s="67"/>
      <c r="Y577" s="66"/>
      <c r="Z577" s="66"/>
      <c r="AA577" s="66"/>
      <c r="AB577" s="66"/>
      <c r="AC577" s="66"/>
      <c r="AD577" s="42" t="str">
        <f t="shared" si="23"/>
        <v>ทันกำหนด</v>
      </c>
      <c r="AE577" s="43"/>
      <c r="AF577" s="43"/>
      <c r="AG577" s="43"/>
      <c r="AH577" s="44"/>
    </row>
    <row r="578" spans="1:34" ht="27.75" customHeight="1">
      <c r="A578" s="41">
        <v>575</v>
      </c>
      <c r="B578" s="66"/>
      <c r="C578" s="48"/>
      <c r="D578" s="48"/>
      <c r="E578" s="49"/>
      <c r="F578" s="49"/>
      <c r="G578" s="49">
        <f t="shared" si="25"/>
        <v>0</v>
      </c>
      <c r="H578" s="49" t="str">
        <f t="shared" si="26"/>
        <v>ครบ</v>
      </c>
      <c r="I578" s="49"/>
      <c r="J578" s="49" t="e">
        <f>VLOOKUP(I578,Sheet2!$B$10:$C$18,2,FALSE)</f>
        <v>#N/A</v>
      </c>
      <c r="K578" s="67"/>
      <c r="L578" s="49"/>
      <c r="M578" s="49" t="e">
        <f>VLOOKUP(L578,Sheet2!$B$10:$C$18,2,FALSE)</f>
        <v>#N/A</v>
      </c>
      <c r="N578" s="67"/>
      <c r="O578" s="49"/>
      <c r="P578" s="49" t="e">
        <f>VLOOKUP(O578,Sheet2!$B$10:$C$18,2,FALSE)</f>
        <v>#N/A</v>
      </c>
      <c r="Q578" s="67"/>
      <c r="R578" s="49"/>
      <c r="S578" s="49" t="e">
        <f>VLOOKUP(R578,Sheet2!$B$10:$C$18,2,FALSE)</f>
        <v>#N/A</v>
      </c>
      <c r="T578" s="67"/>
      <c r="U578" s="67">
        <f t="shared" ref="U578:U603" si="28">$K578+$N578+$Q578+$T578</f>
        <v>0</v>
      </c>
      <c r="V578" s="67"/>
      <c r="W578" s="67"/>
      <c r="X578" s="67"/>
      <c r="Y578" s="66"/>
      <c r="Z578" s="66"/>
      <c r="AA578" s="66"/>
      <c r="AB578" s="66"/>
      <c r="AC578" s="66"/>
      <c r="AD578" s="42" t="str">
        <f t="shared" si="23"/>
        <v>ทันกำหนด</v>
      </c>
      <c r="AE578" s="43"/>
      <c r="AF578" s="43"/>
      <c r="AG578" s="43"/>
      <c r="AH578" s="44"/>
    </row>
    <row r="579" spans="1:34" ht="27.75" customHeight="1">
      <c r="A579" s="41">
        <v>576</v>
      </c>
      <c r="B579" s="66"/>
      <c r="C579" s="48"/>
      <c r="D579" s="48"/>
      <c r="E579" s="49"/>
      <c r="F579" s="49"/>
      <c r="G579" s="49">
        <f t="shared" si="25"/>
        <v>0</v>
      </c>
      <c r="H579" s="49" t="str">
        <f t="shared" si="26"/>
        <v>ครบ</v>
      </c>
      <c r="I579" s="49"/>
      <c r="J579" s="49" t="e">
        <f>VLOOKUP(I579,Sheet2!$B$10:$C$18,2,FALSE)</f>
        <v>#N/A</v>
      </c>
      <c r="K579" s="67"/>
      <c r="L579" s="49"/>
      <c r="M579" s="49" t="e">
        <f>VLOOKUP(L579,Sheet2!$B$10:$C$18,2,FALSE)</f>
        <v>#N/A</v>
      </c>
      <c r="N579" s="67"/>
      <c r="O579" s="49"/>
      <c r="P579" s="49" t="e">
        <f>VLOOKUP(O579,Sheet2!$B$10:$C$18,2,FALSE)</f>
        <v>#N/A</v>
      </c>
      <c r="Q579" s="67"/>
      <c r="R579" s="49"/>
      <c r="S579" s="49" t="e">
        <f>VLOOKUP(R579,Sheet2!$B$10:$C$18,2,FALSE)</f>
        <v>#N/A</v>
      </c>
      <c r="T579" s="67"/>
      <c r="U579" s="67">
        <f t="shared" si="28"/>
        <v>0</v>
      </c>
      <c r="V579" s="67"/>
      <c r="W579" s="67"/>
      <c r="X579" s="67"/>
      <c r="Y579" s="66"/>
      <c r="Z579" s="66"/>
      <c r="AA579" s="66"/>
      <c r="AB579" s="66"/>
      <c r="AC579" s="66"/>
      <c r="AD579" s="42" t="str">
        <f t="shared" si="23"/>
        <v>ทันกำหนด</v>
      </c>
      <c r="AE579" s="43"/>
      <c r="AF579" s="43"/>
      <c r="AG579" s="43"/>
      <c r="AH579" s="44"/>
    </row>
    <row r="580" spans="1:34" ht="27.75" customHeight="1">
      <c r="A580" s="41">
        <v>577</v>
      </c>
      <c r="B580" s="66"/>
      <c r="C580" s="48"/>
      <c r="D580" s="48"/>
      <c r="E580" s="49"/>
      <c r="F580" s="49"/>
      <c r="G580" s="49">
        <f t="shared" si="25"/>
        <v>0</v>
      </c>
      <c r="H580" s="49" t="str">
        <f t="shared" si="26"/>
        <v>ครบ</v>
      </c>
      <c r="I580" s="49"/>
      <c r="J580" s="49" t="e">
        <f>VLOOKUP(I580,Sheet2!$B$10:$C$18,2,FALSE)</f>
        <v>#N/A</v>
      </c>
      <c r="K580" s="67"/>
      <c r="L580" s="49"/>
      <c r="M580" s="49" t="e">
        <f>VLOOKUP(L580,Sheet2!$B$10:$C$18,2,FALSE)</f>
        <v>#N/A</v>
      </c>
      <c r="N580" s="67"/>
      <c r="O580" s="49"/>
      <c r="P580" s="49" t="e">
        <f>VLOOKUP(O580,Sheet2!$B$10:$C$18,2,FALSE)</f>
        <v>#N/A</v>
      </c>
      <c r="Q580" s="67"/>
      <c r="R580" s="49"/>
      <c r="S580" s="49" t="e">
        <f>VLOOKUP(R580,Sheet2!$B$10:$C$18,2,FALSE)</f>
        <v>#N/A</v>
      </c>
      <c r="T580" s="67"/>
      <c r="U580" s="67">
        <f t="shared" si="28"/>
        <v>0</v>
      </c>
      <c r="V580" s="67"/>
      <c r="W580" s="67"/>
      <c r="X580" s="67"/>
      <c r="Y580" s="66"/>
      <c r="Z580" s="66"/>
      <c r="AA580" s="66"/>
      <c r="AB580" s="66"/>
      <c r="AC580" s="66"/>
      <c r="AD580" s="42" t="str">
        <f t="shared" si="23"/>
        <v>ทันกำหนด</v>
      </c>
      <c r="AE580" s="43"/>
      <c r="AF580" s="43"/>
      <c r="AG580" s="43"/>
      <c r="AH580" s="44"/>
    </row>
    <row r="581" spans="1:34" ht="27.75" customHeight="1">
      <c r="A581" s="41">
        <v>578</v>
      </c>
      <c r="B581" s="66"/>
      <c r="C581" s="48"/>
      <c r="D581" s="48"/>
      <c r="E581" s="49"/>
      <c r="F581" s="49"/>
      <c r="G581" s="49">
        <f t="shared" si="25"/>
        <v>0</v>
      </c>
      <c r="H581" s="49" t="str">
        <f t="shared" si="26"/>
        <v>ครบ</v>
      </c>
      <c r="I581" s="49"/>
      <c r="J581" s="49" t="e">
        <f>VLOOKUP(I581,Sheet2!$B$10:$C$18,2,FALSE)</f>
        <v>#N/A</v>
      </c>
      <c r="K581" s="67"/>
      <c r="L581" s="49"/>
      <c r="M581" s="49" t="e">
        <f>VLOOKUP(L581,Sheet2!$B$10:$C$18,2,FALSE)</f>
        <v>#N/A</v>
      </c>
      <c r="N581" s="67"/>
      <c r="O581" s="49"/>
      <c r="P581" s="49" t="e">
        <f>VLOOKUP(O581,Sheet2!$B$10:$C$18,2,FALSE)</f>
        <v>#N/A</v>
      </c>
      <c r="Q581" s="67"/>
      <c r="R581" s="49"/>
      <c r="S581" s="49" t="e">
        <f>VLOOKUP(R581,Sheet2!$B$10:$C$18,2,FALSE)</f>
        <v>#N/A</v>
      </c>
      <c r="T581" s="67"/>
      <c r="U581" s="67">
        <f t="shared" si="28"/>
        <v>0</v>
      </c>
      <c r="V581" s="67"/>
      <c r="W581" s="67"/>
      <c r="X581" s="67"/>
      <c r="Y581" s="66"/>
      <c r="Z581" s="66"/>
      <c r="AA581" s="66"/>
      <c r="AB581" s="66"/>
      <c r="AC581" s="66"/>
      <c r="AD581" s="42" t="str">
        <f t="shared" si="23"/>
        <v>ทันกำหนด</v>
      </c>
      <c r="AE581" s="43"/>
      <c r="AF581" s="43"/>
      <c r="AG581" s="43"/>
      <c r="AH581" s="44"/>
    </row>
    <row r="582" spans="1:34" ht="27.75" customHeight="1">
      <c r="A582" s="41">
        <v>579</v>
      </c>
      <c r="B582" s="66"/>
      <c r="C582" s="48"/>
      <c r="D582" s="48"/>
      <c r="E582" s="49"/>
      <c r="F582" s="49"/>
      <c r="G582" s="49">
        <f t="shared" si="25"/>
        <v>0</v>
      </c>
      <c r="H582" s="49" t="str">
        <f t="shared" si="26"/>
        <v>ครบ</v>
      </c>
      <c r="I582" s="49"/>
      <c r="J582" s="49" t="e">
        <f>VLOOKUP(I582,Sheet2!$B$10:$C$18,2,FALSE)</f>
        <v>#N/A</v>
      </c>
      <c r="K582" s="67"/>
      <c r="L582" s="49"/>
      <c r="M582" s="49" t="e">
        <f>VLOOKUP(L582,Sheet2!$B$10:$C$18,2,FALSE)</f>
        <v>#N/A</v>
      </c>
      <c r="N582" s="67"/>
      <c r="O582" s="49"/>
      <c r="P582" s="49" t="e">
        <f>VLOOKUP(O582,Sheet2!$B$10:$C$18,2,FALSE)</f>
        <v>#N/A</v>
      </c>
      <c r="Q582" s="67"/>
      <c r="R582" s="49"/>
      <c r="S582" s="49" t="e">
        <f>VLOOKUP(R582,Sheet2!$B$10:$C$18,2,FALSE)</f>
        <v>#N/A</v>
      </c>
      <c r="T582" s="67"/>
      <c r="U582" s="67">
        <f t="shared" si="28"/>
        <v>0</v>
      </c>
      <c r="V582" s="67"/>
      <c r="W582" s="67"/>
      <c r="X582" s="67"/>
      <c r="Y582" s="66"/>
      <c r="Z582" s="66"/>
      <c r="AA582" s="66"/>
      <c r="AB582" s="66"/>
      <c r="AC582" s="66"/>
      <c r="AD582" s="42" t="str">
        <f t="shared" si="23"/>
        <v>ทันกำหนด</v>
      </c>
      <c r="AE582" s="43"/>
      <c r="AF582" s="43"/>
      <c r="AG582" s="43"/>
      <c r="AH582" s="44"/>
    </row>
    <row r="583" spans="1:34" ht="27.75" customHeight="1">
      <c r="A583" s="41">
        <v>580</v>
      </c>
      <c r="B583" s="66"/>
      <c r="C583" s="48"/>
      <c r="D583" s="48"/>
      <c r="E583" s="49"/>
      <c r="F583" s="49"/>
      <c r="G583" s="49">
        <f t="shared" si="25"/>
        <v>0</v>
      </c>
      <c r="H583" s="49" t="str">
        <f t="shared" si="26"/>
        <v>ครบ</v>
      </c>
      <c r="I583" s="49"/>
      <c r="J583" s="49" t="e">
        <f>VLOOKUP(I583,Sheet2!$B$10:$C$18,2,FALSE)</f>
        <v>#N/A</v>
      </c>
      <c r="K583" s="67"/>
      <c r="L583" s="49"/>
      <c r="M583" s="49" t="e">
        <f>VLOOKUP(L583,Sheet2!$B$10:$C$18,2,FALSE)</f>
        <v>#N/A</v>
      </c>
      <c r="N583" s="67"/>
      <c r="O583" s="49"/>
      <c r="P583" s="49" t="e">
        <f>VLOOKUP(O583,Sheet2!$B$10:$C$18,2,FALSE)</f>
        <v>#N/A</v>
      </c>
      <c r="Q583" s="67"/>
      <c r="R583" s="49"/>
      <c r="S583" s="49" t="e">
        <f>VLOOKUP(R583,Sheet2!$B$10:$C$18,2,FALSE)</f>
        <v>#N/A</v>
      </c>
      <c r="T583" s="67"/>
      <c r="U583" s="67">
        <f t="shared" si="28"/>
        <v>0</v>
      </c>
      <c r="V583" s="67"/>
      <c r="W583" s="67"/>
      <c r="X583" s="67"/>
      <c r="Y583" s="66"/>
      <c r="Z583" s="66"/>
      <c r="AA583" s="66"/>
      <c r="AB583" s="66"/>
      <c r="AC583" s="66"/>
      <c r="AD583" s="42" t="str">
        <f t="shared" si="23"/>
        <v>ทันกำหนด</v>
      </c>
      <c r="AE583" s="43"/>
      <c r="AF583" s="43"/>
      <c r="AG583" s="43"/>
      <c r="AH583" s="44"/>
    </row>
    <row r="584" spans="1:34" ht="27.75" customHeight="1">
      <c r="A584" s="41">
        <v>581</v>
      </c>
      <c r="B584" s="66"/>
      <c r="C584" s="48"/>
      <c r="D584" s="48"/>
      <c r="E584" s="49"/>
      <c r="F584" s="49"/>
      <c r="G584" s="49">
        <f t="shared" si="25"/>
        <v>0</v>
      </c>
      <c r="H584" s="49" t="str">
        <f t="shared" si="26"/>
        <v>ครบ</v>
      </c>
      <c r="I584" s="49"/>
      <c r="J584" s="49" t="e">
        <f>VLOOKUP(I584,Sheet2!$B$10:$C$18,2,FALSE)</f>
        <v>#N/A</v>
      </c>
      <c r="K584" s="67"/>
      <c r="L584" s="49"/>
      <c r="M584" s="49" t="e">
        <f>VLOOKUP(L584,Sheet2!$B$10:$C$18,2,FALSE)</f>
        <v>#N/A</v>
      </c>
      <c r="N584" s="67"/>
      <c r="O584" s="49"/>
      <c r="P584" s="49" t="e">
        <f>VLOOKUP(O584,Sheet2!$B$10:$C$18,2,FALSE)</f>
        <v>#N/A</v>
      </c>
      <c r="Q584" s="67"/>
      <c r="R584" s="49"/>
      <c r="S584" s="49" t="e">
        <f>VLOOKUP(R584,Sheet2!$B$10:$C$18,2,FALSE)</f>
        <v>#N/A</v>
      </c>
      <c r="T584" s="67"/>
      <c r="U584" s="67">
        <f t="shared" si="28"/>
        <v>0</v>
      </c>
      <c r="V584" s="67"/>
      <c r="W584" s="67"/>
      <c r="X584" s="67"/>
      <c r="Y584" s="66"/>
      <c r="Z584" s="66"/>
      <c r="AA584" s="66"/>
      <c r="AB584" s="66"/>
      <c r="AC584" s="66"/>
      <c r="AD584" s="42" t="str">
        <f t="shared" si="23"/>
        <v>ทันกำหนด</v>
      </c>
      <c r="AE584" s="43"/>
      <c r="AF584" s="43"/>
      <c r="AG584" s="43"/>
      <c r="AH584" s="44"/>
    </row>
    <row r="585" spans="1:34" ht="27.75" customHeight="1">
      <c r="A585" s="41">
        <v>582</v>
      </c>
      <c r="B585" s="66"/>
      <c r="C585" s="48"/>
      <c r="D585" s="48"/>
      <c r="E585" s="49"/>
      <c r="F585" s="49"/>
      <c r="G585" s="49">
        <f t="shared" si="25"/>
        <v>0</v>
      </c>
      <c r="H585" s="49" t="str">
        <f t="shared" si="26"/>
        <v>ครบ</v>
      </c>
      <c r="I585" s="49"/>
      <c r="J585" s="49" t="e">
        <f>VLOOKUP(I585,Sheet2!$B$10:$C$18,2,FALSE)</f>
        <v>#N/A</v>
      </c>
      <c r="K585" s="67"/>
      <c r="L585" s="49"/>
      <c r="M585" s="49" t="e">
        <f>VLOOKUP(L585,Sheet2!$B$10:$C$18,2,FALSE)</f>
        <v>#N/A</v>
      </c>
      <c r="N585" s="67"/>
      <c r="O585" s="49"/>
      <c r="P585" s="49" t="e">
        <f>VLOOKUP(O585,Sheet2!$B$10:$C$18,2,FALSE)</f>
        <v>#N/A</v>
      </c>
      <c r="Q585" s="67"/>
      <c r="R585" s="49"/>
      <c r="S585" s="49" t="e">
        <f>VLOOKUP(R585,Sheet2!$B$10:$C$18,2,FALSE)</f>
        <v>#N/A</v>
      </c>
      <c r="T585" s="67"/>
      <c r="U585" s="67">
        <f t="shared" si="28"/>
        <v>0</v>
      </c>
      <c r="V585" s="67"/>
      <c r="W585" s="67"/>
      <c r="X585" s="67"/>
      <c r="Y585" s="66"/>
      <c r="Z585" s="66"/>
      <c r="AA585" s="66"/>
      <c r="AB585" s="66"/>
      <c r="AC585" s="66"/>
      <c r="AD585" s="42" t="str">
        <f t="shared" ref="AD585:AD603" si="29">IF($AA585&gt;$Z585,"เกินกำหนด","ทันกำหนด")</f>
        <v>ทันกำหนด</v>
      </c>
      <c r="AE585" s="43"/>
      <c r="AF585" s="43"/>
      <c r="AG585" s="43"/>
      <c r="AH585" s="44"/>
    </row>
    <row r="586" spans="1:34" ht="27.75" customHeight="1">
      <c r="A586" s="41">
        <v>583</v>
      </c>
      <c r="B586" s="66"/>
      <c r="C586" s="48"/>
      <c r="D586" s="48"/>
      <c r="E586" s="49"/>
      <c r="F586" s="49"/>
      <c r="G586" s="49">
        <f t="shared" si="25"/>
        <v>0</v>
      </c>
      <c r="H586" s="49" t="str">
        <f t="shared" si="26"/>
        <v>ครบ</v>
      </c>
      <c r="I586" s="49"/>
      <c r="J586" s="49" t="e">
        <f>VLOOKUP(I586,Sheet2!$B$10:$C$18,2,FALSE)</f>
        <v>#N/A</v>
      </c>
      <c r="K586" s="67"/>
      <c r="L586" s="49"/>
      <c r="M586" s="49" t="e">
        <f>VLOOKUP(L586,Sheet2!$B$10:$C$18,2,FALSE)</f>
        <v>#N/A</v>
      </c>
      <c r="N586" s="67"/>
      <c r="O586" s="49"/>
      <c r="P586" s="49" t="e">
        <f>VLOOKUP(O586,Sheet2!$B$10:$C$18,2,FALSE)</f>
        <v>#N/A</v>
      </c>
      <c r="Q586" s="67"/>
      <c r="R586" s="49"/>
      <c r="S586" s="49" t="e">
        <f>VLOOKUP(R586,Sheet2!$B$10:$C$18,2,FALSE)</f>
        <v>#N/A</v>
      </c>
      <c r="T586" s="67"/>
      <c r="U586" s="67">
        <f t="shared" si="28"/>
        <v>0</v>
      </c>
      <c r="V586" s="67"/>
      <c r="W586" s="67"/>
      <c r="X586" s="67"/>
      <c r="Y586" s="66"/>
      <c r="Z586" s="66"/>
      <c r="AA586" s="66"/>
      <c r="AB586" s="66"/>
      <c r="AC586" s="66"/>
      <c r="AD586" s="42" t="str">
        <f t="shared" si="29"/>
        <v>ทันกำหนด</v>
      </c>
      <c r="AE586" s="43"/>
      <c r="AF586" s="43"/>
      <c r="AG586" s="43"/>
      <c r="AH586" s="44"/>
    </row>
    <row r="587" spans="1:34" ht="27.75" customHeight="1">
      <c r="A587" s="41">
        <v>584</v>
      </c>
      <c r="B587" s="66"/>
      <c r="C587" s="48"/>
      <c r="D587" s="48"/>
      <c r="E587" s="49"/>
      <c r="F587" s="49"/>
      <c r="G587" s="49">
        <f t="shared" si="25"/>
        <v>0</v>
      </c>
      <c r="H587" s="49" t="str">
        <f t="shared" si="26"/>
        <v>ครบ</v>
      </c>
      <c r="I587" s="49"/>
      <c r="J587" s="49" t="e">
        <f>VLOOKUP(I587,Sheet2!$B$10:$C$18,2,FALSE)</f>
        <v>#N/A</v>
      </c>
      <c r="K587" s="67"/>
      <c r="L587" s="49"/>
      <c r="M587" s="49" t="e">
        <f>VLOOKUP(L587,Sheet2!$B$10:$C$18,2,FALSE)</f>
        <v>#N/A</v>
      </c>
      <c r="N587" s="67"/>
      <c r="O587" s="49"/>
      <c r="P587" s="49" t="e">
        <f>VLOOKUP(O587,Sheet2!$B$10:$C$18,2,FALSE)</f>
        <v>#N/A</v>
      </c>
      <c r="Q587" s="67"/>
      <c r="R587" s="49"/>
      <c r="S587" s="49" t="e">
        <f>VLOOKUP(R587,Sheet2!$B$10:$C$18,2,FALSE)</f>
        <v>#N/A</v>
      </c>
      <c r="T587" s="67"/>
      <c r="U587" s="67">
        <f t="shared" si="28"/>
        <v>0</v>
      </c>
      <c r="V587" s="67"/>
      <c r="W587" s="67"/>
      <c r="X587" s="67"/>
      <c r="Y587" s="66"/>
      <c r="Z587" s="66"/>
      <c r="AA587" s="66"/>
      <c r="AB587" s="66"/>
      <c r="AC587" s="66"/>
      <c r="AD587" s="42" t="str">
        <f t="shared" si="29"/>
        <v>ทันกำหนด</v>
      </c>
      <c r="AE587" s="43"/>
      <c r="AF587" s="43"/>
      <c r="AG587" s="43"/>
      <c r="AH587" s="44"/>
    </row>
    <row r="588" spans="1:34" ht="27.75" customHeight="1">
      <c r="A588" s="41">
        <v>585</v>
      </c>
      <c r="B588" s="66"/>
      <c r="C588" s="48"/>
      <c r="D588" s="48"/>
      <c r="E588" s="49"/>
      <c r="F588" s="49"/>
      <c r="G588" s="49">
        <f t="shared" si="25"/>
        <v>0</v>
      </c>
      <c r="H588" s="49" t="str">
        <f t="shared" si="26"/>
        <v>ครบ</v>
      </c>
      <c r="I588" s="49"/>
      <c r="J588" s="49" t="e">
        <f>VLOOKUP(I588,Sheet2!$B$10:$C$18,2,FALSE)</f>
        <v>#N/A</v>
      </c>
      <c r="K588" s="67"/>
      <c r="L588" s="49"/>
      <c r="M588" s="49" t="e">
        <f>VLOOKUP(L588,Sheet2!$B$10:$C$18,2,FALSE)</f>
        <v>#N/A</v>
      </c>
      <c r="N588" s="67"/>
      <c r="O588" s="49"/>
      <c r="P588" s="49" t="e">
        <f>VLOOKUP(O588,Sheet2!$B$10:$C$18,2,FALSE)</f>
        <v>#N/A</v>
      </c>
      <c r="Q588" s="67"/>
      <c r="R588" s="49"/>
      <c r="S588" s="49" t="e">
        <f>VLOOKUP(R588,Sheet2!$B$10:$C$18,2,FALSE)</f>
        <v>#N/A</v>
      </c>
      <c r="T588" s="67"/>
      <c r="U588" s="67">
        <f t="shared" si="28"/>
        <v>0</v>
      </c>
      <c r="V588" s="67"/>
      <c r="W588" s="67"/>
      <c r="X588" s="67"/>
      <c r="Y588" s="66"/>
      <c r="Z588" s="66"/>
      <c r="AA588" s="66"/>
      <c r="AB588" s="66"/>
      <c r="AC588" s="66"/>
      <c r="AD588" s="42" t="str">
        <f t="shared" si="29"/>
        <v>ทันกำหนด</v>
      </c>
      <c r="AE588" s="43"/>
      <c r="AF588" s="43"/>
      <c r="AG588" s="43"/>
      <c r="AH588" s="44"/>
    </row>
    <row r="589" spans="1:34" ht="27.75" customHeight="1">
      <c r="A589" s="41">
        <v>586</v>
      </c>
      <c r="B589" s="66"/>
      <c r="C589" s="48"/>
      <c r="D589" s="48"/>
      <c r="E589" s="49"/>
      <c r="F589" s="49"/>
      <c r="G589" s="49">
        <f t="shared" si="25"/>
        <v>0</v>
      </c>
      <c r="H589" s="49" t="str">
        <f t="shared" si="26"/>
        <v>ครบ</v>
      </c>
      <c r="I589" s="49"/>
      <c r="J589" s="49" t="e">
        <f>VLOOKUP(I589,Sheet2!$B$10:$C$18,2,FALSE)</f>
        <v>#N/A</v>
      </c>
      <c r="K589" s="67"/>
      <c r="L589" s="49"/>
      <c r="M589" s="49" t="e">
        <f>VLOOKUP(L589,Sheet2!$B$10:$C$18,2,FALSE)</f>
        <v>#N/A</v>
      </c>
      <c r="N589" s="67"/>
      <c r="O589" s="49"/>
      <c r="P589" s="49" t="e">
        <f>VLOOKUP(O589,Sheet2!$B$10:$C$18,2,FALSE)</f>
        <v>#N/A</v>
      </c>
      <c r="Q589" s="67"/>
      <c r="R589" s="49"/>
      <c r="S589" s="49" t="e">
        <f>VLOOKUP(R589,Sheet2!$B$10:$C$18,2,FALSE)</f>
        <v>#N/A</v>
      </c>
      <c r="T589" s="67"/>
      <c r="U589" s="67">
        <f t="shared" si="28"/>
        <v>0</v>
      </c>
      <c r="V589" s="67"/>
      <c r="W589" s="67"/>
      <c r="X589" s="67"/>
      <c r="Y589" s="66"/>
      <c r="Z589" s="66"/>
      <c r="AA589" s="66"/>
      <c r="AB589" s="66"/>
      <c r="AC589" s="66"/>
      <c r="AD589" s="42" t="str">
        <f t="shared" si="29"/>
        <v>ทันกำหนด</v>
      </c>
      <c r="AE589" s="43"/>
      <c r="AF589" s="43"/>
      <c r="AG589" s="43"/>
      <c r="AH589" s="44"/>
    </row>
    <row r="590" spans="1:34" ht="27.75" customHeight="1">
      <c r="A590" s="41">
        <v>587</v>
      </c>
      <c r="B590" s="66"/>
      <c r="C590" s="48"/>
      <c r="D590" s="48"/>
      <c r="E590" s="49"/>
      <c r="F590" s="49"/>
      <c r="G590" s="49">
        <f t="shared" si="25"/>
        <v>0</v>
      </c>
      <c r="H590" s="49" t="str">
        <f t="shared" si="26"/>
        <v>ครบ</v>
      </c>
      <c r="I590" s="49"/>
      <c r="J590" s="49" t="e">
        <f>VLOOKUP(I590,Sheet2!$B$10:$C$18,2,FALSE)</f>
        <v>#N/A</v>
      </c>
      <c r="K590" s="67"/>
      <c r="L590" s="49"/>
      <c r="M590" s="49" t="e">
        <f>VLOOKUP(L590,Sheet2!$B$10:$C$18,2,FALSE)</f>
        <v>#N/A</v>
      </c>
      <c r="N590" s="67"/>
      <c r="O590" s="49"/>
      <c r="P590" s="49" t="e">
        <f>VLOOKUP(O590,Sheet2!$B$10:$C$18,2,FALSE)</f>
        <v>#N/A</v>
      </c>
      <c r="Q590" s="67"/>
      <c r="R590" s="49"/>
      <c r="S590" s="49" t="e">
        <f>VLOOKUP(R590,Sheet2!$B$10:$C$18,2,FALSE)</f>
        <v>#N/A</v>
      </c>
      <c r="T590" s="67"/>
      <c r="U590" s="67">
        <f t="shared" si="28"/>
        <v>0</v>
      </c>
      <c r="V590" s="67"/>
      <c r="W590" s="67"/>
      <c r="X590" s="67"/>
      <c r="Y590" s="66"/>
      <c r="Z590" s="66"/>
      <c r="AA590" s="66"/>
      <c r="AB590" s="66"/>
      <c r="AC590" s="66"/>
      <c r="AD590" s="42" t="str">
        <f t="shared" si="29"/>
        <v>ทันกำหนด</v>
      </c>
      <c r="AE590" s="43"/>
      <c r="AF590" s="43"/>
      <c r="AG590" s="43"/>
      <c r="AH590" s="44"/>
    </row>
    <row r="591" spans="1:34" ht="27.75" customHeight="1">
      <c r="A591" s="41">
        <v>588</v>
      </c>
      <c r="B591" s="66"/>
      <c r="C591" s="48"/>
      <c r="D591" s="48"/>
      <c r="E591" s="49"/>
      <c r="F591" s="49"/>
      <c r="G591" s="49">
        <f t="shared" si="25"/>
        <v>0</v>
      </c>
      <c r="H591" s="49" t="str">
        <f t="shared" si="26"/>
        <v>ครบ</v>
      </c>
      <c r="I591" s="49"/>
      <c r="J591" s="49" t="e">
        <f>VLOOKUP(I591,Sheet2!$B$10:$C$18,2,FALSE)</f>
        <v>#N/A</v>
      </c>
      <c r="K591" s="67"/>
      <c r="L591" s="49"/>
      <c r="M591" s="49" t="e">
        <f>VLOOKUP(L591,Sheet2!$B$10:$C$18,2,FALSE)</f>
        <v>#N/A</v>
      </c>
      <c r="N591" s="67"/>
      <c r="O591" s="49"/>
      <c r="P591" s="49" t="e">
        <f>VLOOKUP(O591,Sheet2!$B$10:$C$18,2,FALSE)</f>
        <v>#N/A</v>
      </c>
      <c r="Q591" s="67"/>
      <c r="R591" s="49"/>
      <c r="S591" s="49" t="e">
        <f>VLOOKUP(R591,Sheet2!$B$10:$C$18,2,FALSE)</f>
        <v>#N/A</v>
      </c>
      <c r="T591" s="67"/>
      <c r="U591" s="67">
        <f t="shared" si="28"/>
        <v>0</v>
      </c>
      <c r="V591" s="67"/>
      <c r="W591" s="67"/>
      <c r="X591" s="67"/>
      <c r="Y591" s="66"/>
      <c r="Z591" s="66"/>
      <c r="AA591" s="66"/>
      <c r="AB591" s="66"/>
      <c r="AC591" s="66"/>
      <c r="AD591" s="42" t="str">
        <f t="shared" si="29"/>
        <v>ทันกำหนด</v>
      </c>
      <c r="AE591" s="43"/>
      <c r="AF591" s="43"/>
      <c r="AG591" s="43"/>
      <c r="AH591" s="44"/>
    </row>
    <row r="592" spans="1:34" ht="27.75" customHeight="1">
      <c r="A592" s="41">
        <v>589</v>
      </c>
      <c r="B592" s="66"/>
      <c r="C592" s="48"/>
      <c r="D592" s="48"/>
      <c r="E592" s="49"/>
      <c r="F592" s="49"/>
      <c r="G592" s="49">
        <f t="shared" si="25"/>
        <v>0</v>
      </c>
      <c r="H592" s="49" t="str">
        <f t="shared" si="26"/>
        <v>ครบ</v>
      </c>
      <c r="I592" s="49"/>
      <c r="J592" s="49" t="e">
        <f>VLOOKUP(I592,Sheet2!$B$10:$C$18,2,FALSE)</f>
        <v>#N/A</v>
      </c>
      <c r="K592" s="67"/>
      <c r="L592" s="49"/>
      <c r="M592" s="49" t="e">
        <f>VLOOKUP(L592,Sheet2!$B$10:$C$18,2,FALSE)</f>
        <v>#N/A</v>
      </c>
      <c r="N592" s="67"/>
      <c r="O592" s="49"/>
      <c r="P592" s="49" t="e">
        <f>VLOOKUP(O592,Sheet2!$B$10:$C$18,2,FALSE)</f>
        <v>#N/A</v>
      </c>
      <c r="Q592" s="67"/>
      <c r="R592" s="49"/>
      <c r="S592" s="49" t="e">
        <f>VLOOKUP(R592,Sheet2!$B$10:$C$18,2,FALSE)</f>
        <v>#N/A</v>
      </c>
      <c r="T592" s="67"/>
      <c r="U592" s="67">
        <f t="shared" si="28"/>
        <v>0</v>
      </c>
      <c r="V592" s="67"/>
      <c r="W592" s="67"/>
      <c r="X592" s="67"/>
      <c r="Y592" s="66"/>
      <c r="Z592" s="66"/>
      <c r="AA592" s="66"/>
      <c r="AB592" s="66"/>
      <c r="AC592" s="66"/>
      <c r="AD592" s="42" t="str">
        <f t="shared" si="29"/>
        <v>ทันกำหนด</v>
      </c>
      <c r="AE592" s="43"/>
      <c r="AF592" s="43"/>
      <c r="AG592" s="43"/>
      <c r="AH592" s="44"/>
    </row>
    <row r="593" spans="1:34" ht="27.75" customHeight="1">
      <c r="A593" s="41">
        <v>590</v>
      </c>
      <c r="B593" s="66"/>
      <c r="C593" s="48"/>
      <c r="D593" s="48"/>
      <c r="E593" s="49"/>
      <c r="F593" s="49"/>
      <c r="G593" s="49">
        <f t="shared" si="25"/>
        <v>0</v>
      </c>
      <c r="H593" s="49" t="str">
        <f t="shared" si="26"/>
        <v>ครบ</v>
      </c>
      <c r="I593" s="49"/>
      <c r="J593" s="49" t="e">
        <f>VLOOKUP(I593,Sheet2!$B$10:$C$18,2,FALSE)</f>
        <v>#N/A</v>
      </c>
      <c r="K593" s="67"/>
      <c r="L593" s="49"/>
      <c r="M593" s="49" t="e">
        <f>VLOOKUP(L593,Sheet2!$B$10:$C$18,2,FALSE)</f>
        <v>#N/A</v>
      </c>
      <c r="N593" s="67"/>
      <c r="O593" s="49"/>
      <c r="P593" s="49" t="e">
        <f>VLOOKUP(O593,Sheet2!$B$10:$C$18,2,FALSE)</f>
        <v>#N/A</v>
      </c>
      <c r="Q593" s="67"/>
      <c r="R593" s="49"/>
      <c r="S593" s="49" t="e">
        <f>VLOOKUP(R593,Sheet2!$B$10:$C$18,2,FALSE)</f>
        <v>#N/A</v>
      </c>
      <c r="T593" s="67"/>
      <c r="U593" s="67">
        <f t="shared" si="28"/>
        <v>0</v>
      </c>
      <c r="V593" s="67"/>
      <c r="W593" s="67"/>
      <c r="X593" s="67"/>
      <c r="Y593" s="66"/>
      <c r="Z593" s="66"/>
      <c r="AA593" s="66"/>
      <c r="AB593" s="66"/>
      <c r="AC593" s="66"/>
      <c r="AD593" s="42" t="str">
        <f t="shared" si="29"/>
        <v>ทันกำหนด</v>
      </c>
      <c r="AE593" s="43"/>
      <c r="AF593" s="43"/>
      <c r="AG593" s="43"/>
      <c r="AH593" s="44"/>
    </row>
    <row r="594" spans="1:34" ht="27.75" customHeight="1">
      <c r="A594" s="41">
        <v>591</v>
      </c>
      <c r="B594" s="66"/>
      <c r="C594" s="48"/>
      <c r="D594" s="48"/>
      <c r="E594" s="49"/>
      <c r="F594" s="49"/>
      <c r="G594" s="49">
        <f t="shared" si="25"/>
        <v>0</v>
      </c>
      <c r="H594" s="49" t="str">
        <f t="shared" si="26"/>
        <v>ครบ</v>
      </c>
      <c r="I594" s="49"/>
      <c r="J594" s="49" t="e">
        <f>VLOOKUP(I594,Sheet2!$B$10:$C$18,2,FALSE)</f>
        <v>#N/A</v>
      </c>
      <c r="K594" s="67"/>
      <c r="L594" s="49"/>
      <c r="M594" s="49" t="e">
        <f>VLOOKUP(L594,Sheet2!$B$10:$C$18,2,FALSE)</f>
        <v>#N/A</v>
      </c>
      <c r="N594" s="67"/>
      <c r="O594" s="49"/>
      <c r="P594" s="49" t="e">
        <f>VLOOKUP(O594,Sheet2!$B$10:$C$18,2,FALSE)</f>
        <v>#N/A</v>
      </c>
      <c r="Q594" s="67"/>
      <c r="R594" s="49"/>
      <c r="S594" s="49" t="e">
        <f>VLOOKUP(R594,Sheet2!$B$10:$C$18,2,FALSE)</f>
        <v>#N/A</v>
      </c>
      <c r="T594" s="67"/>
      <c r="U594" s="67">
        <f t="shared" si="28"/>
        <v>0</v>
      </c>
      <c r="V594" s="67"/>
      <c r="W594" s="67"/>
      <c r="X594" s="67"/>
      <c r="Y594" s="66"/>
      <c r="Z594" s="66"/>
      <c r="AA594" s="66"/>
      <c r="AB594" s="66"/>
      <c r="AC594" s="66"/>
      <c r="AD594" s="42" t="str">
        <f t="shared" si="29"/>
        <v>ทันกำหนด</v>
      </c>
      <c r="AE594" s="43"/>
      <c r="AF594" s="43"/>
      <c r="AG594" s="43"/>
      <c r="AH594" s="44"/>
    </row>
    <row r="595" spans="1:34" ht="27.75" customHeight="1">
      <c r="A595" s="41">
        <v>592</v>
      </c>
      <c r="B595" s="66"/>
      <c r="C595" s="48"/>
      <c r="D595" s="48"/>
      <c r="E595" s="49"/>
      <c r="F595" s="49"/>
      <c r="G595" s="49">
        <f t="shared" si="25"/>
        <v>0</v>
      </c>
      <c r="H595" s="49" t="str">
        <f t="shared" si="26"/>
        <v>ครบ</v>
      </c>
      <c r="I595" s="49"/>
      <c r="J595" s="49" t="e">
        <f>VLOOKUP(I595,Sheet2!$B$10:$C$18,2,FALSE)</f>
        <v>#N/A</v>
      </c>
      <c r="K595" s="67"/>
      <c r="L595" s="49"/>
      <c r="M595" s="49" t="e">
        <f>VLOOKUP(L595,Sheet2!$B$10:$C$18,2,FALSE)</f>
        <v>#N/A</v>
      </c>
      <c r="N595" s="67"/>
      <c r="O595" s="49"/>
      <c r="P595" s="49" t="e">
        <f>VLOOKUP(O595,Sheet2!$B$10:$C$18,2,FALSE)</f>
        <v>#N/A</v>
      </c>
      <c r="Q595" s="67"/>
      <c r="R595" s="49"/>
      <c r="S595" s="49" t="e">
        <f>VLOOKUP(R595,Sheet2!$B$10:$C$18,2,FALSE)</f>
        <v>#N/A</v>
      </c>
      <c r="T595" s="67"/>
      <c r="U595" s="67">
        <f t="shared" si="28"/>
        <v>0</v>
      </c>
      <c r="V595" s="67"/>
      <c r="W595" s="67"/>
      <c r="X595" s="67"/>
      <c r="Y595" s="66"/>
      <c r="Z595" s="66"/>
      <c r="AA595" s="66"/>
      <c r="AB595" s="66"/>
      <c r="AC595" s="66"/>
      <c r="AD595" s="42" t="str">
        <f t="shared" si="29"/>
        <v>ทันกำหนด</v>
      </c>
      <c r="AE595" s="43"/>
      <c r="AF595" s="43"/>
      <c r="AG595" s="43"/>
      <c r="AH595" s="44"/>
    </row>
    <row r="596" spans="1:34" ht="27.75" customHeight="1">
      <c r="A596" s="41">
        <v>593</v>
      </c>
      <c r="B596" s="66"/>
      <c r="C596" s="48"/>
      <c r="D596" s="48"/>
      <c r="E596" s="49"/>
      <c r="F596" s="49"/>
      <c r="G596" s="49">
        <f t="shared" si="25"/>
        <v>0</v>
      </c>
      <c r="H596" s="49" t="str">
        <f t="shared" si="26"/>
        <v>ครบ</v>
      </c>
      <c r="I596" s="49"/>
      <c r="J596" s="49" t="e">
        <f>VLOOKUP(I596,Sheet2!$B$10:$C$18,2,FALSE)</f>
        <v>#N/A</v>
      </c>
      <c r="K596" s="67"/>
      <c r="L596" s="49"/>
      <c r="M596" s="49" t="e">
        <f>VLOOKUP(L596,Sheet2!$B$10:$C$18,2,FALSE)</f>
        <v>#N/A</v>
      </c>
      <c r="N596" s="67"/>
      <c r="O596" s="49"/>
      <c r="P596" s="49" t="e">
        <f>VLOOKUP(O596,Sheet2!$B$10:$C$18,2,FALSE)</f>
        <v>#N/A</v>
      </c>
      <c r="Q596" s="67"/>
      <c r="R596" s="49"/>
      <c r="S596" s="49" t="e">
        <f>VLOOKUP(R596,Sheet2!$B$10:$C$18,2,FALSE)</f>
        <v>#N/A</v>
      </c>
      <c r="T596" s="67"/>
      <c r="U596" s="67">
        <f t="shared" si="28"/>
        <v>0</v>
      </c>
      <c r="V596" s="67"/>
      <c r="W596" s="67"/>
      <c r="X596" s="67"/>
      <c r="Y596" s="66"/>
      <c r="Z596" s="66"/>
      <c r="AA596" s="66"/>
      <c r="AB596" s="66"/>
      <c r="AC596" s="66"/>
      <c r="AD596" s="42" t="str">
        <f t="shared" si="29"/>
        <v>ทันกำหนด</v>
      </c>
      <c r="AE596" s="43"/>
      <c r="AF596" s="43"/>
      <c r="AG596" s="43"/>
      <c r="AH596" s="44"/>
    </row>
    <row r="597" spans="1:34" ht="27.75" customHeight="1">
      <c r="A597" s="41">
        <v>594</v>
      </c>
      <c r="B597" s="66"/>
      <c r="C597" s="48"/>
      <c r="D597" s="48"/>
      <c r="E597" s="49"/>
      <c r="F597" s="49"/>
      <c r="G597" s="49">
        <f t="shared" si="25"/>
        <v>0</v>
      </c>
      <c r="H597" s="49" t="str">
        <f t="shared" si="26"/>
        <v>ครบ</v>
      </c>
      <c r="I597" s="49"/>
      <c r="J597" s="49" t="e">
        <f>VLOOKUP(I597,Sheet2!$B$10:$C$18,2,FALSE)</f>
        <v>#N/A</v>
      </c>
      <c r="K597" s="67"/>
      <c r="L597" s="49"/>
      <c r="M597" s="49" t="e">
        <f>VLOOKUP(L597,Sheet2!$B$10:$C$18,2,FALSE)</f>
        <v>#N/A</v>
      </c>
      <c r="N597" s="67"/>
      <c r="O597" s="49"/>
      <c r="P597" s="49" t="e">
        <f>VLOOKUP(O597,Sheet2!$B$10:$C$18,2,FALSE)</f>
        <v>#N/A</v>
      </c>
      <c r="Q597" s="67"/>
      <c r="R597" s="49"/>
      <c r="S597" s="49" t="e">
        <f>VLOOKUP(R597,Sheet2!$B$10:$C$18,2,FALSE)</f>
        <v>#N/A</v>
      </c>
      <c r="T597" s="67"/>
      <c r="U597" s="67">
        <f t="shared" si="28"/>
        <v>0</v>
      </c>
      <c r="V597" s="67"/>
      <c r="W597" s="67"/>
      <c r="X597" s="67"/>
      <c r="Y597" s="66"/>
      <c r="Z597" s="66"/>
      <c r="AA597" s="66"/>
      <c r="AB597" s="66"/>
      <c r="AC597" s="66"/>
      <c r="AD597" s="42" t="str">
        <f t="shared" si="29"/>
        <v>ทันกำหนด</v>
      </c>
      <c r="AE597" s="43"/>
      <c r="AF597" s="43"/>
      <c r="AG597" s="43"/>
      <c r="AH597" s="44"/>
    </row>
    <row r="598" spans="1:34" ht="27.75" customHeight="1">
      <c r="A598" s="41">
        <v>595</v>
      </c>
      <c r="B598" s="66"/>
      <c r="C598" s="48"/>
      <c r="D598" s="48"/>
      <c r="E598" s="49"/>
      <c r="F598" s="49"/>
      <c r="G598" s="49">
        <f t="shared" si="25"/>
        <v>0</v>
      </c>
      <c r="H598" s="49" t="str">
        <f t="shared" si="26"/>
        <v>ครบ</v>
      </c>
      <c r="I598" s="49"/>
      <c r="J598" s="49" t="e">
        <f>VLOOKUP(I598,Sheet2!$B$10:$C$18,2,FALSE)</f>
        <v>#N/A</v>
      </c>
      <c r="K598" s="67"/>
      <c r="L598" s="49"/>
      <c r="M598" s="49" t="e">
        <f>VLOOKUP(L598,Sheet2!$B$10:$C$18,2,FALSE)</f>
        <v>#N/A</v>
      </c>
      <c r="N598" s="67"/>
      <c r="O598" s="49"/>
      <c r="P598" s="49" t="e">
        <f>VLOOKUP(O598,Sheet2!$B$10:$C$18,2,FALSE)</f>
        <v>#N/A</v>
      </c>
      <c r="Q598" s="67"/>
      <c r="R598" s="49"/>
      <c r="S598" s="49" t="e">
        <f>VLOOKUP(R598,Sheet2!$B$10:$C$18,2,FALSE)</f>
        <v>#N/A</v>
      </c>
      <c r="T598" s="67"/>
      <c r="U598" s="67">
        <f t="shared" si="28"/>
        <v>0</v>
      </c>
      <c r="V598" s="67"/>
      <c r="W598" s="67"/>
      <c r="X598" s="67"/>
      <c r="Y598" s="66"/>
      <c r="Z598" s="66"/>
      <c r="AA598" s="66"/>
      <c r="AB598" s="66"/>
      <c r="AC598" s="66"/>
      <c r="AD598" s="42" t="str">
        <f t="shared" si="29"/>
        <v>ทันกำหนด</v>
      </c>
      <c r="AE598" s="43"/>
      <c r="AF598" s="43"/>
      <c r="AG598" s="43"/>
      <c r="AH598" s="44"/>
    </row>
    <row r="599" spans="1:34" ht="27.75" customHeight="1">
      <c r="A599" s="41">
        <v>596</v>
      </c>
      <c r="B599" s="66"/>
      <c r="C599" s="48"/>
      <c r="D599" s="48"/>
      <c r="E599" s="49"/>
      <c r="F599" s="49"/>
      <c r="G599" s="49">
        <f t="shared" si="25"/>
        <v>0</v>
      </c>
      <c r="H599" s="49" t="str">
        <f t="shared" si="26"/>
        <v>ครบ</v>
      </c>
      <c r="I599" s="49"/>
      <c r="J599" s="49" t="e">
        <f>VLOOKUP(I599,Sheet2!$B$10:$C$18,2,FALSE)</f>
        <v>#N/A</v>
      </c>
      <c r="K599" s="67"/>
      <c r="L599" s="49"/>
      <c r="M599" s="49" t="e">
        <f>VLOOKUP(L599,Sheet2!$B$10:$C$18,2,FALSE)</f>
        <v>#N/A</v>
      </c>
      <c r="N599" s="67"/>
      <c r="O599" s="49"/>
      <c r="P599" s="49" t="e">
        <f>VLOOKUP(O599,Sheet2!$B$10:$C$18,2,FALSE)</f>
        <v>#N/A</v>
      </c>
      <c r="Q599" s="67"/>
      <c r="R599" s="49"/>
      <c r="S599" s="49" t="e">
        <f>VLOOKUP(R599,Sheet2!$B$10:$C$18,2,FALSE)</f>
        <v>#N/A</v>
      </c>
      <c r="T599" s="67"/>
      <c r="U599" s="67">
        <f t="shared" si="28"/>
        <v>0</v>
      </c>
      <c r="V599" s="67"/>
      <c r="W599" s="67"/>
      <c r="X599" s="67"/>
      <c r="Y599" s="66"/>
      <c r="Z599" s="66"/>
      <c r="AA599" s="66"/>
      <c r="AB599" s="66"/>
      <c r="AC599" s="66"/>
      <c r="AD599" s="42" t="str">
        <f t="shared" si="29"/>
        <v>ทันกำหนด</v>
      </c>
      <c r="AE599" s="43"/>
      <c r="AF599" s="43"/>
      <c r="AG599" s="43"/>
      <c r="AH599" s="44"/>
    </row>
    <row r="600" spans="1:34" ht="27.75" customHeight="1">
      <c r="A600" s="41">
        <v>597</v>
      </c>
      <c r="B600" s="66"/>
      <c r="C600" s="48"/>
      <c r="D600" s="48"/>
      <c r="E600" s="49"/>
      <c r="F600" s="49"/>
      <c r="G600" s="49">
        <f t="shared" si="25"/>
        <v>0</v>
      </c>
      <c r="H600" s="49" t="str">
        <f t="shared" si="26"/>
        <v>ครบ</v>
      </c>
      <c r="I600" s="49"/>
      <c r="J600" s="49" t="e">
        <f>VLOOKUP(I600,Sheet2!$B$10:$C$18,2,FALSE)</f>
        <v>#N/A</v>
      </c>
      <c r="K600" s="67"/>
      <c r="L600" s="49"/>
      <c r="M600" s="49" t="e">
        <f>VLOOKUP(L600,Sheet2!$B$10:$C$18,2,FALSE)</f>
        <v>#N/A</v>
      </c>
      <c r="N600" s="67"/>
      <c r="O600" s="49"/>
      <c r="P600" s="49" t="e">
        <f>VLOOKUP(O600,Sheet2!$B$10:$C$18,2,FALSE)</f>
        <v>#N/A</v>
      </c>
      <c r="Q600" s="67"/>
      <c r="R600" s="49"/>
      <c r="S600" s="49" t="e">
        <f>VLOOKUP(R600,Sheet2!$B$10:$C$18,2,FALSE)</f>
        <v>#N/A</v>
      </c>
      <c r="T600" s="67"/>
      <c r="U600" s="67">
        <f t="shared" si="28"/>
        <v>0</v>
      </c>
      <c r="V600" s="67"/>
      <c r="W600" s="67"/>
      <c r="X600" s="67"/>
      <c r="Y600" s="66"/>
      <c r="Z600" s="66"/>
      <c r="AA600" s="66"/>
      <c r="AB600" s="66"/>
      <c r="AC600" s="66"/>
      <c r="AD600" s="42" t="str">
        <f t="shared" si="29"/>
        <v>ทันกำหนด</v>
      </c>
      <c r="AE600" s="43"/>
      <c r="AF600" s="43"/>
      <c r="AG600" s="43"/>
      <c r="AH600" s="44"/>
    </row>
    <row r="601" spans="1:34" ht="27.75" customHeight="1">
      <c r="A601" s="41">
        <v>598</v>
      </c>
      <c r="B601" s="66"/>
      <c r="C601" s="48"/>
      <c r="D601" s="48"/>
      <c r="E601" s="49"/>
      <c r="F601" s="49"/>
      <c r="G601" s="49">
        <f t="shared" si="25"/>
        <v>0</v>
      </c>
      <c r="H601" s="49" t="str">
        <f t="shared" si="26"/>
        <v>ครบ</v>
      </c>
      <c r="I601" s="49"/>
      <c r="J601" s="49" t="e">
        <f>VLOOKUP(I601,Sheet2!$B$10:$C$18,2,FALSE)</f>
        <v>#N/A</v>
      </c>
      <c r="K601" s="67"/>
      <c r="L601" s="49"/>
      <c r="M601" s="49" t="e">
        <f>VLOOKUP(L601,Sheet2!$B$10:$C$18,2,FALSE)</f>
        <v>#N/A</v>
      </c>
      <c r="N601" s="67"/>
      <c r="O601" s="49"/>
      <c r="P601" s="49" t="e">
        <f>VLOOKUP(O601,Sheet2!$B$10:$C$18,2,FALSE)</f>
        <v>#N/A</v>
      </c>
      <c r="Q601" s="67"/>
      <c r="R601" s="49"/>
      <c r="S601" s="49" t="e">
        <f>VLOOKUP(R601,Sheet2!$B$10:$C$18,2,FALSE)</f>
        <v>#N/A</v>
      </c>
      <c r="T601" s="67"/>
      <c r="U601" s="67">
        <f t="shared" si="28"/>
        <v>0</v>
      </c>
      <c r="V601" s="67"/>
      <c r="W601" s="67"/>
      <c r="X601" s="67"/>
      <c r="Y601" s="66"/>
      <c r="Z601" s="66"/>
      <c r="AA601" s="66"/>
      <c r="AB601" s="66"/>
      <c r="AC601" s="66"/>
      <c r="AD601" s="42" t="str">
        <f t="shared" si="29"/>
        <v>ทันกำหนด</v>
      </c>
      <c r="AE601" s="43"/>
      <c r="AF601" s="43"/>
      <c r="AG601" s="43"/>
      <c r="AH601" s="44"/>
    </row>
    <row r="602" spans="1:34" ht="27.75" customHeight="1">
      <c r="A602" s="41">
        <v>599</v>
      </c>
      <c r="B602" s="66"/>
      <c r="C602" s="48"/>
      <c r="D602" s="48"/>
      <c r="E602" s="49"/>
      <c r="F602" s="49"/>
      <c r="G602" s="49">
        <f t="shared" si="25"/>
        <v>0</v>
      </c>
      <c r="H602" s="49" t="str">
        <f t="shared" si="26"/>
        <v>ครบ</v>
      </c>
      <c r="I602" s="49"/>
      <c r="J602" s="49" t="e">
        <f>VLOOKUP(I602,Sheet2!$B$10:$C$18,2,FALSE)</f>
        <v>#N/A</v>
      </c>
      <c r="K602" s="67"/>
      <c r="L602" s="49"/>
      <c r="M602" s="49" t="e">
        <f>VLOOKUP(L602,Sheet2!$B$10:$C$18,2,FALSE)</f>
        <v>#N/A</v>
      </c>
      <c r="N602" s="67"/>
      <c r="O602" s="49"/>
      <c r="P602" s="49" t="e">
        <f>VLOOKUP(O602,Sheet2!$B$10:$C$18,2,FALSE)</f>
        <v>#N/A</v>
      </c>
      <c r="Q602" s="67"/>
      <c r="R602" s="49"/>
      <c r="S602" s="49" t="e">
        <f>VLOOKUP(R602,Sheet2!$B$10:$C$18,2,FALSE)</f>
        <v>#N/A</v>
      </c>
      <c r="T602" s="67"/>
      <c r="U602" s="67">
        <f t="shared" si="28"/>
        <v>0</v>
      </c>
      <c r="V602" s="67"/>
      <c r="W602" s="67"/>
      <c r="X602" s="67"/>
      <c r="Y602" s="66"/>
      <c r="Z602" s="66"/>
      <c r="AA602" s="66"/>
      <c r="AB602" s="66"/>
      <c r="AC602" s="66"/>
      <c r="AD602" s="42" t="str">
        <f t="shared" si="29"/>
        <v>ทันกำหนด</v>
      </c>
      <c r="AE602" s="43"/>
      <c r="AF602" s="43"/>
      <c r="AG602" s="43"/>
      <c r="AH602" s="44"/>
    </row>
    <row r="603" spans="1:34" ht="27.75" customHeight="1" thickBot="1">
      <c r="A603" s="74">
        <v>600</v>
      </c>
      <c r="B603" s="66"/>
      <c r="C603" s="48"/>
      <c r="D603" s="48"/>
      <c r="E603" s="49"/>
      <c r="F603" s="49"/>
      <c r="G603" s="49">
        <f t="shared" si="25"/>
        <v>0</v>
      </c>
      <c r="H603" s="49" t="str">
        <f t="shared" si="26"/>
        <v>ครบ</v>
      </c>
      <c r="I603" s="49"/>
      <c r="J603" s="49" t="e">
        <f>VLOOKUP(I603,Sheet2!$B$10:$C$18,2,FALSE)</f>
        <v>#N/A</v>
      </c>
      <c r="K603" s="67"/>
      <c r="L603" s="49"/>
      <c r="M603" s="49" t="e">
        <f>VLOOKUP(L603,Sheet2!$B$10:$C$18,2,FALSE)</f>
        <v>#N/A</v>
      </c>
      <c r="N603" s="67"/>
      <c r="O603" s="49"/>
      <c r="P603" s="49" t="e">
        <f>VLOOKUP(O603,Sheet2!$B$10:$C$18,2,FALSE)</f>
        <v>#N/A</v>
      </c>
      <c r="Q603" s="67"/>
      <c r="R603" s="49"/>
      <c r="S603" s="49" t="e">
        <f>VLOOKUP(R603,Sheet2!$B$10:$C$18,2,FALSE)</f>
        <v>#N/A</v>
      </c>
      <c r="T603" s="67"/>
      <c r="U603" s="67">
        <f t="shared" si="28"/>
        <v>0</v>
      </c>
      <c r="V603" s="67"/>
      <c r="W603" s="67"/>
      <c r="X603" s="67"/>
      <c r="Y603" s="66"/>
      <c r="Z603" s="66"/>
      <c r="AA603" s="66"/>
      <c r="AB603" s="66"/>
      <c r="AC603" s="66"/>
      <c r="AD603" s="42" t="str">
        <f t="shared" si="29"/>
        <v>ทันกำหนด</v>
      </c>
      <c r="AE603" s="43"/>
      <c r="AF603" s="43"/>
      <c r="AG603" s="43"/>
      <c r="AH603" s="44"/>
    </row>
    <row r="604" spans="1:34" s="54" customFormat="1" ht="27.75" customHeight="1">
      <c r="A604" s="50"/>
      <c r="B604" s="51"/>
      <c r="C604" s="51">
        <f>SUBTOTAL(103,C4:C603)</f>
        <v>0</v>
      </c>
      <c r="D604" s="51"/>
      <c r="E604" s="51">
        <f>SUBTOTAL(9,E4:E603)</f>
        <v>0</v>
      </c>
      <c r="F604" s="51"/>
      <c r="G604" s="51"/>
      <c r="H604" s="51"/>
      <c r="I604" s="51"/>
      <c r="J604" s="52"/>
      <c r="K604" s="53"/>
      <c r="L604" s="51"/>
      <c r="M604" s="51"/>
      <c r="N604" s="53"/>
      <c r="O604" s="51"/>
      <c r="P604" s="51"/>
      <c r="Q604" s="53"/>
      <c r="R604" s="51"/>
      <c r="S604" s="51"/>
      <c r="T604" s="53"/>
      <c r="U604" s="53"/>
      <c r="V604" s="56"/>
      <c r="W604" s="56"/>
      <c r="X604" s="56"/>
      <c r="Y604" s="51"/>
      <c r="Z604" s="51"/>
      <c r="AA604" s="51"/>
      <c r="AB604" s="51"/>
      <c r="AC604" s="51"/>
      <c r="AD604" s="51">
        <f>COUNTIF($AD$4:$AD603,"เกินกำหนด")</f>
        <v>0</v>
      </c>
      <c r="AE604" s="50">
        <f>SUM(AE4:AE603)</f>
        <v>0</v>
      </c>
      <c r="AF604" s="50">
        <f>SUM(AF4:AF603)</f>
        <v>0</v>
      </c>
      <c r="AG604" s="50">
        <f>SUM(AG4:AG603)</f>
        <v>0</v>
      </c>
      <c r="AH604" s="50"/>
    </row>
    <row r="605" spans="1:34" ht="27.75" customHeight="1"/>
    <row r="606" spans="1:34" ht="27.75" customHeight="1">
      <c r="C606" s="57" t="s">
        <v>22</v>
      </c>
      <c r="D606" s="58">
        <f>C604</f>
        <v>0</v>
      </c>
      <c r="E606" s="59"/>
    </row>
    <row r="607" spans="1:34" ht="27.75" customHeight="1">
      <c r="C607" s="60" t="s">
        <v>23</v>
      </c>
      <c r="D607" s="61">
        <f>E604</f>
        <v>0</v>
      </c>
      <c r="E607" s="62"/>
    </row>
    <row r="608" spans="1:34" ht="27.75" customHeight="1">
      <c r="C608" s="60" t="s">
        <v>24</v>
      </c>
      <c r="D608" s="61">
        <f>AD604</f>
        <v>0</v>
      </c>
      <c r="E608" s="62"/>
    </row>
    <row r="609" spans="3:26" s="52" customFormat="1" ht="27.75" customHeight="1">
      <c r="C609" s="60" t="s">
        <v>25</v>
      </c>
      <c r="D609" s="61">
        <f>$D606-$D608</f>
        <v>0</v>
      </c>
      <c r="E609" s="62"/>
      <c r="K609" s="56"/>
      <c r="N609" s="56"/>
      <c r="Q609" s="56"/>
      <c r="T609" s="56"/>
      <c r="U609" s="56"/>
      <c r="V609" s="56"/>
      <c r="W609" s="56"/>
      <c r="X609" s="56"/>
    </row>
    <row r="610" spans="3:26" s="52" customFormat="1" ht="27.75" customHeight="1">
      <c r="C610" s="60" t="s">
        <v>26</v>
      </c>
      <c r="D610" s="61">
        <f>AE604</f>
        <v>0</v>
      </c>
      <c r="E610" s="62"/>
      <c r="K610" s="56"/>
      <c r="N610" s="56"/>
      <c r="Q610" s="56"/>
      <c r="T610" s="56"/>
      <c r="U610" s="56"/>
      <c r="V610" s="56"/>
      <c r="W610" s="56"/>
      <c r="X610" s="56"/>
    </row>
    <row r="611" spans="3:26" s="52" customFormat="1" ht="27.75" customHeight="1">
      <c r="C611" s="60" t="s">
        <v>27</v>
      </c>
      <c r="D611" s="61" t="e">
        <f>($D609/$D606)*100</f>
        <v>#DIV/0!</v>
      </c>
      <c r="E611" s="62" t="e">
        <f>IF(D611&gt;=90,"ผ่าน","ไม่ผ่าน")</f>
        <v>#DIV/0!</v>
      </c>
      <c r="K611" s="56"/>
      <c r="N611" s="56"/>
      <c r="Q611" s="56"/>
      <c r="T611" s="56"/>
      <c r="U611" s="56"/>
      <c r="V611" s="56"/>
      <c r="W611" s="56"/>
      <c r="X611" s="56"/>
    </row>
    <row r="612" spans="3:26" s="52" customFormat="1" ht="27.75" customHeight="1">
      <c r="C612" s="63" t="s">
        <v>28</v>
      </c>
      <c r="D612" s="64" t="e">
        <f>($D610/$D607)*100</f>
        <v>#DIV/0!</v>
      </c>
      <c r="E612" s="65" t="e">
        <f>IF(D612&lt;=5,"ผ่าน","ไม่ผ่าน")</f>
        <v>#DIV/0!</v>
      </c>
      <c r="K612" s="56"/>
      <c r="N612" s="56"/>
      <c r="Q612" s="56"/>
      <c r="T612" s="56"/>
      <c r="U612" s="56"/>
      <c r="V612" s="56"/>
      <c r="W612" s="56"/>
      <c r="X612" s="56"/>
    </row>
    <row r="613" spans="3:26" s="52" customFormat="1">
      <c r="C613" s="55"/>
      <c r="D613" s="55"/>
      <c r="K613" s="56"/>
      <c r="M613" s="52" t="s">
        <v>45</v>
      </c>
      <c r="N613" s="56"/>
      <c r="Q613" s="56"/>
      <c r="T613" s="56"/>
      <c r="U613" s="56"/>
      <c r="V613" s="56"/>
      <c r="W613" s="56"/>
      <c r="X613" s="56"/>
    </row>
    <row r="616" spans="3:26" s="52" customFormat="1">
      <c r="C616" s="55">
        <f>SUBTOTAL(103,C4:C603)</f>
        <v>0</v>
      </c>
      <c r="D616" s="55"/>
      <c r="E616" s="52">
        <f>SUBTOTAL(9,E4:E603)</f>
        <v>0</v>
      </c>
      <c r="K616" s="56"/>
      <c r="N616" s="56"/>
      <c r="Q616" s="56"/>
      <c r="T616" s="56"/>
      <c r="U616" s="56"/>
      <c r="V616" s="56"/>
      <c r="W616" s="56"/>
      <c r="X616" s="56"/>
      <c r="Z616" s="52" t="s">
        <v>45</v>
      </c>
    </row>
    <row r="617" spans="3:26" s="52" customFormat="1">
      <c r="C617" s="55"/>
      <c r="D617" s="55"/>
      <c r="G617" s="52" t="s">
        <v>46</v>
      </c>
      <c r="K617" s="56"/>
      <c r="N617" s="56"/>
      <c r="Q617" s="56"/>
      <c r="T617" s="56"/>
      <c r="U617" s="56"/>
      <c r="V617" s="56"/>
      <c r="W617" s="56"/>
      <c r="X617" s="56"/>
    </row>
    <row r="618" spans="3:26" s="52" customFormat="1">
      <c r="C618" s="55"/>
      <c r="D618" s="55" t="s">
        <v>47</v>
      </c>
      <c r="K618" s="56"/>
      <c r="N618" s="56"/>
      <c r="Q618" s="56"/>
      <c r="T618" s="56"/>
      <c r="U618" s="56"/>
      <c r="V618" s="56"/>
      <c r="W618" s="56"/>
      <c r="X618" s="56"/>
    </row>
    <row r="652" spans="22:24">
      <c r="V652" s="77"/>
      <c r="W652" s="77"/>
      <c r="X652" s="77"/>
    </row>
    <row r="704" spans="22:24">
      <c r="V704" s="53"/>
      <c r="W704" s="53"/>
      <c r="X704" s="53"/>
    </row>
  </sheetData>
  <autoFilter ref="A3:AH612" xr:uid="{00000000-0009-0000-0000-000000000000}"/>
  <mergeCells count="32">
    <mergeCell ref="A1:AH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D2:AD3"/>
    <mergeCell ref="AE2:AF2"/>
    <mergeCell ref="AG2:AG3"/>
    <mergeCell ref="AH2:AH3"/>
    <mergeCell ref="V2:X2"/>
    <mergeCell ref="Y2:Y3"/>
    <mergeCell ref="Z2:Z3"/>
    <mergeCell ref="AA2:AA3"/>
    <mergeCell ref="AB2:AB3"/>
    <mergeCell ref="AC2:AC3"/>
  </mergeCells>
  <conditionalFormatting sqref="A2:V2">
    <cfRule type="containsText" dxfId="116" priority="25" operator="containsText" text="ทันกำหนด">
      <formula>NOT(ISERROR(SEARCH("ทันกำหนด",A2)))</formula>
    </cfRule>
    <cfRule type="containsText" dxfId="115" priority="26" operator="containsText" text="เกินกำหนด">
      <formula>NOT(ISERROR(SEARCH("เกินกำหนด",A2)))</formula>
    </cfRule>
    <cfRule type="containsText" dxfId="114" priority="27" operator="containsText" text="เกินกำหนด">
      <formula>NOT(ISERROR(SEARCH("เกินกำหนด",A2)))</formula>
    </cfRule>
    <cfRule type="containsText" dxfId="113" priority="28" operator="containsText" text="เกินกำหนด">
      <formula>NOT(ISERROR(SEARCH("เกินกำหนด",A2)))</formula>
    </cfRule>
  </conditionalFormatting>
  <conditionalFormatting sqref="E606:E612">
    <cfRule type="containsText" dxfId="112" priority="84" operator="containsText" text="ผ่าน">
      <formula>NOT(ISERROR(SEARCH("ผ่าน",E606)))</formula>
    </cfRule>
  </conditionalFormatting>
  <conditionalFormatting sqref="H4:J612">
    <cfRule type="containsText" dxfId="111" priority="1" operator="containsText" text="ไม่ครบ">
      <formula>NOT(ISERROR(SEARCH("ไม่ครบ",H4)))</formula>
    </cfRule>
    <cfRule type="containsText" dxfId="110" priority="2" operator="containsText" text="ไม่ครบ">
      <formula>NOT(ISERROR(SEARCH("ไม่ครบ",H4)))</formula>
    </cfRule>
  </conditionalFormatting>
  <conditionalFormatting sqref="K4:K12">
    <cfRule type="containsText" dxfId="109" priority="69" operator="containsText" text="ไม่ครบ">
      <formula>NOT(ISERROR(SEARCH("ไม่ครบ",K4)))</formula>
    </cfRule>
    <cfRule type="containsText" dxfId="108" priority="70" operator="containsText" text="ไม่ครบ">
      <formula>NOT(ISERROR(SEARCH("ไม่ครบ",K4)))</formula>
    </cfRule>
  </conditionalFormatting>
  <conditionalFormatting sqref="K8:K41">
    <cfRule type="containsText" dxfId="107" priority="73" operator="containsText" text="ไม่ครบ">
      <formula>NOT(ISERROR(SEARCH("ไม่ครบ",K8)))</formula>
    </cfRule>
    <cfRule type="containsText" dxfId="106" priority="74" operator="containsText" text="ไม่ครบ">
      <formula>NOT(ISERROR(SEARCH("ไม่ครบ",K8)))</formula>
    </cfRule>
  </conditionalFormatting>
  <conditionalFormatting sqref="K42:K74">
    <cfRule type="containsText" dxfId="105" priority="77" operator="containsText" text="ไม่ครบ">
      <formula>NOT(ISERROR(SEARCH("ไม่ครบ",K42)))</formula>
    </cfRule>
    <cfRule type="containsText" dxfId="104" priority="78" operator="containsText" text="ไม่ครบ">
      <formula>NOT(ISERROR(SEARCH("ไม่ครบ",K42)))</formula>
    </cfRule>
  </conditionalFormatting>
  <conditionalFormatting sqref="K68:K71">
    <cfRule type="containsText" dxfId="103" priority="75" operator="containsText" text="ไม่ครบ">
      <formula>NOT(ISERROR(SEARCH("ไม่ครบ",K68)))</formula>
    </cfRule>
    <cfRule type="containsText" dxfId="102" priority="76" operator="containsText" text="ไม่ครบ">
      <formula>NOT(ISERROR(SEARCH("ไม่ครบ",K68)))</formula>
    </cfRule>
  </conditionalFormatting>
  <conditionalFormatting sqref="K430:K483">
    <cfRule type="containsText" dxfId="101" priority="63" operator="containsText" text="ไม่ครบ">
      <formula>NOT(ISERROR(SEARCH("ไม่ครบ",K430)))</formula>
    </cfRule>
  </conditionalFormatting>
  <conditionalFormatting sqref="K439:K603">
    <cfRule type="containsText" dxfId="100" priority="36" operator="containsText" text="ไม่ครบ">
      <formula>NOT(ISERROR(SEARCH("ไม่ครบ",K439)))</formula>
    </cfRule>
  </conditionalFormatting>
  <conditionalFormatting sqref="K484:K603">
    <cfRule type="containsText" dxfId="99" priority="37" operator="containsText" text="ไม่ครบ">
      <formula>NOT(ISERROR(SEARCH("ไม่ครบ",K484)))</formula>
    </cfRule>
  </conditionalFormatting>
  <conditionalFormatting sqref="K606:K612 L606:L1048576 H613:K1048576 U604:U612">
    <cfRule type="containsText" dxfId="98" priority="86" operator="containsText" text="ไม่ครบ">
      <formula>NOT(ISERROR(SEARCH("ไม่ครบ",H604)))</formula>
    </cfRule>
  </conditionalFormatting>
  <conditionalFormatting sqref="K606:K612 L606:L1048576 H613:K1048576">
    <cfRule type="containsText" dxfId="97" priority="85" operator="containsText" text="ไม่ครบ">
      <formula>NOT(ISERROR(SEARCH("ไม่ครบ",H606)))</formula>
    </cfRule>
  </conditionalFormatting>
  <conditionalFormatting sqref="K75:L429">
    <cfRule type="containsText" dxfId="96" priority="64" operator="containsText" text="ไม่ครบ">
      <formula>NOT(ISERROR(SEARCH("ไม่ครบ",K75)))</formula>
    </cfRule>
  </conditionalFormatting>
  <conditionalFormatting sqref="K75:L438">
    <cfRule type="containsText" dxfId="95" priority="61" operator="containsText" text="ไม่ครบ">
      <formula>NOT(ISERROR(SEARCH("ไม่ครบ",K75)))</formula>
    </cfRule>
  </conditionalFormatting>
  <conditionalFormatting sqref="K604:L605">
    <cfRule type="containsText" dxfId="94" priority="79" operator="containsText" text="ไม่ครบ">
      <formula>NOT(ISERROR(SEARCH("ไม่ครบ",K604)))</formula>
    </cfRule>
    <cfRule type="containsText" dxfId="93" priority="80" operator="containsText" text="ไม่ครบ">
      <formula>NOT(ISERROR(SEARCH("ไม่ครบ",K604)))</formula>
    </cfRule>
  </conditionalFormatting>
  <conditionalFormatting sqref="L4:L74">
    <cfRule type="containsText" dxfId="92" priority="67" operator="containsText" text="ไม่ครบ">
      <formula>NOT(ISERROR(SEARCH("ไม่ครบ",L4)))</formula>
    </cfRule>
    <cfRule type="containsText" dxfId="91" priority="68" operator="containsText" text="ไม่ครบ">
      <formula>NOT(ISERROR(SEARCH("ไม่ครบ",L4)))</formula>
    </cfRule>
  </conditionalFormatting>
  <conditionalFormatting sqref="L430">
    <cfRule type="containsText" dxfId="90" priority="62" operator="containsText" text="ไม่ครบ">
      <formula>NOT(ISERROR(SEARCH("ไม่ครบ",L430)))</formula>
    </cfRule>
  </conditionalFormatting>
  <conditionalFormatting sqref="L431:L449">
    <cfRule type="containsText" dxfId="89" priority="66" operator="containsText" text="ไม่ครบ">
      <formula>NOT(ISERROR(SEARCH("ไม่ครบ",L431)))</formula>
    </cfRule>
  </conditionalFormatting>
  <conditionalFormatting sqref="L439:L449">
    <cfRule type="containsText" dxfId="88" priority="65" operator="containsText" text="ไม่ครบ">
      <formula>NOT(ISERROR(SEARCH("ไม่ครบ",L439)))</formula>
    </cfRule>
  </conditionalFormatting>
  <conditionalFormatting sqref="L440">
    <cfRule type="containsText" dxfId="87" priority="59" operator="containsText" text="ไม่ครบ">
      <formula>NOT(ISERROR(SEARCH("ไม่ครบ",L440)))</formula>
    </cfRule>
    <cfRule type="containsText" dxfId="86" priority="60" operator="containsText" text="ไม่ครบ">
      <formula>NOT(ISERROR(SEARCH("ไม่ครบ",L440)))</formula>
    </cfRule>
  </conditionalFormatting>
  <conditionalFormatting sqref="L450:L603">
    <cfRule type="containsText" dxfId="85" priority="57" operator="containsText" text="ไม่ครบ">
      <formula>NOT(ISERROR(SEARCH("ไม่ครบ",L450)))</formula>
    </cfRule>
    <cfRule type="containsText" dxfId="84" priority="58" operator="containsText" text="ไม่ครบ">
      <formula>NOT(ISERROR(SEARCH("ไม่ครบ",L450)))</formula>
    </cfRule>
  </conditionalFormatting>
  <conditionalFormatting sqref="M4:M603">
    <cfRule type="containsText" dxfId="83" priority="11" operator="containsText" text="ไม่ครบ">
      <formula>NOT(ISERROR(SEARCH("ไม่ครบ",M4)))</formula>
    </cfRule>
    <cfRule type="containsText" dxfId="82" priority="12" operator="containsText" text="ไม่ครบ">
      <formula>NOT(ISERROR(SEARCH("ไม่ครบ",M4)))</formula>
    </cfRule>
  </conditionalFormatting>
  <conditionalFormatting sqref="M604:T1048576">
    <cfRule type="containsText" dxfId="81" priority="71" operator="containsText" text="ไม่ครบ">
      <formula>NOT(ISERROR(SEARCH("ไม่ครบ",M604)))</formula>
    </cfRule>
    <cfRule type="containsText" dxfId="80" priority="72" operator="containsText" text="ไม่ครบ">
      <formula>NOT(ISERROR(SEARCH("ไม่ครบ",M604)))</formula>
    </cfRule>
  </conditionalFormatting>
  <conditionalFormatting sqref="N4:N12">
    <cfRule type="containsText" dxfId="79" priority="6" operator="containsText" text="ไม่ครบ">
      <formula>NOT(ISERROR(SEARCH("ไม่ครบ",N4)))</formula>
    </cfRule>
  </conditionalFormatting>
  <conditionalFormatting sqref="N12">
    <cfRule type="containsText" dxfId="78" priority="3" operator="containsText" text="ไม่ครบ">
      <formula>NOT(ISERROR(SEARCH("ไม่ครบ",N12)))</formula>
    </cfRule>
    <cfRule type="containsText" dxfId="77" priority="4" operator="containsText" text="ไม่ครบ">
      <formula>NOT(ISERROR(SEARCH("ไม่ครบ",N12)))</formula>
    </cfRule>
  </conditionalFormatting>
  <conditionalFormatting sqref="N13:N603">
    <cfRule type="containsText" dxfId="76" priority="32" operator="containsText" text="ไม่ครบ">
      <formula>NOT(ISERROR(SEARCH("ไม่ครบ",N13)))</formula>
    </cfRule>
  </conditionalFormatting>
  <conditionalFormatting sqref="N234:N603">
    <cfRule type="containsText" dxfId="75" priority="31" operator="containsText" text="ไม่ครบ">
      <formula>NOT(ISERROR(SEARCH("ไม่ครบ",N234)))</formula>
    </cfRule>
  </conditionalFormatting>
  <conditionalFormatting sqref="N4:O233">
    <cfRule type="containsText" dxfId="74" priority="5" operator="containsText" text="ไม่ครบ">
      <formula>NOT(ISERROR(SEARCH("ไม่ครบ",N4)))</formula>
    </cfRule>
  </conditionalFormatting>
  <conditionalFormatting sqref="O4:O405">
    <cfRule type="containsText" dxfId="73" priority="56" operator="containsText" text="ไม่ครบ">
      <formula>NOT(ISERROR(SEARCH("ไม่ครบ",O4)))</formula>
    </cfRule>
  </conditionalFormatting>
  <conditionalFormatting sqref="O234:O405">
    <cfRule type="containsText" dxfId="72" priority="55" operator="containsText" text="ไม่ครบ">
      <formula>NOT(ISERROR(SEARCH("ไม่ครบ",O234)))</formula>
    </cfRule>
  </conditionalFormatting>
  <conditionalFormatting sqref="O396">
    <cfRule type="containsText" dxfId="71" priority="53" operator="containsText" text="ไม่ครบ">
      <formula>NOT(ISERROR(SEARCH("ไม่ครบ",O396)))</formula>
    </cfRule>
    <cfRule type="containsText" dxfId="70" priority="54" operator="containsText" text="ไม่ครบ">
      <formula>NOT(ISERROR(SEARCH("ไม่ครบ",O396)))</formula>
    </cfRule>
  </conditionalFormatting>
  <conditionalFormatting sqref="O406:O603">
    <cfRule type="containsText" dxfId="69" priority="51" operator="containsText" text="ไม่ครบ">
      <formula>NOT(ISERROR(SEARCH("ไม่ครบ",O406)))</formula>
    </cfRule>
    <cfRule type="containsText" dxfId="68" priority="52" operator="containsText" text="ไม่ครบ">
      <formula>NOT(ISERROR(SEARCH("ไม่ครบ",O406)))</formula>
    </cfRule>
  </conditionalFormatting>
  <conditionalFormatting sqref="P4:P603">
    <cfRule type="containsText" dxfId="67" priority="9" operator="containsText" text="ไม่ครบ">
      <formula>NOT(ISERROR(SEARCH("ไม่ครบ",P4)))</formula>
    </cfRule>
    <cfRule type="containsText" dxfId="66" priority="10" operator="containsText" text="ไม่ครบ">
      <formula>NOT(ISERROR(SEARCH("ไม่ครบ",P4)))</formula>
    </cfRule>
  </conditionalFormatting>
  <conditionalFormatting sqref="Q4:Q279">
    <cfRule type="containsText" dxfId="65" priority="42" operator="containsText" text="ไม่ครบ">
      <formula>NOT(ISERROR(SEARCH("ไม่ครบ",Q4)))</formula>
    </cfRule>
  </conditionalFormatting>
  <conditionalFormatting sqref="Q234:Q603">
    <cfRule type="containsText" dxfId="64" priority="29" operator="containsText" text="ไม่ครบ">
      <formula>NOT(ISERROR(SEARCH("ไม่ครบ",Q234)))</formula>
    </cfRule>
  </conditionalFormatting>
  <conditionalFormatting sqref="Q280:Q603">
    <cfRule type="containsText" dxfId="63" priority="30" operator="containsText" text="ไม่ครบ">
      <formula>NOT(ISERROR(SEARCH("ไม่ครบ",Q280)))</formula>
    </cfRule>
  </conditionalFormatting>
  <conditionalFormatting sqref="Q4:R233">
    <cfRule type="containsText" dxfId="62" priority="41" operator="containsText" text="ไม่ครบ">
      <formula>NOT(ISERROR(SEARCH("ไม่ครบ",Q4)))</formula>
    </cfRule>
  </conditionalFormatting>
  <conditionalFormatting sqref="R4:R405">
    <cfRule type="containsText" dxfId="61" priority="50" operator="containsText" text="ไม่ครบ">
      <formula>NOT(ISERROR(SEARCH("ไม่ครบ",R4)))</formula>
    </cfRule>
  </conditionalFormatting>
  <conditionalFormatting sqref="R234:R405">
    <cfRule type="containsText" dxfId="60" priority="49" operator="containsText" text="ไม่ครบ">
      <formula>NOT(ISERROR(SEARCH("ไม่ครบ",R234)))</formula>
    </cfRule>
  </conditionalFormatting>
  <conditionalFormatting sqref="R396">
    <cfRule type="containsText" dxfId="59" priority="47" operator="containsText" text="ไม่ครบ">
      <formula>NOT(ISERROR(SEARCH("ไม่ครบ",R396)))</formula>
    </cfRule>
    <cfRule type="containsText" dxfId="58" priority="48" operator="containsText" text="ไม่ครบ">
      <formula>NOT(ISERROR(SEARCH("ไม่ครบ",R396)))</formula>
    </cfRule>
  </conditionalFormatting>
  <conditionalFormatting sqref="R406:R603">
    <cfRule type="containsText" dxfId="57" priority="45" operator="containsText" text="ไม่ครบ">
      <formula>NOT(ISERROR(SEARCH("ไม่ครบ",R406)))</formula>
    </cfRule>
    <cfRule type="containsText" dxfId="56" priority="46" operator="containsText" text="ไม่ครบ">
      <formula>NOT(ISERROR(SEARCH("ไม่ครบ",R406)))</formula>
    </cfRule>
  </conditionalFormatting>
  <conditionalFormatting sqref="S4:U603">
    <cfRule type="containsText" dxfId="55" priority="7" operator="containsText" text="ไม่ครบ">
      <formula>NOT(ISERROR(SEARCH("ไม่ครบ",S4)))</formula>
    </cfRule>
    <cfRule type="containsText" dxfId="54" priority="8" operator="containsText" text="ไม่ครบ">
      <formula>NOT(ISERROR(SEARCH("ไม่ครบ",S4)))</formula>
    </cfRule>
  </conditionalFormatting>
  <conditionalFormatting sqref="U604:X612">
    <cfRule type="containsText" dxfId="53" priority="21" operator="containsText" text="ไม่ครบ">
      <formula>NOT(ISERROR(SEARCH("ไม่ครบ",U604)))</formula>
    </cfRule>
  </conditionalFormatting>
  <conditionalFormatting sqref="V4:X601">
    <cfRule type="containsText" dxfId="52" priority="24" operator="containsText" text="ไม่ครบ">
      <formula>NOT(ISERROR(SEARCH("ไม่ครบ",V4)))</formula>
    </cfRule>
  </conditionalFormatting>
  <conditionalFormatting sqref="V4:X602">
    <cfRule type="containsText" dxfId="51" priority="23" operator="containsText" text="ไม่ครบ">
      <formula>NOT(ISERROR(SEARCH("ไม่ครบ",V4)))</formula>
    </cfRule>
  </conditionalFormatting>
  <conditionalFormatting sqref="V602:X603">
    <cfRule type="containsText" dxfId="50" priority="20" operator="containsText" text="ไม่ครบ">
      <formula>NOT(ISERROR(SEARCH("ไม่ครบ",V602)))</formula>
    </cfRule>
  </conditionalFormatting>
  <conditionalFormatting sqref="V603:X603">
    <cfRule type="containsText" dxfId="49" priority="19" operator="containsText" text="ไม่ครบ">
      <formula>NOT(ISERROR(SEARCH("ไม่ครบ",V603)))</formula>
    </cfRule>
  </conditionalFormatting>
  <conditionalFormatting sqref="V604:X613">
    <cfRule type="containsText" dxfId="48" priority="22" operator="containsText" text="ไม่ครบ">
      <formula>NOT(ISERROR(SEARCH("ไม่ครบ",V604)))</formula>
    </cfRule>
  </conditionalFormatting>
  <conditionalFormatting sqref="V613:X613">
    <cfRule type="containsText" dxfId="47" priority="90" operator="containsText" text="ไม่ครบ">
      <formula>NOT(ISERROR(SEARCH("ไม่ครบ",V613)))</formula>
    </cfRule>
  </conditionalFormatting>
  <conditionalFormatting sqref="V614:X640">
    <cfRule type="containsText" dxfId="46" priority="15" operator="containsText" text="ไม่ครบ">
      <formula>NOT(ISERROR(SEARCH("ไม่ครบ",V614)))</formula>
    </cfRule>
    <cfRule type="containsText" dxfId="45" priority="16" operator="containsText" text="ไม่ครบ">
      <formula>NOT(ISERROR(SEARCH("ไม่ครบ",V614)))</formula>
    </cfRule>
  </conditionalFormatting>
  <conditionalFormatting sqref="V636:X650">
    <cfRule type="containsText" dxfId="44" priority="17" operator="containsText" text="ไม่ครบ">
      <formula>NOT(ISERROR(SEARCH("ไม่ครบ",V636)))</formula>
    </cfRule>
    <cfRule type="containsText" dxfId="43" priority="18" operator="containsText" text="ไม่ครบ">
      <formula>NOT(ISERROR(SEARCH("ไม่ครบ",V636)))</formula>
    </cfRule>
  </conditionalFormatting>
  <conditionalFormatting sqref="V651:X712">
    <cfRule type="containsText" dxfId="42" priority="13" operator="containsText" text="ไม่ครบ">
      <formula>NOT(ISERROR(SEARCH("ไม่ครบ",V651)))</formula>
    </cfRule>
    <cfRule type="containsText" dxfId="41" priority="14" operator="containsText" text="ไม่ครบ">
      <formula>NOT(ISERROR(SEARCH("ไม่ครบ",V651)))</formula>
    </cfRule>
  </conditionalFormatting>
  <conditionalFormatting sqref="Y2:AD2">
    <cfRule type="containsText" dxfId="40" priority="83" operator="containsText" text="ทันกำหนด">
      <formula>NOT(ISERROR(SEARCH("ทันกำหนด",Y2)))</formula>
    </cfRule>
    <cfRule type="containsText" dxfId="39" priority="87" operator="containsText" text="เกินกำหนด">
      <formula>NOT(ISERROR(SEARCH("เกินกำหนด",Y2)))</formula>
    </cfRule>
    <cfRule type="containsText" dxfId="38" priority="88" operator="containsText" text="เกินกำหนด">
      <formula>NOT(ISERROR(SEARCH("เกินกำหนด",Y2)))</formula>
    </cfRule>
    <cfRule type="containsText" dxfId="37" priority="89" operator="containsText" text="เกินกำหนด">
      <formula>NOT(ISERROR(SEARCH("เกินกำหนด",Y2)))</formula>
    </cfRule>
  </conditionalFormatting>
  <conditionalFormatting sqref="AD4:AD1048576">
    <cfRule type="containsText" dxfId="36" priority="35" operator="containsText" text="ทันกำหนด">
      <formula>NOT(ISERROR(SEARCH("ทันกำหนด",AD4)))</formula>
    </cfRule>
    <cfRule type="containsText" dxfId="35" priority="38" operator="containsText" text="เกินกำหนด">
      <formula>NOT(ISERROR(SEARCH("เกินกำหนด",AD4)))</formula>
    </cfRule>
    <cfRule type="containsText" dxfId="34" priority="39" operator="containsText" text="เกินกำหนด">
      <formula>NOT(ISERROR(SEARCH("เกินกำหนด",AD4)))</formula>
    </cfRule>
    <cfRule type="containsText" dxfId="33" priority="40" operator="containsText" text="เกินกำหนด">
      <formula>NOT(ISERROR(SEARCH("เกินกำหนด",AD4)))</formula>
    </cfRule>
  </conditionalFormatting>
  <conditionalFormatting sqref="AH2">
    <cfRule type="containsText" dxfId="32" priority="81" operator="containsText" text="งานด่วน">
      <formula>NOT(ISERROR(SEARCH("งานด่วน",AH2)))</formula>
    </cfRule>
    <cfRule type="containsText" dxfId="31" priority="82" operator="containsText" text="งานด่วน">
      <formula>NOT(ISERROR(SEARCH("งานด่วน",AH2)))</formula>
    </cfRule>
  </conditionalFormatting>
  <conditionalFormatting sqref="AH4:AH1048576">
    <cfRule type="containsText" dxfId="30" priority="33" operator="containsText" text="งานด่วน">
      <formula>NOT(ISERROR(SEARCH("งานด่วน",AH4)))</formula>
    </cfRule>
    <cfRule type="containsText" dxfId="29" priority="34" operator="containsText" text="งานด่วน">
      <formula>NOT(ISERROR(SEARCH("งานด่วน",AH4)))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98468C-DD51-4E4D-BAAB-9789E51C8582}">
          <x14:formula1>
            <xm:f>Sheet2!$B$1:$B$8</xm:f>
          </x14:formula1>
          <xm:sqref>L80 I168:I265 L45:L49 I355:I603 R36 L20 O396 L440 I5:I76 L37 L39:L40 L34 I267:I353 R4:R5 O36 O4:O5 R396 I79:I165</xm:sqref>
        </x14:dataValidation>
        <x14:dataValidation type="list" allowBlank="1" showInputMessage="1" xr:uid="{C6184FC8-8E2D-40AD-AF34-766FDC719900}">
          <x14:formula1>
            <xm:f>Sheet2!$B$1:$B$8</xm:f>
          </x14:formula1>
          <xm:sqref>L38 L35:L36 R37:R395 L4:L19 I166:I167 I77:I78 I266 L21:L33 L41:L44 R6:R35 O37:O395 R397:R603 L441:L603 O397:O603 I354 L50:L79 O6:O35 I4 L81:L439</xm:sqref>
        </x14:dataValidation>
        <x14:dataValidation type="list" allowBlank="1" showInputMessage="1" showErrorMessage="1" xr:uid="{EEEBD3CD-978C-4B64-8953-21264B168E6C}">
          <x14:formula1>
            <xm:f>Sheet2!$D$1:$D$5</xm:f>
          </x14:formula1>
          <xm:sqref>V4:W703</xm:sqref>
        </x14:dataValidation>
        <x14:dataValidation type="list" allowBlank="1" showInputMessage="1" showErrorMessage="1" xr:uid="{EB29840F-FE3D-4EEA-9BA3-550EED32D5A7}">
          <x14:formula1>
            <xm:f>Sheet2!$E$1:$E$6</xm:f>
          </x14:formula1>
          <xm:sqref>X4:X703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0768-41DE-44ED-B374-47BF561C1091}">
  <dimension ref="A1:K704"/>
  <sheetViews>
    <sheetView tabSelected="1" zoomScale="75" zoomScaleNormal="75" workbookViewId="0">
      <pane ySplit="3" topLeftCell="A199" activePane="bottomLeft" state="frozen"/>
      <selection pane="bottomLeft" activeCell="B203" sqref="B203"/>
    </sheetView>
  </sheetViews>
  <sheetFormatPr defaultColWidth="9.140625" defaultRowHeight="27.75"/>
  <cols>
    <col min="1" max="1" width="13" style="52" bestFit="1" customWidth="1"/>
    <col min="2" max="2" width="13.140625" style="52" customWidth="1"/>
    <col min="3" max="3" width="14" style="52" customWidth="1"/>
    <col min="4" max="4" width="35.42578125" style="55" customWidth="1"/>
    <col min="5" max="5" width="53.7109375" style="55" customWidth="1"/>
    <col min="6" max="6" width="17.5703125" style="52" customWidth="1"/>
    <col min="7" max="7" width="22.5703125" style="52" customWidth="1"/>
    <col min="8" max="8" width="18.28515625" style="56" customWidth="1"/>
    <col min="9" max="9" width="15.7109375" style="56" customWidth="1"/>
    <col min="10" max="10" width="20.140625" style="56" customWidth="1"/>
    <col min="11" max="11" width="43.5703125" style="52" bestFit="1" customWidth="1"/>
    <col min="12" max="16384" width="9.140625" style="45"/>
  </cols>
  <sheetData>
    <row r="1" spans="1:11" ht="65.25" customHeight="1" thickBot="1">
      <c r="A1" s="91" t="s">
        <v>7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s="46" customFormat="1" ht="29.25">
      <c r="A2" s="80" t="s">
        <v>4</v>
      </c>
      <c r="B2" s="80" t="s">
        <v>8</v>
      </c>
      <c r="C2" s="80" t="s">
        <v>3</v>
      </c>
      <c r="D2" s="80" t="s">
        <v>0</v>
      </c>
      <c r="E2" s="80" t="s">
        <v>9</v>
      </c>
      <c r="F2" s="80" t="s">
        <v>6</v>
      </c>
      <c r="G2" s="80" t="s">
        <v>15</v>
      </c>
      <c r="H2" s="88" t="s">
        <v>58</v>
      </c>
      <c r="I2" s="89"/>
      <c r="J2" s="90"/>
      <c r="K2" s="86" t="s">
        <v>1</v>
      </c>
    </row>
    <row r="3" spans="1:11" s="46" customFormat="1" ht="58.5">
      <c r="A3" s="81" t="s">
        <v>4</v>
      </c>
      <c r="B3" s="81" t="s">
        <v>8</v>
      </c>
      <c r="C3" s="81" t="s">
        <v>3</v>
      </c>
      <c r="D3" s="81" t="s">
        <v>0</v>
      </c>
      <c r="E3" s="81" t="s">
        <v>9</v>
      </c>
      <c r="F3" s="81" t="s">
        <v>6</v>
      </c>
      <c r="G3" s="81" t="s">
        <v>15</v>
      </c>
      <c r="H3" s="75" t="s">
        <v>60</v>
      </c>
      <c r="I3" s="75" t="s">
        <v>60</v>
      </c>
      <c r="J3" s="76" t="s">
        <v>59</v>
      </c>
      <c r="K3" s="87"/>
    </row>
    <row r="4" spans="1:11" ht="27.75" customHeight="1">
      <c r="A4" s="41">
        <v>1</v>
      </c>
      <c r="B4" s="66">
        <v>46296</v>
      </c>
      <c r="C4" s="66">
        <v>46301</v>
      </c>
      <c r="D4" s="48" t="s">
        <v>80</v>
      </c>
      <c r="E4" s="48" t="s">
        <v>67</v>
      </c>
      <c r="F4" s="49">
        <v>4</v>
      </c>
      <c r="G4" s="66" t="s">
        <v>70</v>
      </c>
      <c r="H4" s="67"/>
      <c r="I4" s="67"/>
      <c r="J4" s="67"/>
      <c r="K4" s="44"/>
    </row>
    <row r="5" spans="1:11" ht="27.75" customHeight="1">
      <c r="A5" s="41">
        <v>2</v>
      </c>
      <c r="B5" s="66">
        <v>46296</v>
      </c>
      <c r="C5" s="66">
        <v>244631</v>
      </c>
      <c r="D5" s="48" t="s">
        <v>73</v>
      </c>
      <c r="E5" s="48" t="s">
        <v>71</v>
      </c>
      <c r="F5" s="49">
        <v>4</v>
      </c>
      <c r="G5" s="66" t="s">
        <v>72</v>
      </c>
      <c r="H5" s="67"/>
      <c r="I5" s="67"/>
      <c r="J5" s="67" t="s">
        <v>403</v>
      </c>
      <c r="K5" s="44"/>
    </row>
    <row r="6" spans="1:11" ht="27.75" customHeight="1">
      <c r="A6" s="41">
        <v>3</v>
      </c>
      <c r="B6" s="66">
        <v>46296</v>
      </c>
      <c r="C6" s="66">
        <v>244631</v>
      </c>
      <c r="D6" s="48" t="s">
        <v>74</v>
      </c>
      <c r="E6" s="48" t="s">
        <v>75</v>
      </c>
      <c r="F6" s="49">
        <v>2</v>
      </c>
      <c r="G6" s="66" t="s">
        <v>72</v>
      </c>
      <c r="H6" s="67"/>
      <c r="I6" s="67"/>
      <c r="J6" s="67" t="s">
        <v>403</v>
      </c>
      <c r="K6" s="44"/>
    </row>
    <row r="7" spans="1:11" ht="27.75" customHeight="1">
      <c r="A7" s="41">
        <v>4</v>
      </c>
      <c r="B7" s="66" t="s">
        <v>94</v>
      </c>
      <c r="C7" s="66" t="s">
        <v>95</v>
      </c>
      <c r="D7" s="48" t="s">
        <v>92</v>
      </c>
      <c r="E7" s="48" t="s">
        <v>76</v>
      </c>
      <c r="F7" s="49">
        <v>4</v>
      </c>
      <c r="G7" s="66" t="s">
        <v>72</v>
      </c>
      <c r="H7" s="67"/>
      <c r="I7" s="67"/>
      <c r="J7" s="67"/>
      <c r="K7" s="44"/>
    </row>
    <row r="8" spans="1:11" ht="27.75" customHeight="1">
      <c r="A8" s="41">
        <v>5</v>
      </c>
      <c r="B8" s="66" t="s">
        <v>94</v>
      </c>
      <c r="C8" s="66" t="s">
        <v>95</v>
      </c>
      <c r="D8" s="48" t="s">
        <v>93</v>
      </c>
      <c r="E8" s="48" t="s">
        <v>77</v>
      </c>
      <c r="F8" s="49">
        <v>4</v>
      </c>
      <c r="G8" s="66" t="s">
        <v>72</v>
      </c>
      <c r="H8" s="67"/>
      <c r="I8" s="67"/>
      <c r="J8" s="67"/>
      <c r="K8" s="44"/>
    </row>
    <row r="9" spans="1:11" ht="27.75" customHeight="1">
      <c r="A9" s="41">
        <v>6</v>
      </c>
      <c r="B9" s="66" t="s">
        <v>94</v>
      </c>
      <c r="C9" s="66" t="s">
        <v>96</v>
      </c>
      <c r="D9" s="48" t="s">
        <v>78</v>
      </c>
      <c r="E9" s="48" t="s">
        <v>77</v>
      </c>
      <c r="F9" s="49">
        <v>32</v>
      </c>
      <c r="G9" s="66" t="s">
        <v>72</v>
      </c>
      <c r="H9" s="67"/>
      <c r="I9" s="67"/>
      <c r="J9" s="67"/>
      <c r="K9" s="44"/>
    </row>
    <row r="10" spans="1:11" ht="27.75" customHeight="1">
      <c r="A10" s="41">
        <v>7</v>
      </c>
      <c r="B10" s="66" t="s">
        <v>94</v>
      </c>
      <c r="C10" s="66" t="s">
        <v>94</v>
      </c>
      <c r="D10" s="48" t="s">
        <v>79</v>
      </c>
      <c r="E10" s="48" t="s">
        <v>67</v>
      </c>
      <c r="F10" s="49">
        <v>12</v>
      </c>
      <c r="G10" s="66" t="s">
        <v>70</v>
      </c>
      <c r="H10" s="67"/>
      <c r="I10" s="67"/>
      <c r="J10" s="67"/>
      <c r="K10" s="44"/>
    </row>
    <row r="11" spans="1:11" ht="27.75" customHeight="1">
      <c r="A11" s="41">
        <v>8</v>
      </c>
      <c r="B11" s="66" t="s">
        <v>94</v>
      </c>
      <c r="C11" s="66" t="s">
        <v>97</v>
      </c>
      <c r="D11" s="48" t="s">
        <v>98</v>
      </c>
      <c r="E11" s="48" t="s">
        <v>99</v>
      </c>
      <c r="F11" s="49">
        <v>2</v>
      </c>
      <c r="G11" s="66" t="s">
        <v>398</v>
      </c>
      <c r="H11" s="67"/>
      <c r="I11" s="67"/>
      <c r="J11" s="67"/>
      <c r="K11" s="44"/>
    </row>
    <row r="12" spans="1:11" ht="27.75" customHeight="1">
      <c r="A12" s="41">
        <v>9</v>
      </c>
      <c r="B12" s="66" t="s">
        <v>94</v>
      </c>
      <c r="C12" s="66" t="s">
        <v>100</v>
      </c>
      <c r="D12" s="48" t="s">
        <v>101</v>
      </c>
      <c r="E12" s="48" t="s">
        <v>102</v>
      </c>
      <c r="F12" s="49">
        <v>1</v>
      </c>
      <c r="G12" s="66" t="s">
        <v>398</v>
      </c>
      <c r="H12" s="67"/>
      <c r="I12" s="67"/>
      <c r="J12" s="67" t="s">
        <v>403</v>
      </c>
      <c r="K12" s="44"/>
    </row>
    <row r="13" spans="1:11" ht="27.75" customHeight="1">
      <c r="A13" s="41">
        <v>10</v>
      </c>
      <c r="B13" s="66" t="s">
        <v>94</v>
      </c>
      <c r="C13" s="66" t="s">
        <v>100</v>
      </c>
      <c r="D13" s="48" t="s">
        <v>103</v>
      </c>
      <c r="E13" s="48" t="s">
        <v>104</v>
      </c>
      <c r="F13" s="49">
        <v>1</v>
      </c>
      <c r="G13" s="66" t="s">
        <v>398</v>
      </c>
      <c r="H13" s="67"/>
      <c r="I13" s="67"/>
      <c r="J13" s="67"/>
      <c r="K13" s="44"/>
    </row>
    <row r="14" spans="1:11" ht="27.75" customHeight="1">
      <c r="A14" s="41">
        <v>11</v>
      </c>
      <c r="B14" s="66" t="s">
        <v>94</v>
      </c>
      <c r="C14" s="66" t="s">
        <v>100</v>
      </c>
      <c r="D14" s="48" t="s">
        <v>105</v>
      </c>
      <c r="E14" s="48" t="s">
        <v>106</v>
      </c>
      <c r="F14" s="49">
        <v>2</v>
      </c>
      <c r="G14" s="66" t="s">
        <v>398</v>
      </c>
      <c r="H14" s="67"/>
      <c r="I14" s="67"/>
      <c r="J14" s="67"/>
      <c r="K14" s="44"/>
    </row>
    <row r="15" spans="1:11" ht="27.75" customHeight="1">
      <c r="A15" s="41">
        <v>12</v>
      </c>
      <c r="B15" s="66" t="s">
        <v>94</v>
      </c>
      <c r="C15" s="66" t="s">
        <v>100</v>
      </c>
      <c r="D15" s="48" t="s">
        <v>107</v>
      </c>
      <c r="E15" s="48" t="s">
        <v>108</v>
      </c>
      <c r="F15" s="49">
        <v>2</v>
      </c>
      <c r="G15" s="66" t="s">
        <v>398</v>
      </c>
      <c r="H15" s="67"/>
      <c r="I15" s="67"/>
      <c r="J15" s="67"/>
      <c r="K15" s="44"/>
    </row>
    <row r="16" spans="1:11" ht="27.75" customHeight="1">
      <c r="A16" s="41">
        <v>13</v>
      </c>
      <c r="B16" s="66" t="s">
        <v>94</v>
      </c>
      <c r="C16" s="66" t="s">
        <v>100</v>
      </c>
      <c r="D16" s="48" t="s">
        <v>109</v>
      </c>
      <c r="E16" s="48" t="s">
        <v>110</v>
      </c>
      <c r="F16" s="49">
        <v>1</v>
      </c>
      <c r="G16" s="66" t="s">
        <v>398</v>
      </c>
      <c r="H16" s="67"/>
      <c r="I16" s="67"/>
      <c r="J16" s="67" t="s">
        <v>408</v>
      </c>
      <c r="K16" s="44"/>
    </row>
    <row r="17" spans="1:11" ht="27.75" customHeight="1">
      <c r="A17" s="41">
        <v>14</v>
      </c>
      <c r="B17" s="66" t="s">
        <v>94</v>
      </c>
      <c r="C17" s="66" t="s">
        <v>100</v>
      </c>
      <c r="D17" s="48" t="s">
        <v>111</v>
      </c>
      <c r="E17" s="48" t="s">
        <v>112</v>
      </c>
      <c r="F17" s="49">
        <v>1</v>
      </c>
      <c r="G17" s="66" t="s">
        <v>398</v>
      </c>
      <c r="H17" s="67"/>
      <c r="I17" s="67"/>
      <c r="J17" s="67"/>
      <c r="K17" s="44"/>
    </row>
    <row r="18" spans="1:11" ht="27.75" customHeight="1">
      <c r="A18" s="41">
        <v>15</v>
      </c>
      <c r="B18" s="66" t="s">
        <v>94</v>
      </c>
      <c r="C18" s="66" t="s">
        <v>100</v>
      </c>
      <c r="D18" s="48" t="s">
        <v>113</v>
      </c>
      <c r="E18" s="48" t="s">
        <v>114</v>
      </c>
      <c r="F18" s="49">
        <v>1</v>
      </c>
      <c r="G18" s="66" t="s">
        <v>398</v>
      </c>
      <c r="H18" s="67"/>
      <c r="I18" s="67"/>
      <c r="J18" s="67"/>
      <c r="K18" s="44"/>
    </row>
    <row r="19" spans="1:11" ht="27.75" customHeight="1">
      <c r="A19" s="41">
        <v>16</v>
      </c>
      <c r="B19" s="66" t="s">
        <v>94</v>
      </c>
      <c r="C19" s="66" t="s">
        <v>100</v>
      </c>
      <c r="D19" s="48" t="s">
        <v>115</v>
      </c>
      <c r="E19" s="48" t="s">
        <v>116</v>
      </c>
      <c r="F19" s="49">
        <v>2</v>
      </c>
      <c r="G19" s="66" t="s">
        <v>398</v>
      </c>
      <c r="H19" s="67"/>
      <c r="I19" s="67"/>
      <c r="J19" s="67"/>
      <c r="K19" s="44"/>
    </row>
    <row r="20" spans="1:11" ht="27.75" customHeight="1">
      <c r="A20" s="41">
        <v>17</v>
      </c>
      <c r="B20" s="66" t="s">
        <v>94</v>
      </c>
      <c r="C20" s="66" t="s">
        <v>100</v>
      </c>
      <c r="D20" s="48" t="s">
        <v>117</v>
      </c>
      <c r="E20" s="48" t="s">
        <v>118</v>
      </c>
      <c r="F20" s="49">
        <v>1</v>
      </c>
      <c r="G20" s="66" t="s">
        <v>398</v>
      </c>
      <c r="H20" s="67"/>
      <c r="I20" s="67"/>
      <c r="J20" s="67"/>
      <c r="K20" s="44"/>
    </row>
    <row r="21" spans="1:11" ht="27.75" customHeight="1">
      <c r="A21" s="41">
        <v>18</v>
      </c>
      <c r="B21" s="66" t="s">
        <v>94</v>
      </c>
      <c r="C21" s="66" t="s">
        <v>100</v>
      </c>
      <c r="D21" s="48" t="s">
        <v>119</v>
      </c>
      <c r="E21" s="48" t="s">
        <v>120</v>
      </c>
      <c r="F21" s="49">
        <v>1</v>
      </c>
      <c r="G21" s="66" t="s">
        <v>398</v>
      </c>
      <c r="H21" s="67"/>
      <c r="I21" s="67"/>
      <c r="J21" s="67" t="s">
        <v>403</v>
      </c>
      <c r="K21" s="44"/>
    </row>
    <row r="22" spans="1:11" ht="27.75" customHeight="1">
      <c r="A22" s="41">
        <v>19</v>
      </c>
      <c r="B22" s="66" t="s">
        <v>94</v>
      </c>
      <c r="C22" s="66" t="s">
        <v>100</v>
      </c>
      <c r="D22" s="48" t="s">
        <v>121</v>
      </c>
      <c r="E22" s="48" t="s">
        <v>122</v>
      </c>
      <c r="F22" s="49">
        <v>2</v>
      </c>
      <c r="G22" s="66" t="s">
        <v>398</v>
      </c>
      <c r="H22" s="67"/>
      <c r="I22" s="67"/>
      <c r="J22" s="67" t="s">
        <v>403</v>
      </c>
      <c r="K22" s="44"/>
    </row>
    <row r="23" spans="1:11" ht="27.75" customHeight="1">
      <c r="A23" s="41">
        <v>20</v>
      </c>
      <c r="B23" s="66" t="s">
        <v>94</v>
      </c>
      <c r="C23" s="66" t="s">
        <v>100</v>
      </c>
      <c r="D23" s="48" t="s">
        <v>123</v>
      </c>
      <c r="E23" s="48" t="s">
        <v>124</v>
      </c>
      <c r="F23" s="49">
        <v>1</v>
      </c>
      <c r="G23" s="66" t="s">
        <v>398</v>
      </c>
      <c r="H23" s="67"/>
      <c r="I23" s="67"/>
      <c r="J23" s="67"/>
      <c r="K23" s="44"/>
    </row>
    <row r="24" spans="1:11" ht="27.75" customHeight="1">
      <c r="A24" s="41">
        <v>21</v>
      </c>
      <c r="B24" s="66" t="s">
        <v>94</v>
      </c>
      <c r="C24" s="66" t="s">
        <v>100</v>
      </c>
      <c r="D24" s="48" t="s">
        <v>125</v>
      </c>
      <c r="E24" s="48" t="s">
        <v>126</v>
      </c>
      <c r="F24" s="49">
        <v>1</v>
      </c>
      <c r="G24" s="66" t="s">
        <v>398</v>
      </c>
      <c r="H24" s="67"/>
      <c r="I24" s="67"/>
      <c r="J24" s="67" t="s">
        <v>408</v>
      </c>
      <c r="K24" s="44"/>
    </row>
    <row r="25" spans="1:11" ht="27.75" customHeight="1">
      <c r="A25" s="41">
        <v>22</v>
      </c>
      <c r="B25" s="66" t="s">
        <v>94</v>
      </c>
      <c r="C25" s="66" t="s">
        <v>100</v>
      </c>
      <c r="D25" s="48" t="s">
        <v>127</v>
      </c>
      <c r="E25" s="48" t="s">
        <v>128</v>
      </c>
      <c r="F25" s="49">
        <v>1</v>
      </c>
      <c r="G25" s="66" t="s">
        <v>398</v>
      </c>
      <c r="H25" s="67"/>
      <c r="I25" s="67"/>
      <c r="J25" s="67" t="s">
        <v>403</v>
      </c>
      <c r="K25" s="44"/>
    </row>
    <row r="26" spans="1:11" ht="27.75" customHeight="1">
      <c r="A26" s="41">
        <v>23</v>
      </c>
      <c r="B26" s="66" t="s">
        <v>94</v>
      </c>
      <c r="C26" s="66" t="s">
        <v>100</v>
      </c>
      <c r="D26" s="48" t="s">
        <v>129</v>
      </c>
      <c r="E26" s="48" t="s">
        <v>130</v>
      </c>
      <c r="F26" s="49">
        <v>1</v>
      </c>
      <c r="G26" s="66" t="s">
        <v>398</v>
      </c>
      <c r="H26" s="67"/>
      <c r="I26" s="67"/>
      <c r="J26" s="67"/>
      <c r="K26" s="44"/>
    </row>
    <row r="27" spans="1:11" ht="27.75" customHeight="1">
      <c r="A27" s="41">
        <v>24</v>
      </c>
      <c r="B27" s="66" t="s">
        <v>94</v>
      </c>
      <c r="C27" s="66" t="s">
        <v>100</v>
      </c>
      <c r="D27" s="48" t="s">
        <v>131</v>
      </c>
      <c r="E27" s="48" t="s">
        <v>102</v>
      </c>
      <c r="F27" s="49">
        <v>1</v>
      </c>
      <c r="G27" s="66" t="s">
        <v>398</v>
      </c>
      <c r="H27" s="67"/>
      <c r="I27" s="67"/>
      <c r="J27" s="67" t="s">
        <v>403</v>
      </c>
      <c r="K27" s="44"/>
    </row>
    <row r="28" spans="1:11" ht="27.75" customHeight="1">
      <c r="A28" s="41">
        <v>25</v>
      </c>
      <c r="B28" s="66" t="s">
        <v>94</v>
      </c>
      <c r="C28" s="66" t="s">
        <v>100</v>
      </c>
      <c r="D28" s="48" t="s">
        <v>132</v>
      </c>
      <c r="E28" s="48" t="s">
        <v>104</v>
      </c>
      <c r="F28" s="49">
        <v>1</v>
      </c>
      <c r="G28" s="66" t="s">
        <v>398</v>
      </c>
      <c r="H28" s="67"/>
      <c r="I28" s="67"/>
      <c r="J28" s="67"/>
      <c r="K28" s="44"/>
    </row>
    <row r="29" spans="1:11" ht="27.75" customHeight="1">
      <c r="A29" s="41">
        <v>26</v>
      </c>
      <c r="B29" s="66" t="s">
        <v>94</v>
      </c>
      <c r="C29" s="66" t="s">
        <v>100</v>
      </c>
      <c r="D29" s="48" t="s">
        <v>133</v>
      </c>
      <c r="E29" s="48" t="s">
        <v>106</v>
      </c>
      <c r="F29" s="49">
        <v>2</v>
      </c>
      <c r="G29" s="66" t="s">
        <v>398</v>
      </c>
      <c r="H29" s="67"/>
      <c r="I29" s="67"/>
      <c r="J29" s="67"/>
      <c r="K29" s="44"/>
    </row>
    <row r="30" spans="1:11" ht="27.75" customHeight="1">
      <c r="A30" s="41">
        <v>27</v>
      </c>
      <c r="B30" s="66" t="s">
        <v>94</v>
      </c>
      <c r="C30" s="66" t="s">
        <v>100</v>
      </c>
      <c r="D30" s="48" t="s">
        <v>134</v>
      </c>
      <c r="E30" s="48" t="s">
        <v>108</v>
      </c>
      <c r="F30" s="49">
        <v>2</v>
      </c>
      <c r="G30" s="66" t="s">
        <v>398</v>
      </c>
      <c r="H30" s="67"/>
      <c r="I30" s="67"/>
      <c r="J30" s="67"/>
      <c r="K30" s="44"/>
    </row>
    <row r="31" spans="1:11" ht="27.75" customHeight="1">
      <c r="A31" s="41">
        <v>28</v>
      </c>
      <c r="B31" s="66" t="s">
        <v>94</v>
      </c>
      <c r="C31" s="66" t="s">
        <v>100</v>
      </c>
      <c r="D31" s="48" t="s">
        <v>135</v>
      </c>
      <c r="E31" s="48" t="s">
        <v>110</v>
      </c>
      <c r="F31" s="49">
        <v>1</v>
      </c>
      <c r="G31" s="66" t="s">
        <v>398</v>
      </c>
      <c r="H31" s="67"/>
      <c r="I31" s="67"/>
      <c r="J31" s="67" t="s">
        <v>408</v>
      </c>
      <c r="K31" s="68"/>
    </row>
    <row r="32" spans="1:11" ht="27.75" customHeight="1">
      <c r="A32" s="41">
        <v>29</v>
      </c>
      <c r="B32" s="66" t="s">
        <v>94</v>
      </c>
      <c r="C32" s="66" t="s">
        <v>100</v>
      </c>
      <c r="D32" s="48" t="s">
        <v>136</v>
      </c>
      <c r="E32" s="48" t="s">
        <v>112</v>
      </c>
      <c r="F32" s="49">
        <v>1</v>
      </c>
      <c r="G32" s="66" t="s">
        <v>398</v>
      </c>
      <c r="H32" s="67"/>
      <c r="I32" s="67"/>
      <c r="J32" s="67"/>
      <c r="K32" s="44"/>
    </row>
    <row r="33" spans="1:11" ht="27.75" customHeight="1">
      <c r="A33" s="41">
        <v>30</v>
      </c>
      <c r="B33" s="66" t="s">
        <v>94</v>
      </c>
      <c r="C33" s="66" t="s">
        <v>100</v>
      </c>
      <c r="D33" s="48" t="s">
        <v>137</v>
      </c>
      <c r="E33" s="48" t="s">
        <v>114</v>
      </c>
      <c r="F33" s="49">
        <v>1</v>
      </c>
      <c r="G33" s="66" t="s">
        <v>398</v>
      </c>
      <c r="H33" s="67"/>
      <c r="I33" s="67"/>
      <c r="J33" s="67"/>
      <c r="K33" s="44"/>
    </row>
    <row r="34" spans="1:11" ht="27.75" customHeight="1">
      <c r="A34" s="41">
        <v>31</v>
      </c>
      <c r="B34" s="66" t="s">
        <v>94</v>
      </c>
      <c r="C34" s="66" t="s">
        <v>100</v>
      </c>
      <c r="D34" s="48" t="s">
        <v>138</v>
      </c>
      <c r="E34" s="48" t="s">
        <v>116</v>
      </c>
      <c r="F34" s="49">
        <v>2</v>
      </c>
      <c r="G34" s="66" t="s">
        <v>398</v>
      </c>
      <c r="H34" s="78"/>
      <c r="I34" s="78"/>
      <c r="J34" s="67"/>
      <c r="K34" s="44"/>
    </row>
    <row r="35" spans="1:11" ht="27.75" customHeight="1">
      <c r="A35" s="41">
        <v>32</v>
      </c>
      <c r="B35" s="66" t="s">
        <v>94</v>
      </c>
      <c r="C35" s="66" t="s">
        <v>100</v>
      </c>
      <c r="D35" s="48" t="s">
        <v>139</v>
      </c>
      <c r="E35" s="48" t="s">
        <v>118</v>
      </c>
      <c r="F35" s="49">
        <v>1</v>
      </c>
      <c r="G35" s="66" t="s">
        <v>398</v>
      </c>
      <c r="H35" s="67"/>
      <c r="I35" s="67"/>
      <c r="J35" s="67"/>
      <c r="K35" s="44"/>
    </row>
    <row r="36" spans="1:11" ht="27.75" customHeight="1">
      <c r="A36" s="41">
        <v>33</v>
      </c>
      <c r="B36" s="66" t="s">
        <v>94</v>
      </c>
      <c r="C36" s="66" t="s">
        <v>100</v>
      </c>
      <c r="D36" s="48" t="s">
        <v>140</v>
      </c>
      <c r="E36" s="48" t="s">
        <v>120</v>
      </c>
      <c r="F36" s="49">
        <v>1</v>
      </c>
      <c r="G36" s="66" t="s">
        <v>398</v>
      </c>
      <c r="H36" s="67"/>
      <c r="I36" s="67"/>
      <c r="J36" s="67" t="s">
        <v>403</v>
      </c>
      <c r="K36" s="44"/>
    </row>
    <row r="37" spans="1:11" ht="27.75" customHeight="1">
      <c r="A37" s="41">
        <v>34</v>
      </c>
      <c r="B37" s="66" t="s">
        <v>94</v>
      </c>
      <c r="C37" s="66" t="s">
        <v>100</v>
      </c>
      <c r="D37" s="48" t="s">
        <v>141</v>
      </c>
      <c r="E37" s="48" t="s">
        <v>122</v>
      </c>
      <c r="F37" s="49">
        <v>2</v>
      </c>
      <c r="G37" s="66" t="s">
        <v>398</v>
      </c>
      <c r="H37" s="67"/>
      <c r="I37" s="67"/>
      <c r="J37" s="67" t="s">
        <v>403</v>
      </c>
      <c r="K37" s="44"/>
    </row>
    <row r="38" spans="1:11" ht="27.75" customHeight="1">
      <c r="A38" s="41">
        <v>35</v>
      </c>
      <c r="B38" s="66" t="s">
        <v>94</v>
      </c>
      <c r="C38" s="66" t="s">
        <v>100</v>
      </c>
      <c r="D38" s="48" t="s">
        <v>142</v>
      </c>
      <c r="E38" s="48" t="s">
        <v>124</v>
      </c>
      <c r="F38" s="49">
        <v>1</v>
      </c>
      <c r="G38" s="66" t="s">
        <v>398</v>
      </c>
      <c r="H38" s="67"/>
      <c r="I38" s="67"/>
      <c r="J38" s="67"/>
      <c r="K38" s="44"/>
    </row>
    <row r="39" spans="1:11" ht="27.75" customHeight="1">
      <c r="A39" s="41">
        <v>36</v>
      </c>
      <c r="B39" s="66" t="s">
        <v>94</v>
      </c>
      <c r="C39" s="66" t="s">
        <v>100</v>
      </c>
      <c r="D39" s="48" t="s">
        <v>143</v>
      </c>
      <c r="E39" s="48" t="s">
        <v>126</v>
      </c>
      <c r="F39" s="49">
        <v>1</v>
      </c>
      <c r="G39" s="66" t="s">
        <v>398</v>
      </c>
      <c r="H39" s="67"/>
      <c r="I39" s="67"/>
      <c r="J39" s="67" t="s">
        <v>408</v>
      </c>
      <c r="K39" s="68"/>
    </row>
    <row r="40" spans="1:11" ht="27.75" customHeight="1">
      <c r="A40" s="41">
        <v>37</v>
      </c>
      <c r="B40" s="66" t="s">
        <v>94</v>
      </c>
      <c r="C40" s="66" t="s">
        <v>100</v>
      </c>
      <c r="D40" s="48" t="s">
        <v>144</v>
      </c>
      <c r="E40" s="48" t="s">
        <v>128</v>
      </c>
      <c r="F40" s="49">
        <v>1</v>
      </c>
      <c r="G40" s="66" t="s">
        <v>398</v>
      </c>
      <c r="H40" s="67"/>
      <c r="I40" s="67"/>
      <c r="J40" s="67" t="s">
        <v>403</v>
      </c>
      <c r="K40" s="44"/>
    </row>
    <row r="41" spans="1:11" ht="27.75" customHeight="1">
      <c r="A41" s="41">
        <v>38</v>
      </c>
      <c r="B41" s="66" t="s">
        <v>94</v>
      </c>
      <c r="C41" s="66" t="s">
        <v>100</v>
      </c>
      <c r="D41" s="48" t="s">
        <v>145</v>
      </c>
      <c r="E41" s="48" t="s">
        <v>146</v>
      </c>
      <c r="F41" s="49">
        <v>1</v>
      </c>
      <c r="G41" s="66" t="s">
        <v>398</v>
      </c>
      <c r="H41" s="67"/>
      <c r="I41" s="67"/>
      <c r="J41" s="67"/>
      <c r="K41" s="68"/>
    </row>
    <row r="42" spans="1:11" ht="27.75" customHeight="1">
      <c r="A42" s="41">
        <v>39</v>
      </c>
      <c r="B42" s="66" t="s">
        <v>94</v>
      </c>
      <c r="C42" s="66" t="s">
        <v>100</v>
      </c>
      <c r="D42" s="48" t="s">
        <v>147</v>
      </c>
      <c r="E42" s="48" t="s">
        <v>102</v>
      </c>
      <c r="F42" s="49">
        <v>1</v>
      </c>
      <c r="G42" s="66" t="s">
        <v>398</v>
      </c>
      <c r="H42" s="67"/>
      <c r="I42" s="67"/>
      <c r="J42" s="67" t="s">
        <v>403</v>
      </c>
      <c r="K42" s="44"/>
    </row>
    <row r="43" spans="1:11" ht="27.75" customHeight="1">
      <c r="A43" s="41">
        <v>40</v>
      </c>
      <c r="B43" s="66" t="s">
        <v>94</v>
      </c>
      <c r="C43" s="66" t="s">
        <v>100</v>
      </c>
      <c r="D43" s="48" t="s">
        <v>148</v>
      </c>
      <c r="E43" s="48" t="s">
        <v>104</v>
      </c>
      <c r="F43" s="49">
        <v>1</v>
      </c>
      <c r="G43" s="66" t="s">
        <v>398</v>
      </c>
      <c r="H43" s="67"/>
      <c r="I43" s="67"/>
      <c r="J43" s="67"/>
      <c r="K43" s="44"/>
    </row>
    <row r="44" spans="1:11" ht="27.75" customHeight="1">
      <c r="A44" s="41">
        <v>41</v>
      </c>
      <c r="B44" s="66" t="s">
        <v>94</v>
      </c>
      <c r="C44" s="66" t="s">
        <v>100</v>
      </c>
      <c r="D44" s="48" t="s">
        <v>149</v>
      </c>
      <c r="E44" s="48" t="s">
        <v>106</v>
      </c>
      <c r="F44" s="49">
        <v>2</v>
      </c>
      <c r="G44" s="66" t="s">
        <v>398</v>
      </c>
      <c r="H44" s="67"/>
      <c r="I44" s="67"/>
      <c r="J44" s="67"/>
      <c r="K44" s="44"/>
    </row>
    <row r="45" spans="1:11" ht="27.75" customHeight="1">
      <c r="A45" s="41">
        <v>42</v>
      </c>
      <c r="B45" s="66" t="s">
        <v>94</v>
      </c>
      <c r="C45" s="66" t="s">
        <v>100</v>
      </c>
      <c r="D45" s="48" t="s">
        <v>150</v>
      </c>
      <c r="E45" s="48" t="s">
        <v>108</v>
      </c>
      <c r="F45" s="49">
        <v>2</v>
      </c>
      <c r="G45" s="66" t="s">
        <v>398</v>
      </c>
      <c r="H45" s="67"/>
      <c r="I45" s="67"/>
      <c r="J45" s="67"/>
      <c r="K45" s="44"/>
    </row>
    <row r="46" spans="1:11" ht="27.75" customHeight="1">
      <c r="A46" s="41">
        <v>43</v>
      </c>
      <c r="B46" s="66" t="s">
        <v>94</v>
      </c>
      <c r="C46" s="66" t="s">
        <v>100</v>
      </c>
      <c r="D46" s="48" t="s">
        <v>151</v>
      </c>
      <c r="E46" s="48" t="s">
        <v>110</v>
      </c>
      <c r="F46" s="49">
        <v>1</v>
      </c>
      <c r="G46" s="66" t="s">
        <v>398</v>
      </c>
      <c r="H46" s="67"/>
      <c r="I46" s="67"/>
      <c r="J46" s="67" t="s">
        <v>408</v>
      </c>
      <c r="K46" s="44"/>
    </row>
    <row r="47" spans="1:11" ht="27.75" customHeight="1">
      <c r="A47" s="41">
        <v>44</v>
      </c>
      <c r="B47" s="66" t="s">
        <v>94</v>
      </c>
      <c r="C47" s="66" t="s">
        <v>100</v>
      </c>
      <c r="D47" s="48" t="s">
        <v>152</v>
      </c>
      <c r="E47" s="48" t="s">
        <v>112</v>
      </c>
      <c r="F47" s="49">
        <v>1</v>
      </c>
      <c r="G47" s="66" t="s">
        <v>398</v>
      </c>
      <c r="H47" s="67"/>
      <c r="I47" s="67"/>
      <c r="J47" s="67"/>
      <c r="K47" s="44"/>
    </row>
    <row r="48" spans="1:11" ht="27.75" customHeight="1">
      <c r="A48" s="41">
        <v>45</v>
      </c>
      <c r="B48" s="66" t="s">
        <v>94</v>
      </c>
      <c r="C48" s="66" t="s">
        <v>100</v>
      </c>
      <c r="D48" s="48" t="s">
        <v>153</v>
      </c>
      <c r="E48" s="48" t="s">
        <v>114</v>
      </c>
      <c r="F48" s="49">
        <v>1</v>
      </c>
      <c r="G48" s="66" t="s">
        <v>398</v>
      </c>
      <c r="H48" s="67"/>
      <c r="I48" s="67"/>
      <c r="J48" s="67"/>
      <c r="K48" s="44"/>
    </row>
    <row r="49" spans="1:11" ht="27.75" customHeight="1">
      <c r="A49" s="41">
        <v>46</v>
      </c>
      <c r="B49" s="66" t="s">
        <v>94</v>
      </c>
      <c r="C49" s="66" t="s">
        <v>100</v>
      </c>
      <c r="D49" s="48" t="s">
        <v>154</v>
      </c>
      <c r="E49" s="48" t="s">
        <v>116</v>
      </c>
      <c r="F49" s="49">
        <v>2</v>
      </c>
      <c r="G49" s="66" t="s">
        <v>398</v>
      </c>
      <c r="H49" s="67"/>
      <c r="I49" s="67"/>
      <c r="J49" s="67"/>
      <c r="K49" s="44"/>
    </row>
    <row r="50" spans="1:11" ht="27.75" customHeight="1">
      <c r="A50" s="41">
        <v>47</v>
      </c>
      <c r="B50" s="66" t="s">
        <v>94</v>
      </c>
      <c r="C50" s="66" t="s">
        <v>100</v>
      </c>
      <c r="D50" s="48" t="s">
        <v>155</v>
      </c>
      <c r="E50" s="48" t="s">
        <v>118</v>
      </c>
      <c r="F50" s="49">
        <v>1</v>
      </c>
      <c r="G50" s="66" t="s">
        <v>398</v>
      </c>
      <c r="H50" s="67"/>
      <c r="I50" s="67"/>
      <c r="J50" s="67"/>
      <c r="K50" s="44"/>
    </row>
    <row r="51" spans="1:11" ht="27.75" customHeight="1">
      <c r="A51" s="41">
        <v>48</v>
      </c>
      <c r="B51" s="66" t="s">
        <v>94</v>
      </c>
      <c r="C51" s="66" t="s">
        <v>100</v>
      </c>
      <c r="D51" s="48" t="s">
        <v>156</v>
      </c>
      <c r="E51" s="48" t="s">
        <v>120</v>
      </c>
      <c r="F51" s="49">
        <v>1</v>
      </c>
      <c r="G51" s="66" t="s">
        <v>398</v>
      </c>
      <c r="H51" s="67"/>
      <c r="I51" s="67"/>
      <c r="J51" s="67" t="s">
        <v>403</v>
      </c>
      <c r="K51" s="44"/>
    </row>
    <row r="52" spans="1:11" ht="27.75" customHeight="1">
      <c r="A52" s="41">
        <v>49</v>
      </c>
      <c r="B52" s="66" t="s">
        <v>94</v>
      </c>
      <c r="C52" s="66" t="s">
        <v>100</v>
      </c>
      <c r="D52" s="48" t="s">
        <v>157</v>
      </c>
      <c r="E52" s="48" t="s">
        <v>122</v>
      </c>
      <c r="F52" s="49">
        <v>2</v>
      </c>
      <c r="G52" s="66" t="s">
        <v>398</v>
      </c>
      <c r="H52" s="67"/>
      <c r="I52" s="67"/>
      <c r="J52" s="67" t="s">
        <v>403</v>
      </c>
      <c r="K52" s="44"/>
    </row>
    <row r="53" spans="1:11" ht="27.75" customHeight="1">
      <c r="A53" s="41">
        <v>50</v>
      </c>
      <c r="B53" s="66" t="s">
        <v>94</v>
      </c>
      <c r="C53" s="66" t="s">
        <v>100</v>
      </c>
      <c r="D53" s="48" t="s">
        <v>158</v>
      </c>
      <c r="E53" s="48" t="s">
        <v>124</v>
      </c>
      <c r="F53" s="49">
        <v>1</v>
      </c>
      <c r="G53" s="66" t="s">
        <v>398</v>
      </c>
      <c r="H53" s="67"/>
      <c r="I53" s="67"/>
      <c r="J53" s="67"/>
      <c r="K53" s="44"/>
    </row>
    <row r="54" spans="1:11" ht="27.75" customHeight="1">
      <c r="A54" s="41">
        <v>51</v>
      </c>
      <c r="B54" s="66" t="s">
        <v>94</v>
      </c>
      <c r="C54" s="66" t="s">
        <v>100</v>
      </c>
      <c r="D54" s="48" t="s">
        <v>159</v>
      </c>
      <c r="E54" s="48" t="s">
        <v>126</v>
      </c>
      <c r="F54" s="49">
        <v>1</v>
      </c>
      <c r="G54" s="66" t="s">
        <v>398</v>
      </c>
      <c r="H54" s="67"/>
      <c r="I54" s="67"/>
      <c r="J54" s="67" t="s">
        <v>408</v>
      </c>
      <c r="K54" s="44"/>
    </row>
    <row r="55" spans="1:11" ht="27.75" customHeight="1">
      <c r="A55" s="41">
        <v>52</v>
      </c>
      <c r="B55" s="66" t="s">
        <v>94</v>
      </c>
      <c r="C55" s="66" t="s">
        <v>100</v>
      </c>
      <c r="D55" s="48" t="s">
        <v>160</v>
      </c>
      <c r="E55" s="48" t="s">
        <v>128</v>
      </c>
      <c r="F55" s="49">
        <v>1</v>
      </c>
      <c r="G55" s="66" t="s">
        <v>398</v>
      </c>
      <c r="H55" s="67"/>
      <c r="I55" s="67"/>
      <c r="J55" s="67" t="s">
        <v>403</v>
      </c>
      <c r="K55" s="44"/>
    </row>
    <row r="56" spans="1:11" ht="27.75" customHeight="1">
      <c r="A56" s="41">
        <v>53</v>
      </c>
      <c r="B56" s="66" t="s">
        <v>94</v>
      </c>
      <c r="C56" s="66" t="s">
        <v>100</v>
      </c>
      <c r="D56" s="48" t="s">
        <v>161</v>
      </c>
      <c r="E56" s="48" t="s">
        <v>162</v>
      </c>
      <c r="F56" s="49">
        <v>1</v>
      </c>
      <c r="G56" s="66" t="s">
        <v>398</v>
      </c>
      <c r="H56" s="67"/>
      <c r="I56" s="67"/>
      <c r="J56" s="67"/>
      <c r="K56" s="44"/>
    </row>
    <row r="57" spans="1:11" ht="27.75" customHeight="1">
      <c r="A57" s="41">
        <v>54</v>
      </c>
      <c r="B57" s="66" t="s">
        <v>94</v>
      </c>
      <c r="C57" s="66" t="s">
        <v>100</v>
      </c>
      <c r="D57" s="48" t="s">
        <v>163</v>
      </c>
      <c r="E57" s="48" t="s">
        <v>102</v>
      </c>
      <c r="F57" s="49">
        <v>1</v>
      </c>
      <c r="G57" s="66" t="s">
        <v>398</v>
      </c>
      <c r="H57" s="67"/>
      <c r="I57" s="67"/>
      <c r="J57" s="67" t="s">
        <v>403</v>
      </c>
      <c r="K57" s="44"/>
    </row>
    <row r="58" spans="1:11" ht="27.75" customHeight="1">
      <c r="A58" s="41">
        <v>55</v>
      </c>
      <c r="B58" s="66" t="s">
        <v>94</v>
      </c>
      <c r="C58" s="66" t="s">
        <v>100</v>
      </c>
      <c r="D58" s="48" t="s">
        <v>164</v>
      </c>
      <c r="E58" s="48" t="s">
        <v>104</v>
      </c>
      <c r="F58" s="49">
        <v>1</v>
      </c>
      <c r="G58" s="66" t="s">
        <v>398</v>
      </c>
      <c r="H58" s="67"/>
      <c r="I58" s="67"/>
      <c r="J58" s="67"/>
      <c r="K58" s="44"/>
    </row>
    <row r="59" spans="1:11" ht="27.75" customHeight="1">
      <c r="A59" s="41">
        <v>56</v>
      </c>
      <c r="B59" s="66" t="s">
        <v>94</v>
      </c>
      <c r="C59" s="66" t="s">
        <v>100</v>
      </c>
      <c r="D59" s="48" t="s">
        <v>165</v>
      </c>
      <c r="E59" s="48" t="s">
        <v>106</v>
      </c>
      <c r="F59" s="49">
        <v>2</v>
      </c>
      <c r="G59" s="66" t="s">
        <v>398</v>
      </c>
      <c r="H59" s="67"/>
      <c r="I59" s="67"/>
      <c r="J59" s="67"/>
      <c r="K59" s="44"/>
    </row>
    <row r="60" spans="1:11" ht="27.75" customHeight="1">
      <c r="A60" s="41">
        <v>57</v>
      </c>
      <c r="B60" s="66" t="s">
        <v>94</v>
      </c>
      <c r="C60" s="66" t="s">
        <v>100</v>
      </c>
      <c r="D60" s="48" t="s">
        <v>166</v>
      </c>
      <c r="E60" s="48" t="s">
        <v>108</v>
      </c>
      <c r="F60" s="49">
        <v>2</v>
      </c>
      <c r="G60" s="66" t="s">
        <v>398</v>
      </c>
      <c r="H60" s="67"/>
      <c r="I60" s="67"/>
      <c r="J60" s="67"/>
      <c r="K60" s="44"/>
    </row>
    <row r="61" spans="1:11" ht="27.75" customHeight="1">
      <c r="A61" s="41">
        <v>58</v>
      </c>
      <c r="B61" s="66" t="s">
        <v>94</v>
      </c>
      <c r="C61" s="66" t="s">
        <v>100</v>
      </c>
      <c r="D61" s="48" t="s">
        <v>167</v>
      </c>
      <c r="E61" s="48" t="s">
        <v>110</v>
      </c>
      <c r="F61" s="49">
        <v>1</v>
      </c>
      <c r="G61" s="66" t="s">
        <v>398</v>
      </c>
      <c r="H61" s="67"/>
      <c r="I61" s="67"/>
      <c r="J61" s="67" t="s">
        <v>408</v>
      </c>
      <c r="K61" s="44"/>
    </row>
    <row r="62" spans="1:11" ht="27.75" customHeight="1">
      <c r="A62" s="41">
        <v>59</v>
      </c>
      <c r="B62" s="66" t="s">
        <v>94</v>
      </c>
      <c r="C62" s="66" t="s">
        <v>100</v>
      </c>
      <c r="D62" s="48" t="s">
        <v>168</v>
      </c>
      <c r="E62" s="48" t="s">
        <v>112</v>
      </c>
      <c r="F62" s="49">
        <v>1</v>
      </c>
      <c r="G62" s="66" t="s">
        <v>398</v>
      </c>
      <c r="H62" s="67"/>
      <c r="I62" s="67"/>
      <c r="J62" s="67"/>
      <c r="K62" s="44"/>
    </row>
    <row r="63" spans="1:11" ht="27.75" customHeight="1">
      <c r="A63" s="41">
        <v>60</v>
      </c>
      <c r="B63" s="66" t="s">
        <v>94</v>
      </c>
      <c r="C63" s="66" t="s">
        <v>100</v>
      </c>
      <c r="D63" s="48" t="s">
        <v>169</v>
      </c>
      <c r="E63" s="48" t="s">
        <v>114</v>
      </c>
      <c r="F63" s="49">
        <v>1</v>
      </c>
      <c r="G63" s="66" t="s">
        <v>398</v>
      </c>
      <c r="H63" s="67"/>
      <c r="I63" s="67"/>
      <c r="J63" s="67"/>
      <c r="K63" s="44"/>
    </row>
    <row r="64" spans="1:11" ht="27.75" customHeight="1">
      <c r="A64" s="41">
        <v>61</v>
      </c>
      <c r="B64" s="66" t="s">
        <v>94</v>
      </c>
      <c r="C64" s="66" t="s">
        <v>100</v>
      </c>
      <c r="D64" s="48" t="s">
        <v>170</v>
      </c>
      <c r="E64" s="48" t="s">
        <v>116</v>
      </c>
      <c r="F64" s="49">
        <v>2</v>
      </c>
      <c r="G64" s="66" t="s">
        <v>398</v>
      </c>
      <c r="H64" s="67"/>
      <c r="I64" s="67"/>
      <c r="J64" s="67"/>
      <c r="K64" s="44"/>
    </row>
    <row r="65" spans="1:11" ht="27.75" customHeight="1">
      <c r="A65" s="41">
        <v>62</v>
      </c>
      <c r="B65" s="66" t="s">
        <v>94</v>
      </c>
      <c r="C65" s="66" t="s">
        <v>100</v>
      </c>
      <c r="D65" s="48" t="s">
        <v>171</v>
      </c>
      <c r="E65" s="48" t="s">
        <v>118</v>
      </c>
      <c r="F65" s="49">
        <v>1</v>
      </c>
      <c r="G65" s="66" t="s">
        <v>398</v>
      </c>
      <c r="H65" s="67"/>
      <c r="I65" s="67"/>
      <c r="J65" s="67"/>
      <c r="K65" s="44"/>
    </row>
    <row r="66" spans="1:11" ht="27.75" customHeight="1">
      <c r="A66" s="41">
        <v>63</v>
      </c>
      <c r="B66" s="66" t="s">
        <v>94</v>
      </c>
      <c r="C66" s="66" t="s">
        <v>100</v>
      </c>
      <c r="D66" s="48" t="s">
        <v>172</v>
      </c>
      <c r="E66" s="48" t="s">
        <v>120</v>
      </c>
      <c r="F66" s="49">
        <v>1</v>
      </c>
      <c r="G66" s="66" t="s">
        <v>398</v>
      </c>
      <c r="H66" s="67"/>
      <c r="I66" s="67"/>
      <c r="J66" s="67" t="s">
        <v>403</v>
      </c>
      <c r="K66" s="44"/>
    </row>
    <row r="67" spans="1:11" ht="27.75" customHeight="1">
      <c r="A67" s="41">
        <v>64</v>
      </c>
      <c r="B67" s="66" t="s">
        <v>94</v>
      </c>
      <c r="C67" s="66" t="s">
        <v>100</v>
      </c>
      <c r="D67" s="48" t="s">
        <v>173</v>
      </c>
      <c r="E67" s="48" t="s">
        <v>122</v>
      </c>
      <c r="F67" s="49">
        <v>2</v>
      </c>
      <c r="G67" s="66" t="s">
        <v>398</v>
      </c>
      <c r="H67" s="67"/>
      <c r="I67" s="67"/>
      <c r="J67" s="67" t="s">
        <v>403</v>
      </c>
      <c r="K67" s="44"/>
    </row>
    <row r="68" spans="1:11" ht="27.75" customHeight="1">
      <c r="A68" s="41">
        <v>65</v>
      </c>
      <c r="B68" s="66" t="s">
        <v>94</v>
      </c>
      <c r="C68" s="66" t="s">
        <v>100</v>
      </c>
      <c r="D68" s="48" t="s">
        <v>174</v>
      </c>
      <c r="E68" s="48" t="s">
        <v>124</v>
      </c>
      <c r="F68" s="49">
        <v>1</v>
      </c>
      <c r="G68" s="66" t="s">
        <v>398</v>
      </c>
      <c r="H68" s="67"/>
      <c r="I68" s="67"/>
      <c r="J68" s="67"/>
      <c r="K68" s="44"/>
    </row>
    <row r="69" spans="1:11" ht="27.75" customHeight="1">
      <c r="A69" s="41">
        <v>66</v>
      </c>
      <c r="B69" s="66" t="s">
        <v>94</v>
      </c>
      <c r="C69" s="66" t="s">
        <v>100</v>
      </c>
      <c r="D69" s="48" t="s">
        <v>175</v>
      </c>
      <c r="E69" s="48" t="s">
        <v>126</v>
      </c>
      <c r="F69" s="49">
        <v>1</v>
      </c>
      <c r="G69" s="66" t="s">
        <v>398</v>
      </c>
      <c r="H69" s="67"/>
      <c r="I69" s="67"/>
      <c r="J69" s="67" t="s">
        <v>408</v>
      </c>
      <c r="K69" s="69"/>
    </row>
    <row r="70" spans="1:11" ht="27.75" customHeight="1">
      <c r="A70" s="41">
        <v>67</v>
      </c>
      <c r="B70" s="66" t="s">
        <v>94</v>
      </c>
      <c r="C70" s="66" t="s">
        <v>100</v>
      </c>
      <c r="D70" s="48" t="s">
        <v>176</v>
      </c>
      <c r="E70" s="48" t="s">
        <v>128</v>
      </c>
      <c r="F70" s="49">
        <v>1</v>
      </c>
      <c r="G70" s="66" t="s">
        <v>398</v>
      </c>
      <c r="H70" s="67"/>
      <c r="I70" s="67"/>
      <c r="J70" s="67" t="s">
        <v>403</v>
      </c>
      <c r="K70" s="44"/>
    </row>
    <row r="71" spans="1:11" ht="27.75" customHeight="1">
      <c r="A71" s="41">
        <v>68</v>
      </c>
      <c r="B71" s="66" t="s">
        <v>94</v>
      </c>
      <c r="C71" s="66" t="s">
        <v>100</v>
      </c>
      <c r="D71" s="48" t="s">
        <v>177</v>
      </c>
      <c r="E71" s="48" t="s">
        <v>178</v>
      </c>
      <c r="F71" s="49">
        <v>1</v>
      </c>
      <c r="G71" s="66" t="s">
        <v>398</v>
      </c>
      <c r="H71" s="67"/>
      <c r="I71" s="67"/>
      <c r="J71" s="67"/>
      <c r="K71" s="68"/>
    </row>
    <row r="72" spans="1:11" ht="27.75" customHeight="1">
      <c r="A72" s="41">
        <v>69</v>
      </c>
      <c r="B72" s="66" t="s">
        <v>94</v>
      </c>
      <c r="C72" s="66" t="s">
        <v>100</v>
      </c>
      <c r="D72" s="48" t="s">
        <v>179</v>
      </c>
      <c r="E72" s="48" t="s">
        <v>102</v>
      </c>
      <c r="F72" s="49">
        <v>1</v>
      </c>
      <c r="G72" s="66" t="s">
        <v>398</v>
      </c>
      <c r="H72" s="67"/>
      <c r="I72" s="67"/>
      <c r="J72" s="67" t="s">
        <v>403</v>
      </c>
      <c r="K72" s="44"/>
    </row>
    <row r="73" spans="1:11" ht="27.75" customHeight="1">
      <c r="A73" s="41">
        <v>70</v>
      </c>
      <c r="B73" s="66" t="s">
        <v>94</v>
      </c>
      <c r="C73" s="66" t="s">
        <v>100</v>
      </c>
      <c r="D73" s="48" t="s">
        <v>180</v>
      </c>
      <c r="E73" s="48" t="s">
        <v>104</v>
      </c>
      <c r="F73" s="49">
        <v>1</v>
      </c>
      <c r="G73" s="66" t="s">
        <v>398</v>
      </c>
      <c r="H73" s="67"/>
      <c r="I73" s="67"/>
      <c r="J73" s="67"/>
      <c r="K73" s="44"/>
    </row>
    <row r="74" spans="1:11" ht="27.75" customHeight="1">
      <c r="A74" s="41">
        <v>71</v>
      </c>
      <c r="B74" s="66" t="s">
        <v>94</v>
      </c>
      <c r="C74" s="66" t="s">
        <v>100</v>
      </c>
      <c r="D74" s="48" t="s">
        <v>181</v>
      </c>
      <c r="E74" s="48" t="s">
        <v>106</v>
      </c>
      <c r="F74" s="49">
        <v>2</v>
      </c>
      <c r="G74" s="66" t="s">
        <v>398</v>
      </c>
      <c r="H74" s="67"/>
      <c r="I74" s="67"/>
      <c r="J74" s="67"/>
      <c r="K74" s="44"/>
    </row>
    <row r="75" spans="1:11" ht="27.75" customHeight="1">
      <c r="A75" s="41">
        <v>72</v>
      </c>
      <c r="B75" s="66" t="s">
        <v>94</v>
      </c>
      <c r="C75" s="66" t="s">
        <v>100</v>
      </c>
      <c r="D75" s="48" t="s">
        <v>182</v>
      </c>
      <c r="E75" s="48" t="s">
        <v>108</v>
      </c>
      <c r="F75" s="49">
        <v>2</v>
      </c>
      <c r="G75" s="66" t="s">
        <v>398</v>
      </c>
      <c r="H75" s="67"/>
      <c r="I75" s="67"/>
      <c r="J75" s="67"/>
      <c r="K75" s="44"/>
    </row>
    <row r="76" spans="1:11" ht="27.75" customHeight="1">
      <c r="A76" s="41">
        <v>73</v>
      </c>
      <c r="B76" s="66" t="s">
        <v>94</v>
      </c>
      <c r="C76" s="66" t="s">
        <v>100</v>
      </c>
      <c r="D76" s="48" t="s">
        <v>183</v>
      </c>
      <c r="E76" s="48" t="s">
        <v>110</v>
      </c>
      <c r="F76" s="49">
        <v>1</v>
      </c>
      <c r="G76" s="66" t="s">
        <v>398</v>
      </c>
      <c r="H76" s="67"/>
      <c r="I76" s="67"/>
      <c r="J76" s="67" t="s">
        <v>408</v>
      </c>
      <c r="K76" s="44"/>
    </row>
    <row r="77" spans="1:11" ht="27.75" customHeight="1">
      <c r="A77" s="41">
        <v>74</v>
      </c>
      <c r="B77" s="66" t="s">
        <v>94</v>
      </c>
      <c r="C77" s="66" t="s">
        <v>100</v>
      </c>
      <c r="D77" s="48" t="s">
        <v>184</v>
      </c>
      <c r="E77" s="48" t="s">
        <v>112</v>
      </c>
      <c r="F77" s="49">
        <v>1</v>
      </c>
      <c r="G77" s="66" t="s">
        <v>398</v>
      </c>
      <c r="H77" s="67"/>
      <c r="I77" s="67"/>
      <c r="J77" s="67"/>
      <c r="K77" s="44"/>
    </row>
    <row r="78" spans="1:11" ht="27.75" customHeight="1">
      <c r="A78" s="41">
        <v>75</v>
      </c>
      <c r="B78" s="66" t="s">
        <v>94</v>
      </c>
      <c r="C78" s="66" t="s">
        <v>100</v>
      </c>
      <c r="D78" s="48" t="s">
        <v>185</v>
      </c>
      <c r="E78" s="48" t="s">
        <v>114</v>
      </c>
      <c r="F78" s="49">
        <v>1</v>
      </c>
      <c r="G78" s="66" t="s">
        <v>398</v>
      </c>
      <c r="H78" s="67"/>
      <c r="I78" s="67"/>
      <c r="J78" s="67"/>
      <c r="K78" s="44"/>
    </row>
    <row r="79" spans="1:11" ht="27.75" customHeight="1">
      <c r="A79" s="41">
        <v>76</v>
      </c>
      <c r="B79" s="66" t="s">
        <v>94</v>
      </c>
      <c r="C79" s="66" t="s">
        <v>100</v>
      </c>
      <c r="D79" s="48" t="s">
        <v>186</v>
      </c>
      <c r="E79" s="48" t="s">
        <v>116</v>
      </c>
      <c r="F79" s="49">
        <v>2</v>
      </c>
      <c r="G79" s="66" t="s">
        <v>398</v>
      </c>
      <c r="H79" s="67"/>
      <c r="I79" s="67"/>
      <c r="J79" s="67"/>
      <c r="K79" s="44"/>
    </row>
    <row r="80" spans="1:11" ht="27.75" customHeight="1">
      <c r="A80" s="41">
        <v>77</v>
      </c>
      <c r="B80" s="66" t="s">
        <v>94</v>
      </c>
      <c r="C80" s="66" t="s">
        <v>100</v>
      </c>
      <c r="D80" s="48" t="s">
        <v>187</v>
      </c>
      <c r="E80" s="48" t="s">
        <v>118</v>
      </c>
      <c r="F80" s="49">
        <v>1</v>
      </c>
      <c r="G80" s="66" t="s">
        <v>398</v>
      </c>
      <c r="H80" s="67"/>
      <c r="I80" s="67"/>
      <c r="J80" s="67"/>
      <c r="K80" s="44"/>
    </row>
    <row r="81" spans="1:11" ht="27.75" customHeight="1">
      <c r="A81" s="41">
        <v>78</v>
      </c>
      <c r="B81" s="66" t="s">
        <v>94</v>
      </c>
      <c r="C81" s="66" t="s">
        <v>100</v>
      </c>
      <c r="D81" s="48" t="s">
        <v>188</v>
      </c>
      <c r="E81" s="48" t="s">
        <v>120</v>
      </c>
      <c r="F81" s="49">
        <v>1</v>
      </c>
      <c r="G81" s="66" t="s">
        <v>398</v>
      </c>
      <c r="H81" s="67"/>
      <c r="I81" s="67"/>
      <c r="J81" s="67" t="s">
        <v>403</v>
      </c>
      <c r="K81" s="44"/>
    </row>
    <row r="82" spans="1:11" ht="27.75" customHeight="1">
      <c r="A82" s="41">
        <v>79</v>
      </c>
      <c r="B82" s="66" t="s">
        <v>94</v>
      </c>
      <c r="C82" s="66" t="s">
        <v>100</v>
      </c>
      <c r="D82" s="48" t="s">
        <v>189</v>
      </c>
      <c r="E82" s="48" t="s">
        <v>122</v>
      </c>
      <c r="F82" s="49">
        <v>2</v>
      </c>
      <c r="G82" s="66" t="s">
        <v>398</v>
      </c>
      <c r="H82" s="67"/>
      <c r="I82" s="67"/>
      <c r="J82" s="67" t="s">
        <v>403</v>
      </c>
      <c r="K82" s="44"/>
    </row>
    <row r="83" spans="1:11" ht="27.75" customHeight="1">
      <c r="A83" s="41">
        <v>80</v>
      </c>
      <c r="B83" s="66" t="s">
        <v>94</v>
      </c>
      <c r="C83" s="66" t="s">
        <v>100</v>
      </c>
      <c r="D83" s="48" t="s">
        <v>190</v>
      </c>
      <c r="E83" s="48" t="s">
        <v>124</v>
      </c>
      <c r="F83" s="49">
        <v>1</v>
      </c>
      <c r="G83" s="66" t="s">
        <v>398</v>
      </c>
      <c r="H83" s="67"/>
      <c r="I83" s="67"/>
      <c r="J83" s="67"/>
      <c r="K83" s="44"/>
    </row>
    <row r="84" spans="1:11" ht="27.75" customHeight="1">
      <c r="A84" s="41">
        <v>81</v>
      </c>
      <c r="B84" s="66" t="s">
        <v>94</v>
      </c>
      <c r="C84" s="66" t="s">
        <v>100</v>
      </c>
      <c r="D84" s="48" t="s">
        <v>191</v>
      </c>
      <c r="E84" s="48" t="s">
        <v>126</v>
      </c>
      <c r="F84" s="49">
        <v>1</v>
      </c>
      <c r="G84" s="66" t="s">
        <v>398</v>
      </c>
      <c r="H84" s="67"/>
      <c r="I84" s="67"/>
      <c r="J84" s="67" t="s">
        <v>408</v>
      </c>
      <c r="K84" s="44"/>
    </row>
    <row r="85" spans="1:11" ht="27.75" customHeight="1">
      <c r="A85" s="41">
        <v>82</v>
      </c>
      <c r="B85" s="66" t="s">
        <v>94</v>
      </c>
      <c r="C85" s="66" t="s">
        <v>100</v>
      </c>
      <c r="D85" s="48" t="s">
        <v>192</v>
      </c>
      <c r="E85" s="48" t="s">
        <v>128</v>
      </c>
      <c r="F85" s="49">
        <v>1</v>
      </c>
      <c r="G85" s="66" t="s">
        <v>398</v>
      </c>
      <c r="H85" s="67"/>
      <c r="I85" s="67"/>
      <c r="J85" s="67" t="s">
        <v>403</v>
      </c>
      <c r="K85" s="44"/>
    </row>
    <row r="86" spans="1:11" ht="27.75" customHeight="1">
      <c r="A86" s="41">
        <v>83</v>
      </c>
      <c r="B86" s="66" t="s">
        <v>94</v>
      </c>
      <c r="C86" s="66" t="s">
        <v>100</v>
      </c>
      <c r="D86" s="48" t="s">
        <v>193</v>
      </c>
      <c r="E86" s="48" t="s">
        <v>194</v>
      </c>
      <c r="F86" s="49">
        <v>1</v>
      </c>
      <c r="G86" s="66" t="s">
        <v>398</v>
      </c>
      <c r="H86" s="78"/>
      <c r="I86" s="78"/>
      <c r="J86" s="67"/>
      <c r="K86" s="44"/>
    </row>
    <row r="87" spans="1:11" ht="27.75" customHeight="1">
      <c r="A87" s="41">
        <v>84</v>
      </c>
      <c r="B87" s="66" t="s">
        <v>94</v>
      </c>
      <c r="C87" s="66" t="s">
        <v>100</v>
      </c>
      <c r="D87" s="48" t="s">
        <v>195</v>
      </c>
      <c r="E87" s="48" t="s">
        <v>102</v>
      </c>
      <c r="F87" s="49">
        <v>1</v>
      </c>
      <c r="G87" s="66" t="s">
        <v>398</v>
      </c>
      <c r="H87" s="67"/>
      <c r="I87" s="67"/>
      <c r="J87" s="67" t="s">
        <v>403</v>
      </c>
      <c r="K87" s="44"/>
    </row>
    <row r="88" spans="1:11" ht="27.75" customHeight="1">
      <c r="A88" s="41">
        <v>85</v>
      </c>
      <c r="B88" s="66" t="s">
        <v>94</v>
      </c>
      <c r="C88" s="66" t="s">
        <v>100</v>
      </c>
      <c r="D88" s="48" t="s">
        <v>196</v>
      </c>
      <c r="E88" s="48" t="s">
        <v>104</v>
      </c>
      <c r="F88" s="49">
        <v>1</v>
      </c>
      <c r="G88" s="66" t="s">
        <v>398</v>
      </c>
      <c r="H88" s="67"/>
      <c r="I88" s="67"/>
      <c r="J88" s="67"/>
      <c r="K88" s="44"/>
    </row>
    <row r="89" spans="1:11" ht="27.75" customHeight="1">
      <c r="A89" s="41">
        <v>86</v>
      </c>
      <c r="B89" s="66" t="s">
        <v>94</v>
      </c>
      <c r="C89" s="66" t="s">
        <v>100</v>
      </c>
      <c r="D89" s="48" t="s">
        <v>197</v>
      </c>
      <c r="E89" s="48" t="s">
        <v>106</v>
      </c>
      <c r="F89" s="49">
        <v>2</v>
      </c>
      <c r="G89" s="66" t="s">
        <v>398</v>
      </c>
      <c r="H89" s="67"/>
      <c r="I89" s="67"/>
      <c r="J89" s="67"/>
      <c r="K89" s="44"/>
    </row>
    <row r="90" spans="1:11" ht="27.75" customHeight="1">
      <c r="A90" s="41">
        <v>87</v>
      </c>
      <c r="B90" s="66" t="s">
        <v>94</v>
      </c>
      <c r="C90" s="66" t="s">
        <v>100</v>
      </c>
      <c r="D90" s="48" t="s">
        <v>198</v>
      </c>
      <c r="E90" s="48" t="s">
        <v>108</v>
      </c>
      <c r="F90" s="49">
        <v>2</v>
      </c>
      <c r="G90" s="66" t="s">
        <v>398</v>
      </c>
      <c r="H90" s="67"/>
      <c r="I90" s="67"/>
      <c r="J90" s="67"/>
      <c r="K90" s="69"/>
    </row>
    <row r="91" spans="1:11" ht="27.75" customHeight="1">
      <c r="A91" s="41">
        <v>88</v>
      </c>
      <c r="B91" s="66" t="s">
        <v>94</v>
      </c>
      <c r="C91" s="66" t="s">
        <v>100</v>
      </c>
      <c r="D91" s="48" t="s">
        <v>199</v>
      </c>
      <c r="E91" s="48" t="s">
        <v>110</v>
      </c>
      <c r="F91" s="49">
        <v>1</v>
      </c>
      <c r="G91" s="66" t="s">
        <v>398</v>
      </c>
      <c r="H91" s="67"/>
      <c r="I91" s="67"/>
      <c r="J91" s="67" t="s">
        <v>408</v>
      </c>
      <c r="K91" s="44"/>
    </row>
    <row r="92" spans="1:11" ht="27.75" customHeight="1">
      <c r="A92" s="41">
        <v>89</v>
      </c>
      <c r="B92" s="66" t="s">
        <v>94</v>
      </c>
      <c r="C92" s="66" t="s">
        <v>100</v>
      </c>
      <c r="D92" s="48" t="s">
        <v>200</v>
      </c>
      <c r="E92" s="48" t="s">
        <v>112</v>
      </c>
      <c r="F92" s="49">
        <v>1</v>
      </c>
      <c r="G92" s="66" t="s">
        <v>398</v>
      </c>
      <c r="H92" s="67"/>
      <c r="I92" s="67"/>
      <c r="J92" s="67"/>
      <c r="K92" s="44"/>
    </row>
    <row r="93" spans="1:11" ht="27.75" customHeight="1">
      <c r="A93" s="41">
        <v>90</v>
      </c>
      <c r="B93" s="66" t="s">
        <v>94</v>
      </c>
      <c r="C93" s="66" t="s">
        <v>100</v>
      </c>
      <c r="D93" s="48" t="s">
        <v>201</v>
      </c>
      <c r="E93" s="48" t="s">
        <v>114</v>
      </c>
      <c r="F93" s="49">
        <v>1</v>
      </c>
      <c r="G93" s="66" t="s">
        <v>398</v>
      </c>
      <c r="H93" s="67"/>
      <c r="I93" s="67"/>
      <c r="J93" s="67"/>
      <c r="K93" s="44"/>
    </row>
    <row r="94" spans="1:11" ht="27.75" customHeight="1">
      <c r="A94" s="41">
        <v>91</v>
      </c>
      <c r="B94" s="66" t="s">
        <v>94</v>
      </c>
      <c r="C94" s="66" t="s">
        <v>100</v>
      </c>
      <c r="D94" s="48" t="s">
        <v>202</v>
      </c>
      <c r="E94" s="48" t="s">
        <v>116</v>
      </c>
      <c r="F94" s="49">
        <v>2</v>
      </c>
      <c r="G94" s="66" t="s">
        <v>398</v>
      </c>
      <c r="H94" s="67"/>
      <c r="I94" s="67"/>
      <c r="J94" s="67"/>
      <c r="K94" s="44"/>
    </row>
    <row r="95" spans="1:11" ht="27.75" customHeight="1">
      <c r="A95" s="41">
        <v>92</v>
      </c>
      <c r="B95" s="66" t="s">
        <v>94</v>
      </c>
      <c r="C95" s="66" t="s">
        <v>100</v>
      </c>
      <c r="D95" s="48" t="s">
        <v>203</v>
      </c>
      <c r="E95" s="48" t="s">
        <v>118</v>
      </c>
      <c r="F95" s="49">
        <v>1</v>
      </c>
      <c r="G95" s="66" t="s">
        <v>398</v>
      </c>
      <c r="H95" s="67"/>
      <c r="I95" s="67"/>
      <c r="J95" s="67"/>
      <c r="K95" s="69"/>
    </row>
    <row r="96" spans="1:11" ht="27.75" customHeight="1">
      <c r="A96" s="41">
        <v>93</v>
      </c>
      <c r="B96" s="66" t="s">
        <v>94</v>
      </c>
      <c r="C96" s="66" t="s">
        <v>100</v>
      </c>
      <c r="D96" s="48" t="s">
        <v>204</v>
      </c>
      <c r="E96" s="48" t="s">
        <v>120</v>
      </c>
      <c r="F96" s="49">
        <v>1</v>
      </c>
      <c r="G96" s="66" t="s">
        <v>398</v>
      </c>
      <c r="H96" s="67"/>
      <c r="I96" s="67"/>
      <c r="J96" s="67" t="s">
        <v>403</v>
      </c>
      <c r="K96" s="44"/>
    </row>
    <row r="97" spans="1:11" ht="27.75" customHeight="1">
      <c r="A97" s="41">
        <v>94</v>
      </c>
      <c r="B97" s="66" t="s">
        <v>94</v>
      </c>
      <c r="C97" s="66" t="s">
        <v>100</v>
      </c>
      <c r="D97" s="48" t="s">
        <v>205</v>
      </c>
      <c r="E97" s="48" t="s">
        <v>122</v>
      </c>
      <c r="F97" s="49">
        <v>2</v>
      </c>
      <c r="G97" s="66" t="s">
        <v>398</v>
      </c>
      <c r="H97" s="67"/>
      <c r="I97" s="67"/>
      <c r="J97" s="67" t="s">
        <v>403</v>
      </c>
      <c r="K97" s="44"/>
    </row>
    <row r="98" spans="1:11" ht="27.75" customHeight="1">
      <c r="A98" s="41">
        <v>95</v>
      </c>
      <c r="B98" s="66" t="s">
        <v>94</v>
      </c>
      <c r="C98" s="66" t="s">
        <v>100</v>
      </c>
      <c r="D98" s="48" t="s">
        <v>206</v>
      </c>
      <c r="E98" s="48" t="s">
        <v>124</v>
      </c>
      <c r="F98" s="49">
        <v>1</v>
      </c>
      <c r="G98" s="66" t="s">
        <v>398</v>
      </c>
      <c r="H98" s="67"/>
      <c r="I98" s="67"/>
      <c r="J98" s="67"/>
      <c r="K98" s="44"/>
    </row>
    <row r="99" spans="1:11" ht="27.75" customHeight="1">
      <c r="A99" s="41">
        <v>96</v>
      </c>
      <c r="B99" s="66" t="s">
        <v>94</v>
      </c>
      <c r="C99" s="66" t="s">
        <v>100</v>
      </c>
      <c r="D99" s="48" t="s">
        <v>207</v>
      </c>
      <c r="E99" s="48" t="s">
        <v>126</v>
      </c>
      <c r="F99" s="49">
        <v>1</v>
      </c>
      <c r="G99" s="66" t="s">
        <v>398</v>
      </c>
      <c r="H99" s="67"/>
      <c r="I99" s="67"/>
      <c r="J99" s="67" t="s">
        <v>408</v>
      </c>
      <c r="K99" s="44"/>
    </row>
    <row r="100" spans="1:11" ht="27.75" customHeight="1">
      <c r="A100" s="41">
        <v>97</v>
      </c>
      <c r="B100" s="66" t="s">
        <v>94</v>
      </c>
      <c r="C100" s="66" t="s">
        <v>100</v>
      </c>
      <c r="D100" s="48" t="s">
        <v>208</v>
      </c>
      <c r="E100" s="48" t="s">
        <v>128</v>
      </c>
      <c r="F100" s="49">
        <v>1</v>
      </c>
      <c r="G100" s="66" t="s">
        <v>398</v>
      </c>
      <c r="H100" s="67"/>
      <c r="I100" s="67"/>
      <c r="J100" s="67" t="s">
        <v>403</v>
      </c>
      <c r="K100" s="44"/>
    </row>
    <row r="101" spans="1:11" ht="27.75" customHeight="1">
      <c r="A101" s="41">
        <v>98</v>
      </c>
      <c r="B101" s="66" t="s">
        <v>95</v>
      </c>
      <c r="C101" s="66" t="s">
        <v>209</v>
      </c>
      <c r="D101" s="48" t="s">
        <v>81</v>
      </c>
      <c r="E101" s="48" t="s">
        <v>84</v>
      </c>
      <c r="F101" s="49">
        <v>1</v>
      </c>
      <c r="G101" s="66" t="s">
        <v>72</v>
      </c>
      <c r="H101" s="67"/>
      <c r="I101" s="67"/>
      <c r="J101" s="67"/>
      <c r="K101" s="44"/>
    </row>
    <row r="102" spans="1:11" ht="27.75" customHeight="1">
      <c r="A102" s="41">
        <v>99</v>
      </c>
      <c r="B102" s="66" t="s">
        <v>95</v>
      </c>
      <c r="C102" s="66" t="s">
        <v>209</v>
      </c>
      <c r="D102" s="48" t="s">
        <v>82</v>
      </c>
      <c r="E102" s="48" t="s">
        <v>210</v>
      </c>
      <c r="F102" s="49">
        <v>1</v>
      </c>
      <c r="G102" s="66" t="s">
        <v>72</v>
      </c>
      <c r="H102" s="67"/>
      <c r="I102" s="67"/>
      <c r="J102" s="67"/>
      <c r="K102" s="44"/>
    </row>
    <row r="103" spans="1:11" ht="27.75" customHeight="1">
      <c r="A103" s="41">
        <v>100</v>
      </c>
      <c r="B103" s="66" t="s">
        <v>95</v>
      </c>
      <c r="C103" s="66" t="s">
        <v>209</v>
      </c>
      <c r="D103" s="48" t="s">
        <v>83</v>
      </c>
      <c r="E103" s="48" t="s">
        <v>211</v>
      </c>
      <c r="F103" s="49">
        <v>4</v>
      </c>
      <c r="G103" s="66" t="s">
        <v>72</v>
      </c>
      <c r="H103" s="67"/>
      <c r="I103" s="67"/>
      <c r="J103" s="67"/>
      <c r="K103" s="44"/>
    </row>
    <row r="104" spans="1:11" ht="27.75" customHeight="1">
      <c r="A104" s="41">
        <v>101</v>
      </c>
      <c r="B104" s="66" t="s">
        <v>95</v>
      </c>
      <c r="C104" s="66" t="s">
        <v>212</v>
      </c>
      <c r="D104" s="48" t="s">
        <v>86</v>
      </c>
      <c r="E104" s="48" t="s">
        <v>85</v>
      </c>
      <c r="F104" s="49">
        <v>4</v>
      </c>
      <c r="G104" s="66" t="s">
        <v>399</v>
      </c>
      <c r="H104" s="67"/>
      <c r="I104" s="67"/>
      <c r="J104" s="67"/>
      <c r="K104" s="44"/>
    </row>
    <row r="105" spans="1:11" ht="27.75" customHeight="1">
      <c r="A105" s="41">
        <v>102</v>
      </c>
      <c r="B105" s="66" t="s">
        <v>95</v>
      </c>
      <c r="C105" s="66" t="s">
        <v>213</v>
      </c>
      <c r="D105" s="48" t="s">
        <v>90</v>
      </c>
      <c r="E105" s="48" t="s">
        <v>87</v>
      </c>
      <c r="F105" s="49">
        <v>1</v>
      </c>
      <c r="G105" s="66" t="s">
        <v>399</v>
      </c>
      <c r="H105" s="67"/>
      <c r="I105" s="67"/>
      <c r="J105" s="67" t="s">
        <v>405</v>
      </c>
      <c r="K105" s="44"/>
    </row>
    <row r="106" spans="1:11" ht="27.75" customHeight="1">
      <c r="A106" s="41">
        <v>103</v>
      </c>
      <c r="B106" s="66" t="s">
        <v>95</v>
      </c>
      <c r="C106" s="66" t="s">
        <v>213</v>
      </c>
      <c r="D106" s="48" t="s">
        <v>214</v>
      </c>
      <c r="E106" s="48" t="s">
        <v>88</v>
      </c>
      <c r="F106" s="49">
        <v>1</v>
      </c>
      <c r="G106" s="66" t="s">
        <v>399</v>
      </c>
      <c r="H106" s="67"/>
      <c r="I106" s="67"/>
      <c r="J106" s="67"/>
      <c r="K106" s="44"/>
    </row>
    <row r="107" spans="1:11" ht="27.75" customHeight="1">
      <c r="A107" s="41">
        <v>104</v>
      </c>
      <c r="B107" s="66" t="s">
        <v>95</v>
      </c>
      <c r="C107" s="66" t="s">
        <v>213</v>
      </c>
      <c r="D107" s="48" t="s">
        <v>91</v>
      </c>
      <c r="E107" s="48" t="s">
        <v>89</v>
      </c>
      <c r="F107" s="49">
        <v>2</v>
      </c>
      <c r="G107" s="66" t="s">
        <v>399</v>
      </c>
      <c r="H107" s="67"/>
      <c r="I107" s="67"/>
      <c r="J107" s="67" t="s">
        <v>405</v>
      </c>
      <c r="K107" s="44"/>
    </row>
    <row r="108" spans="1:11" ht="27.75" customHeight="1">
      <c r="A108" s="41">
        <v>105</v>
      </c>
      <c r="B108" s="66" t="s">
        <v>95</v>
      </c>
      <c r="C108" s="66" t="s">
        <v>97</v>
      </c>
      <c r="D108" s="48" t="s">
        <v>215</v>
      </c>
      <c r="E108" s="48" t="s">
        <v>216</v>
      </c>
      <c r="F108" s="49">
        <v>2</v>
      </c>
      <c r="G108" s="66" t="s">
        <v>398</v>
      </c>
      <c r="H108" s="67"/>
      <c r="I108" s="67"/>
      <c r="J108" s="67"/>
      <c r="K108" s="44"/>
    </row>
    <row r="109" spans="1:11" ht="27.75" customHeight="1">
      <c r="A109" s="41">
        <v>106</v>
      </c>
      <c r="B109" s="66" t="s">
        <v>95</v>
      </c>
      <c r="C109" s="66" t="s">
        <v>97</v>
      </c>
      <c r="D109" s="48" t="s">
        <v>217</v>
      </c>
      <c r="E109" s="48" t="s">
        <v>218</v>
      </c>
      <c r="F109" s="49">
        <v>2</v>
      </c>
      <c r="G109" s="66" t="s">
        <v>398</v>
      </c>
      <c r="H109" s="67"/>
      <c r="I109" s="67"/>
      <c r="J109" s="67"/>
      <c r="K109" s="44"/>
    </row>
    <row r="110" spans="1:11" ht="27.75" customHeight="1">
      <c r="A110" s="41">
        <v>107</v>
      </c>
      <c r="B110" s="66" t="s">
        <v>95</v>
      </c>
      <c r="C110" s="66" t="s">
        <v>97</v>
      </c>
      <c r="D110" s="48" t="s">
        <v>219</v>
      </c>
      <c r="E110" s="48" t="s">
        <v>220</v>
      </c>
      <c r="F110" s="49">
        <v>4</v>
      </c>
      <c r="G110" s="66" t="s">
        <v>398</v>
      </c>
      <c r="H110" s="67"/>
      <c r="I110" s="67"/>
      <c r="J110" s="67"/>
      <c r="K110" s="44"/>
    </row>
    <row r="111" spans="1:11" ht="27.75" customHeight="1">
      <c r="A111" s="41">
        <v>108</v>
      </c>
      <c r="B111" s="66" t="s">
        <v>95</v>
      </c>
      <c r="C111" s="66" t="s">
        <v>97</v>
      </c>
      <c r="D111" s="48" t="s">
        <v>221</v>
      </c>
      <c r="E111" s="48" t="s">
        <v>222</v>
      </c>
      <c r="F111" s="49">
        <v>1</v>
      </c>
      <c r="G111" s="66" t="s">
        <v>398</v>
      </c>
      <c r="H111" s="67"/>
      <c r="I111" s="67"/>
      <c r="J111" s="67"/>
      <c r="K111" s="44"/>
    </row>
    <row r="112" spans="1:11" ht="27.75" customHeight="1">
      <c r="A112" s="41">
        <v>109</v>
      </c>
      <c r="B112" s="66" t="s">
        <v>95</v>
      </c>
      <c r="C112" s="66" t="s">
        <v>97</v>
      </c>
      <c r="D112" s="48" t="s">
        <v>223</v>
      </c>
      <c r="E112" s="48" t="s">
        <v>224</v>
      </c>
      <c r="F112" s="49">
        <v>1</v>
      </c>
      <c r="G112" s="66" t="s">
        <v>398</v>
      </c>
      <c r="H112" s="67"/>
      <c r="I112" s="67"/>
      <c r="J112" s="67"/>
      <c r="K112" s="44"/>
    </row>
    <row r="113" spans="1:11" ht="27.75" customHeight="1">
      <c r="A113" s="41">
        <v>110</v>
      </c>
      <c r="B113" s="66" t="s">
        <v>95</v>
      </c>
      <c r="C113" s="66" t="s">
        <v>97</v>
      </c>
      <c r="D113" s="48" t="s">
        <v>225</v>
      </c>
      <c r="E113" s="48" t="s">
        <v>226</v>
      </c>
      <c r="F113" s="49">
        <v>1</v>
      </c>
      <c r="G113" s="66" t="s">
        <v>398</v>
      </c>
      <c r="H113" s="67"/>
      <c r="I113" s="67"/>
      <c r="J113" s="67"/>
      <c r="K113" s="44"/>
    </row>
    <row r="114" spans="1:11" ht="27.75" customHeight="1">
      <c r="A114" s="41">
        <v>111</v>
      </c>
      <c r="B114" s="66" t="s">
        <v>95</v>
      </c>
      <c r="C114" s="66" t="s">
        <v>97</v>
      </c>
      <c r="D114" s="48" t="s">
        <v>227</v>
      </c>
      <c r="E114" s="48" t="s">
        <v>228</v>
      </c>
      <c r="F114" s="49">
        <v>1</v>
      </c>
      <c r="G114" s="66" t="s">
        <v>398</v>
      </c>
      <c r="H114" s="67"/>
      <c r="I114" s="67"/>
      <c r="J114" s="67"/>
      <c r="K114" s="44"/>
    </row>
    <row r="115" spans="1:11" ht="27.75" customHeight="1">
      <c r="A115" s="41">
        <v>112</v>
      </c>
      <c r="B115" s="66" t="s">
        <v>95</v>
      </c>
      <c r="C115" s="66" t="s">
        <v>97</v>
      </c>
      <c r="D115" s="48" t="s">
        <v>229</v>
      </c>
      <c r="E115" s="48" t="s">
        <v>230</v>
      </c>
      <c r="F115" s="49">
        <v>2</v>
      </c>
      <c r="G115" s="66" t="s">
        <v>398</v>
      </c>
      <c r="H115" s="67"/>
      <c r="I115" s="67"/>
      <c r="J115" s="67"/>
      <c r="K115" s="44"/>
    </row>
    <row r="116" spans="1:11" ht="27.75" customHeight="1">
      <c r="A116" s="41">
        <v>113</v>
      </c>
      <c r="B116" s="66" t="s">
        <v>95</v>
      </c>
      <c r="C116" s="66" t="s">
        <v>97</v>
      </c>
      <c r="D116" s="48" t="s">
        <v>231</v>
      </c>
      <c r="E116" s="48" t="s">
        <v>232</v>
      </c>
      <c r="F116" s="49">
        <v>2</v>
      </c>
      <c r="G116" s="66" t="s">
        <v>398</v>
      </c>
      <c r="H116" s="67"/>
      <c r="I116" s="67"/>
      <c r="J116" s="67"/>
      <c r="K116" s="44"/>
    </row>
    <row r="117" spans="1:11" ht="27.75" customHeight="1">
      <c r="A117" s="41">
        <v>114</v>
      </c>
      <c r="B117" s="66" t="s">
        <v>95</v>
      </c>
      <c r="C117" s="66" t="s">
        <v>97</v>
      </c>
      <c r="D117" s="48" t="s">
        <v>233</v>
      </c>
      <c r="E117" s="48" t="s">
        <v>234</v>
      </c>
      <c r="F117" s="49">
        <v>2</v>
      </c>
      <c r="G117" s="66" t="s">
        <v>398</v>
      </c>
      <c r="H117" s="67"/>
      <c r="I117" s="67"/>
      <c r="J117" s="67"/>
      <c r="K117" s="44"/>
    </row>
    <row r="118" spans="1:11" ht="27.75" customHeight="1">
      <c r="A118" s="41">
        <v>115</v>
      </c>
      <c r="B118" s="66" t="s">
        <v>95</v>
      </c>
      <c r="C118" s="66" t="s">
        <v>100</v>
      </c>
      <c r="D118" s="48" t="s">
        <v>235</v>
      </c>
      <c r="E118" s="48" t="s">
        <v>236</v>
      </c>
      <c r="F118" s="49">
        <v>12</v>
      </c>
      <c r="G118" s="66" t="s">
        <v>398</v>
      </c>
      <c r="H118" s="67"/>
      <c r="I118" s="67"/>
      <c r="J118" s="67"/>
      <c r="K118" s="44"/>
    </row>
    <row r="119" spans="1:11" ht="27.75" customHeight="1">
      <c r="A119" s="41">
        <v>116</v>
      </c>
      <c r="B119" s="66" t="s">
        <v>95</v>
      </c>
      <c r="C119" s="66" t="s">
        <v>100</v>
      </c>
      <c r="D119" s="48" t="s">
        <v>237</v>
      </c>
      <c r="E119" s="48" t="s">
        <v>238</v>
      </c>
      <c r="F119" s="49">
        <v>12</v>
      </c>
      <c r="G119" s="66" t="s">
        <v>398</v>
      </c>
      <c r="H119" s="67"/>
      <c r="I119" s="67"/>
      <c r="J119" s="67"/>
      <c r="K119" s="44"/>
    </row>
    <row r="120" spans="1:11" ht="27.75" customHeight="1">
      <c r="A120" s="41">
        <v>117</v>
      </c>
      <c r="B120" s="66" t="s">
        <v>95</v>
      </c>
      <c r="C120" s="66" t="s">
        <v>239</v>
      </c>
      <c r="D120" s="48" t="s">
        <v>240</v>
      </c>
      <c r="E120" s="48" t="s">
        <v>241</v>
      </c>
      <c r="F120" s="49">
        <v>2</v>
      </c>
      <c r="G120" s="66" t="s">
        <v>398</v>
      </c>
      <c r="H120" s="67"/>
      <c r="I120" s="67"/>
      <c r="J120" s="67"/>
      <c r="K120" s="44"/>
    </row>
    <row r="121" spans="1:11" ht="27.75" customHeight="1">
      <c r="A121" s="41">
        <v>118</v>
      </c>
      <c r="B121" s="66" t="s">
        <v>95</v>
      </c>
      <c r="C121" s="66" t="s">
        <v>100</v>
      </c>
      <c r="D121" s="48" t="s">
        <v>242</v>
      </c>
      <c r="E121" s="48" t="s">
        <v>243</v>
      </c>
      <c r="F121" s="49">
        <v>12</v>
      </c>
      <c r="G121" s="66" t="s">
        <v>398</v>
      </c>
      <c r="H121" s="67"/>
      <c r="I121" s="67"/>
      <c r="J121" s="67"/>
      <c r="K121" s="44"/>
    </row>
    <row r="122" spans="1:11" ht="27.75" customHeight="1">
      <c r="A122" s="41">
        <v>119</v>
      </c>
      <c r="B122" s="66" t="s">
        <v>95</v>
      </c>
      <c r="C122" s="66" t="s">
        <v>100</v>
      </c>
      <c r="D122" s="48" t="s">
        <v>244</v>
      </c>
      <c r="E122" s="48" t="s">
        <v>245</v>
      </c>
      <c r="F122" s="49">
        <v>12</v>
      </c>
      <c r="G122" s="66" t="s">
        <v>398</v>
      </c>
      <c r="H122" s="67"/>
      <c r="I122" s="67"/>
      <c r="J122" s="67"/>
      <c r="K122" s="44"/>
    </row>
    <row r="123" spans="1:11" ht="27.75" customHeight="1">
      <c r="A123" s="41">
        <v>120</v>
      </c>
      <c r="B123" s="66" t="s">
        <v>95</v>
      </c>
      <c r="C123" s="66" t="s">
        <v>239</v>
      </c>
      <c r="D123" s="48" t="s">
        <v>246</v>
      </c>
      <c r="E123" s="48" t="s">
        <v>247</v>
      </c>
      <c r="F123" s="49">
        <v>1</v>
      </c>
      <c r="G123" s="66" t="s">
        <v>398</v>
      </c>
      <c r="H123" s="67"/>
      <c r="I123" s="67"/>
      <c r="J123" s="67"/>
      <c r="K123" s="44"/>
    </row>
    <row r="124" spans="1:11" ht="27.75" customHeight="1">
      <c r="A124" s="41">
        <v>121</v>
      </c>
      <c r="B124" s="66" t="s">
        <v>95</v>
      </c>
      <c r="C124" s="66" t="s">
        <v>239</v>
      </c>
      <c r="D124" s="48" t="s">
        <v>248</v>
      </c>
      <c r="E124" s="48" t="s">
        <v>249</v>
      </c>
      <c r="F124" s="49">
        <v>1</v>
      </c>
      <c r="G124" s="66" t="s">
        <v>398</v>
      </c>
      <c r="H124" s="67"/>
      <c r="I124" s="67"/>
      <c r="J124" s="67"/>
      <c r="K124" s="44"/>
    </row>
    <row r="125" spans="1:11" ht="27.75" customHeight="1">
      <c r="A125" s="41">
        <v>122</v>
      </c>
      <c r="B125" s="66" t="s">
        <v>95</v>
      </c>
      <c r="C125" s="66" t="s">
        <v>239</v>
      </c>
      <c r="D125" s="48" t="s">
        <v>250</v>
      </c>
      <c r="E125" s="48" t="s">
        <v>251</v>
      </c>
      <c r="F125" s="49">
        <v>1</v>
      </c>
      <c r="G125" s="66" t="s">
        <v>398</v>
      </c>
      <c r="H125" s="67"/>
      <c r="I125" s="67"/>
      <c r="J125" s="67"/>
      <c r="K125" s="44"/>
    </row>
    <row r="126" spans="1:11" ht="27.75" customHeight="1">
      <c r="A126" s="41">
        <v>123</v>
      </c>
      <c r="B126" s="66" t="s">
        <v>95</v>
      </c>
      <c r="C126" s="66" t="s">
        <v>239</v>
      </c>
      <c r="D126" s="48" t="s">
        <v>252</v>
      </c>
      <c r="E126" s="48" t="s">
        <v>253</v>
      </c>
      <c r="F126" s="49">
        <v>8</v>
      </c>
      <c r="G126" s="66" t="s">
        <v>398</v>
      </c>
      <c r="H126" s="67"/>
      <c r="I126" s="67"/>
      <c r="J126" s="67"/>
      <c r="K126" s="44"/>
    </row>
    <row r="127" spans="1:11" ht="27.75" customHeight="1">
      <c r="A127" s="41">
        <v>124</v>
      </c>
      <c r="B127" s="66" t="s">
        <v>95</v>
      </c>
      <c r="C127" s="66" t="s">
        <v>239</v>
      </c>
      <c r="D127" s="48" t="s">
        <v>254</v>
      </c>
      <c r="E127" s="48" t="s">
        <v>255</v>
      </c>
      <c r="F127" s="49">
        <v>4</v>
      </c>
      <c r="G127" s="66" t="s">
        <v>398</v>
      </c>
      <c r="H127" s="67"/>
      <c r="I127" s="67"/>
      <c r="J127" s="67"/>
      <c r="K127" s="44"/>
    </row>
    <row r="128" spans="1:11" ht="27.75" customHeight="1">
      <c r="A128" s="41">
        <v>125</v>
      </c>
      <c r="B128" s="66" t="s">
        <v>95</v>
      </c>
      <c r="C128" s="66" t="s">
        <v>239</v>
      </c>
      <c r="D128" s="48" t="s">
        <v>256</v>
      </c>
      <c r="E128" s="48" t="s">
        <v>257</v>
      </c>
      <c r="F128" s="49">
        <v>4</v>
      </c>
      <c r="G128" s="66" t="s">
        <v>398</v>
      </c>
      <c r="H128" s="67"/>
      <c r="I128" s="67"/>
      <c r="J128" s="67"/>
      <c r="K128" s="69"/>
    </row>
    <row r="129" spans="1:11" ht="27.75" customHeight="1">
      <c r="A129" s="41">
        <v>126</v>
      </c>
      <c r="B129" s="66" t="s">
        <v>95</v>
      </c>
      <c r="C129" s="66" t="s">
        <v>239</v>
      </c>
      <c r="D129" s="48" t="s">
        <v>258</v>
      </c>
      <c r="E129" s="48" t="s">
        <v>259</v>
      </c>
      <c r="F129" s="49">
        <v>4</v>
      </c>
      <c r="G129" s="66" t="s">
        <v>398</v>
      </c>
      <c r="H129" s="67"/>
      <c r="I129" s="67"/>
      <c r="J129" s="67"/>
      <c r="K129" s="44"/>
    </row>
    <row r="130" spans="1:11" ht="27.75" customHeight="1">
      <c r="A130" s="41">
        <v>127</v>
      </c>
      <c r="B130" s="66" t="s">
        <v>95</v>
      </c>
      <c r="C130" s="66" t="s">
        <v>239</v>
      </c>
      <c r="D130" s="48" t="s">
        <v>260</v>
      </c>
      <c r="E130" s="48" t="s">
        <v>261</v>
      </c>
      <c r="F130" s="49">
        <v>4</v>
      </c>
      <c r="G130" s="66" t="s">
        <v>398</v>
      </c>
      <c r="H130" s="67"/>
      <c r="I130" s="67"/>
      <c r="J130" s="67"/>
      <c r="K130" s="44"/>
    </row>
    <row r="131" spans="1:11" ht="27.75" customHeight="1">
      <c r="A131" s="41">
        <v>128</v>
      </c>
      <c r="B131" s="66" t="s">
        <v>95</v>
      </c>
      <c r="C131" s="66" t="s">
        <v>239</v>
      </c>
      <c r="D131" s="48" t="s">
        <v>262</v>
      </c>
      <c r="E131" s="48" t="s">
        <v>263</v>
      </c>
      <c r="F131" s="49">
        <v>4</v>
      </c>
      <c r="G131" s="66" t="s">
        <v>398</v>
      </c>
      <c r="H131" s="67"/>
      <c r="I131" s="67"/>
      <c r="J131" s="67"/>
      <c r="K131" s="44"/>
    </row>
    <row r="132" spans="1:11" ht="27.75" customHeight="1">
      <c r="A132" s="41">
        <v>129</v>
      </c>
      <c r="B132" s="66" t="s">
        <v>95</v>
      </c>
      <c r="C132" s="66" t="s">
        <v>100</v>
      </c>
      <c r="D132" s="48" t="s">
        <v>264</v>
      </c>
      <c r="E132" s="48" t="s">
        <v>265</v>
      </c>
      <c r="F132" s="49">
        <v>1</v>
      </c>
      <c r="G132" s="66" t="s">
        <v>398</v>
      </c>
      <c r="H132" s="67"/>
      <c r="I132" s="67"/>
      <c r="J132" s="67"/>
      <c r="K132" s="44"/>
    </row>
    <row r="133" spans="1:11" ht="27.75" customHeight="1">
      <c r="A133" s="41">
        <v>130</v>
      </c>
      <c r="B133" s="66" t="s">
        <v>95</v>
      </c>
      <c r="C133" s="66" t="s">
        <v>239</v>
      </c>
      <c r="D133" s="48" t="s">
        <v>266</v>
      </c>
      <c r="E133" s="48" t="s">
        <v>267</v>
      </c>
      <c r="F133" s="49">
        <v>2</v>
      </c>
      <c r="G133" s="66" t="s">
        <v>398</v>
      </c>
      <c r="H133" s="67"/>
      <c r="I133" s="67"/>
      <c r="J133" s="67"/>
      <c r="K133" s="44"/>
    </row>
    <row r="134" spans="1:11" ht="27.75" customHeight="1">
      <c r="A134" s="41">
        <v>131</v>
      </c>
      <c r="B134" s="66" t="s">
        <v>95</v>
      </c>
      <c r="C134" s="66" t="s">
        <v>239</v>
      </c>
      <c r="D134" s="48" t="s">
        <v>268</v>
      </c>
      <c r="E134" s="48" t="s">
        <v>269</v>
      </c>
      <c r="F134" s="49">
        <v>2</v>
      </c>
      <c r="G134" s="66" t="s">
        <v>398</v>
      </c>
      <c r="H134" s="67"/>
      <c r="I134" s="67"/>
      <c r="J134" s="67"/>
      <c r="K134" s="44"/>
    </row>
    <row r="135" spans="1:11" ht="27.75" customHeight="1">
      <c r="A135" s="41">
        <v>132</v>
      </c>
      <c r="B135" s="66" t="s">
        <v>95</v>
      </c>
      <c r="C135" s="66" t="s">
        <v>239</v>
      </c>
      <c r="D135" s="48" t="s">
        <v>270</v>
      </c>
      <c r="E135" s="48" t="s">
        <v>271</v>
      </c>
      <c r="F135" s="49">
        <v>2</v>
      </c>
      <c r="G135" s="66" t="s">
        <v>398</v>
      </c>
      <c r="H135" s="67"/>
      <c r="I135" s="67"/>
      <c r="J135" s="67"/>
      <c r="K135" s="44"/>
    </row>
    <row r="136" spans="1:11" ht="27.75" customHeight="1">
      <c r="A136" s="41">
        <v>133</v>
      </c>
      <c r="B136" s="66" t="s">
        <v>95</v>
      </c>
      <c r="C136" s="66" t="s">
        <v>239</v>
      </c>
      <c r="D136" s="48" t="s">
        <v>272</v>
      </c>
      <c r="E136" s="48" t="s">
        <v>273</v>
      </c>
      <c r="F136" s="49">
        <v>1</v>
      </c>
      <c r="G136" s="66" t="s">
        <v>398</v>
      </c>
      <c r="H136" s="67"/>
      <c r="I136" s="67"/>
      <c r="J136" s="67"/>
      <c r="K136" s="44"/>
    </row>
    <row r="137" spans="1:11" ht="27.75" customHeight="1">
      <c r="A137" s="41">
        <v>134</v>
      </c>
      <c r="B137" s="66" t="s">
        <v>95</v>
      </c>
      <c r="C137" s="66" t="s">
        <v>239</v>
      </c>
      <c r="D137" s="48" t="s">
        <v>274</v>
      </c>
      <c r="E137" s="48" t="s">
        <v>275</v>
      </c>
      <c r="F137" s="49">
        <v>1</v>
      </c>
      <c r="G137" s="66" t="s">
        <v>398</v>
      </c>
      <c r="H137" s="67"/>
      <c r="I137" s="67"/>
      <c r="J137" s="67"/>
      <c r="K137" s="44"/>
    </row>
    <row r="138" spans="1:11" ht="27.75" customHeight="1">
      <c r="A138" s="41">
        <v>135</v>
      </c>
      <c r="B138" s="66" t="s">
        <v>95</v>
      </c>
      <c r="C138" s="66" t="s">
        <v>239</v>
      </c>
      <c r="D138" s="48" t="s">
        <v>276</v>
      </c>
      <c r="E138" s="48" t="s">
        <v>277</v>
      </c>
      <c r="F138" s="49">
        <v>1</v>
      </c>
      <c r="G138" s="66" t="s">
        <v>398</v>
      </c>
      <c r="H138" s="67"/>
      <c r="I138" s="67"/>
      <c r="J138" s="67"/>
      <c r="K138" s="44"/>
    </row>
    <row r="139" spans="1:11" ht="27.75" customHeight="1">
      <c r="A139" s="41">
        <v>136</v>
      </c>
      <c r="B139" s="66" t="s">
        <v>95</v>
      </c>
      <c r="C139" s="66" t="s">
        <v>239</v>
      </c>
      <c r="D139" s="48" t="s">
        <v>278</v>
      </c>
      <c r="E139" s="48" t="s">
        <v>279</v>
      </c>
      <c r="F139" s="49">
        <v>1</v>
      </c>
      <c r="G139" s="66" t="s">
        <v>398</v>
      </c>
      <c r="H139" s="67"/>
      <c r="I139" s="67"/>
      <c r="J139" s="67"/>
      <c r="K139" s="69"/>
    </row>
    <row r="140" spans="1:11" ht="27.75" customHeight="1">
      <c r="A140" s="41">
        <v>137</v>
      </c>
      <c r="B140" s="66" t="s">
        <v>95</v>
      </c>
      <c r="C140" s="66" t="s">
        <v>239</v>
      </c>
      <c r="D140" s="48" t="s">
        <v>280</v>
      </c>
      <c r="E140" s="48" t="s">
        <v>281</v>
      </c>
      <c r="F140" s="49">
        <v>2</v>
      </c>
      <c r="G140" s="66" t="s">
        <v>398</v>
      </c>
      <c r="H140" s="67"/>
      <c r="I140" s="67"/>
      <c r="J140" s="67"/>
      <c r="K140" s="44"/>
    </row>
    <row r="141" spans="1:11" ht="27.75" customHeight="1">
      <c r="A141" s="41">
        <v>138</v>
      </c>
      <c r="B141" s="66" t="s">
        <v>95</v>
      </c>
      <c r="C141" s="66" t="s">
        <v>239</v>
      </c>
      <c r="D141" s="48" t="s">
        <v>282</v>
      </c>
      <c r="E141" s="48" t="s">
        <v>283</v>
      </c>
      <c r="F141" s="49">
        <v>2</v>
      </c>
      <c r="G141" s="66" t="s">
        <v>398</v>
      </c>
      <c r="H141" s="67"/>
      <c r="I141" s="67"/>
      <c r="J141" s="67"/>
      <c r="K141" s="44"/>
    </row>
    <row r="142" spans="1:11" ht="27.75" customHeight="1">
      <c r="A142" s="41">
        <v>139</v>
      </c>
      <c r="B142" s="66" t="s">
        <v>95</v>
      </c>
      <c r="C142" s="66" t="s">
        <v>239</v>
      </c>
      <c r="D142" s="48" t="s">
        <v>284</v>
      </c>
      <c r="E142" s="48" t="s">
        <v>285</v>
      </c>
      <c r="F142" s="49">
        <v>2</v>
      </c>
      <c r="G142" s="66" t="s">
        <v>398</v>
      </c>
      <c r="H142" s="67"/>
      <c r="I142" s="67"/>
      <c r="J142" s="67"/>
      <c r="K142" s="44"/>
    </row>
    <row r="143" spans="1:11" ht="27.75" customHeight="1">
      <c r="A143" s="41">
        <v>140</v>
      </c>
      <c r="B143" s="66" t="s">
        <v>95</v>
      </c>
      <c r="C143" s="66" t="s">
        <v>239</v>
      </c>
      <c r="D143" s="48" t="s">
        <v>286</v>
      </c>
      <c r="E143" s="48" t="s">
        <v>287</v>
      </c>
      <c r="F143" s="49">
        <v>2</v>
      </c>
      <c r="G143" s="66" t="s">
        <v>398</v>
      </c>
      <c r="H143" s="67"/>
      <c r="I143" s="67"/>
      <c r="J143" s="67"/>
      <c r="K143" s="44"/>
    </row>
    <row r="144" spans="1:11" ht="27.75" customHeight="1">
      <c r="A144" s="41">
        <v>141</v>
      </c>
      <c r="B144" s="66" t="s">
        <v>95</v>
      </c>
      <c r="C144" s="66" t="s">
        <v>239</v>
      </c>
      <c r="D144" s="48" t="s">
        <v>288</v>
      </c>
      <c r="E144" s="48" t="s">
        <v>289</v>
      </c>
      <c r="F144" s="49">
        <v>2</v>
      </c>
      <c r="G144" s="66" t="s">
        <v>398</v>
      </c>
      <c r="H144" s="67"/>
      <c r="I144" s="67"/>
      <c r="J144" s="67"/>
      <c r="K144" s="44"/>
    </row>
    <row r="145" spans="1:11" ht="27.75" customHeight="1">
      <c r="A145" s="41">
        <v>142</v>
      </c>
      <c r="B145" s="66" t="s">
        <v>95</v>
      </c>
      <c r="C145" s="66" t="s">
        <v>239</v>
      </c>
      <c r="D145" s="48" t="s">
        <v>290</v>
      </c>
      <c r="E145" s="48" t="s">
        <v>291</v>
      </c>
      <c r="F145" s="49">
        <v>2</v>
      </c>
      <c r="G145" s="66" t="s">
        <v>398</v>
      </c>
      <c r="H145" s="67"/>
      <c r="I145" s="67"/>
      <c r="J145" s="67"/>
      <c r="K145" s="44"/>
    </row>
    <row r="146" spans="1:11" ht="27.75" customHeight="1">
      <c r="A146" s="41">
        <v>143</v>
      </c>
      <c r="B146" s="66" t="s">
        <v>95</v>
      </c>
      <c r="C146" s="66" t="s">
        <v>239</v>
      </c>
      <c r="D146" s="48" t="s">
        <v>292</v>
      </c>
      <c r="E146" s="48" t="s">
        <v>293</v>
      </c>
      <c r="F146" s="49">
        <v>2</v>
      </c>
      <c r="G146" s="66" t="s">
        <v>398</v>
      </c>
      <c r="H146" s="67"/>
      <c r="I146" s="67"/>
      <c r="J146" s="67"/>
      <c r="K146" s="44"/>
    </row>
    <row r="147" spans="1:11" ht="27.75" customHeight="1">
      <c r="A147" s="41">
        <v>144</v>
      </c>
      <c r="B147" s="66" t="s">
        <v>95</v>
      </c>
      <c r="C147" s="66" t="s">
        <v>239</v>
      </c>
      <c r="D147" s="48" t="s">
        <v>294</v>
      </c>
      <c r="E147" s="48" t="s">
        <v>295</v>
      </c>
      <c r="F147" s="49">
        <v>2</v>
      </c>
      <c r="G147" s="66" t="s">
        <v>398</v>
      </c>
      <c r="H147" s="67"/>
      <c r="I147" s="67"/>
      <c r="J147" s="67"/>
      <c r="K147" s="44"/>
    </row>
    <row r="148" spans="1:11" ht="27.75" customHeight="1">
      <c r="A148" s="41">
        <v>145</v>
      </c>
      <c r="B148" s="66" t="s">
        <v>95</v>
      </c>
      <c r="C148" s="66" t="s">
        <v>239</v>
      </c>
      <c r="D148" s="48" t="s">
        <v>296</v>
      </c>
      <c r="E148" s="48" t="s">
        <v>297</v>
      </c>
      <c r="F148" s="49">
        <v>2</v>
      </c>
      <c r="G148" s="66" t="s">
        <v>398</v>
      </c>
      <c r="H148" s="67"/>
      <c r="I148" s="67"/>
      <c r="J148" s="67"/>
      <c r="K148" s="44"/>
    </row>
    <row r="149" spans="1:11" ht="27.75" customHeight="1">
      <c r="A149" s="41">
        <v>146</v>
      </c>
      <c r="B149" s="66" t="s">
        <v>95</v>
      </c>
      <c r="C149" s="66" t="s">
        <v>239</v>
      </c>
      <c r="D149" s="48" t="s">
        <v>298</v>
      </c>
      <c r="E149" s="48" t="s">
        <v>299</v>
      </c>
      <c r="F149" s="49">
        <v>2</v>
      </c>
      <c r="G149" s="66" t="s">
        <v>398</v>
      </c>
      <c r="H149" s="67"/>
      <c r="I149" s="67"/>
      <c r="J149" s="67"/>
      <c r="K149" s="44"/>
    </row>
    <row r="150" spans="1:11" ht="27.75" customHeight="1">
      <c r="A150" s="41">
        <v>147</v>
      </c>
      <c r="B150" s="66" t="s">
        <v>95</v>
      </c>
      <c r="C150" s="66" t="s">
        <v>239</v>
      </c>
      <c r="D150" s="48" t="s">
        <v>300</v>
      </c>
      <c r="E150" s="48" t="s">
        <v>301</v>
      </c>
      <c r="F150" s="49">
        <v>2</v>
      </c>
      <c r="G150" s="66" t="s">
        <v>398</v>
      </c>
      <c r="H150" s="67"/>
      <c r="I150" s="67"/>
      <c r="J150" s="67"/>
      <c r="K150" s="44"/>
    </row>
    <row r="151" spans="1:11" ht="27.75" customHeight="1">
      <c r="A151" s="41">
        <v>148</v>
      </c>
      <c r="B151" s="66" t="s">
        <v>95</v>
      </c>
      <c r="C151" s="66" t="s">
        <v>100</v>
      </c>
      <c r="D151" s="48" t="s">
        <v>302</v>
      </c>
      <c r="E151" s="48" t="s">
        <v>303</v>
      </c>
      <c r="F151" s="49">
        <v>1</v>
      </c>
      <c r="G151" s="66" t="s">
        <v>398</v>
      </c>
      <c r="H151" s="67"/>
      <c r="I151" s="67"/>
      <c r="J151" s="67"/>
      <c r="K151" s="44"/>
    </row>
    <row r="152" spans="1:11" ht="27.75" customHeight="1">
      <c r="A152" s="41">
        <v>149</v>
      </c>
      <c r="B152" s="66" t="s">
        <v>95</v>
      </c>
      <c r="C152" s="66" t="s">
        <v>239</v>
      </c>
      <c r="D152" s="48" t="s">
        <v>304</v>
      </c>
      <c r="E152" s="48" t="s">
        <v>305</v>
      </c>
      <c r="F152" s="49">
        <v>1</v>
      </c>
      <c r="G152" s="66" t="s">
        <v>398</v>
      </c>
      <c r="H152" s="67"/>
      <c r="I152" s="67"/>
      <c r="J152" s="67"/>
      <c r="K152" s="44"/>
    </row>
    <row r="153" spans="1:11" ht="27.75" customHeight="1">
      <c r="A153" s="41">
        <v>150</v>
      </c>
      <c r="B153" s="66" t="s">
        <v>306</v>
      </c>
      <c r="C153" s="66" t="s">
        <v>307</v>
      </c>
      <c r="D153" s="48" t="s">
        <v>308</v>
      </c>
      <c r="E153" s="48" t="s">
        <v>309</v>
      </c>
      <c r="F153" s="49">
        <v>3</v>
      </c>
      <c r="G153" s="66" t="s">
        <v>72</v>
      </c>
      <c r="H153" s="67"/>
      <c r="I153" s="67"/>
      <c r="J153" s="67"/>
      <c r="K153" s="44"/>
    </row>
    <row r="154" spans="1:11" ht="27.75" customHeight="1">
      <c r="A154" s="41">
        <v>151</v>
      </c>
      <c r="B154" s="66" t="s">
        <v>306</v>
      </c>
      <c r="C154" s="66" t="s">
        <v>310</v>
      </c>
      <c r="D154" s="48" t="s">
        <v>311</v>
      </c>
      <c r="E154" s="48" t="s">
        <v>312</v>
      </c>
      <c r="F154" s="49">
        <v>1</v>
      </c>
      <c r="G154" s="66" t="s">
        <v>400</v>
      </c>
      <c r="H154" s="67"/>
      <c r="I154" s="67"/>
      <c r="J154" s="67"/>
      <c r="K154" s="44"/>
    </row>
    <row r="155" spans="1:11" ht="27.75" customHeight="1">
      <c r="A155" s="41">
        <v>152</v>
      </c>
      <c r="B155" s="66" t="s">
        <v>306</v>
      </c>
      <c r="C155" s="66" t="s">
        <v>310</v>
      </c>
      <c r="D155" s="48" t="s">
        <v>313</v>
      </c>
      <c r="E155" s="48" t="s">
        <v>314</v>
      </c>
      <c r="F155" s="49">
        <v>1</v>
      </c>
      <c r="G155" s="66" t="s">
        <v>400</v>
      </c>
      <c r="H155" s="67"/>
      <c r="I155" s="67"/>
      <c r="J155" s="67"/>
      <c r="K155" s="44"/>
    </row>
    <row r="156" spans="1:11" ht="27.75" customHeight="1">
      <c r="A156" s="41">
        <v>153</v>
      </c>
      <c r="B156" s="66" t="s">
        <v>306</v>
      </c>
      <c r="C156" s="66" t="s">
        <v>310</v>
      </c>
      <c r="D156" s="48" t="s">
        <v>315</v>
      </c>
      <c r="E156" s="48" t="s">
        <v>316</v>
      </c>
      <c r="F156" s="49">
        <v>1</v>
      </c>
      <c r="G156" s="66" t="s">
        <v>400</v>
      </c>
      <c r="H156" s="67"/>
      <c r="I156" s="67"/>
      <c r="J156" s="67"/>
      <c r="K156" s="44"/>
    </row>
    <row r="157" spans="1:11" ht="27.75" customHeight="1">
      <c r="A157" s="41">
        <v>154</v>
      </c>
      <c r="B157" s="66" t="s">
        <v>306</v>
      </c>
      <c r="C157" s="66" t="s">
        <v>310</v>
      </c>
      <c r="D157" s="48" t="s">
        <v>317</v>
      </c>
      <c r="E157" s="48" t="s">
        <v>318</v>
      </c>
      <c r="F157" s="49">
        <v>1</v>
      </c>
      <c r="G157" s="66" t="s">
        <v>400</v>
      </c>
      <c r="H157" s="67"/>
      <c r="I157" s="67"/>
      <c r="J157" s="67"/>
      <c r="K157" s="44"/>
    </row>
    <row r="158" spans="1:11" ht="27.75" customHeight="1">
      <c r="A158" s="41">
        <v>155</v>
      </c>
      <c r="B158" s="66" t="s">
        <v>306</v>
      </c>
      <c r="C158" s="66" t="s">
        <v>310</v>
      </c>
      <c r="D158" s="48" t="s">
        <v>319</v>
      </c>
      <c r="E158" s="48" t="s">
        <v>320</v>
      </c>
      <c r="F158" s="49">
        <v>1</v>
      </c>
      <c r="G158" s="66" t="s">
        <v>400</v>
      </c>
      <c r="H158" s="67"/>
      <c r="I158" s="67"/>
      <c r="J158" s="67"/>
      <c r="K158" s="44"/>
    </row>
    <row r="159" spans="1:11" ht="27.75" customHeight="1">
      <c r="A159" s="41">
        <v>156</v>
      </c>
      <c r="B159" s="66" t="s">
        <v>306</v>
      </c>
      <c r="C159" s="66" t="s">
        <v>310</v>
      </c>
      <c r="D159" s="48" t="s">
        <v>321</v>
      </c>
      <c r="E159" s="48" t="s">
        <v>322</v>
      </c>
      <c r="F159" s="49">
        <v>1</v>
      </c>
      <c r="G159" s="66" t="s">
        <v>400</v>
      </c>
      <c r="H159" s="67"/>
      <c r="I159" s="67"/>
      <c r="J159" s="67"/>
      <c r="K159" s="44"/>
    </row>
    <row r="160" spans="1:11" ht="27.75" customHeight="1">
      <c r="A160" s="41">
        <v>157</v>
      </c>
      <c r="B160" s="66" t="s">
        <v>306</v>
      </c>
      <c r="C160" s="66" t="s">
        <v>310</v>
      </c>
      <c r="D160" s="48" t="s">
        <v>323</v>
      </c>
      <c r="E160" s="48" t="s">
        <v>324</v>
      </c>
      <c r="F160" s="49">
        <v>1</v>
      </c>
      <c r="G160" s="66" t="s">
        <v>400</v>
      </c>
      <c r="H160" s="67"/>
      <c r="I160" s="67"/>
      <c r="J160" s="67"/>
      <c r="K160" s="44"/>
    </row>
    <row r="161" spans="1:11" ht="27.75" customHeight="1">
      <c r="A161" s="41">
        <v>158</v>
      </c>
      <c r="B161" s="66" t="s">
        <v>306</v>
      </c>
      <c r="C161" s="66" t="s">
        <v>325</v>
      </c>
      <c r="D161" s="48" t="s">
        <v>326</v>
      </c>
      <c r="E161" s="48" t="s">
        <v>327</v>
      </c>
      <c r="F161" s="49">
        <v>1</v>
      </c>
      <c r="G161" s="66" t="s">
        <v>400</v>
      </c>
      <c r="H161" s="67"/>
      <c r="I161" s="67"/>
      <c r="J161" s="67"/>
      <c r="K161" s="44"/>
    </row>
    <row r="162" spans="1:11" ht="27.75" customHeight="1">
      <c r="A162" s="41">
        <v>159</v>
      </c>
      <c r="B162" s="66" t="s">
        <v>306</v>
      </c>
      <c r="C162" s="66" t="s">
        <v>325</v>
      </c>
      <c r="D162" s="48" t="s">
        <v>328</v>
      </c>
      <c r="E162" s="48" t="s">
        <v>312</v>
      </c>
      <c r="F162" s="49">
        <v>1</v>
      </c>
      <c r="G162" s="66" t="s">
        <v>400</v>
      </c>
      <c r="H162" s="67"/>
      <c r="I162" s="67"/>
      <c r="J162" s="67"/>
      <c r="K162" s="44"/>
    </row>
    <row r="163" spans="1:11" ht="27.75" customHeight="1">
      <c r="A163" s="41">
        <v>160</v>
      </c>
      <c r="B163" s="66" t="s">
        <v>306</v>
      </c>
      <c r="C163" s="66" t="s">
        <v>325</v>
      </c>
      <c r="D163" s="48" t="s">
        <v>329</v>
      </c>
      <c r="E163" s="48" t="s">
        <v>314</v>
      </c>
      <c r="F163" s="49">
        <v>1</v>
      </c>
      <c r="G163" s="66" t="s">
        <v>400</v>
      </c>
      <c r="H163" s="67"/>
      <c r="I163" s="67"/>
      <c r="J163" s="67"/>
      <c r="K163" s="68"/>
    </row>
    <row r="164" spans="1:11" ht="27.75" customHeight="1">
      <c r="A164" s="41">
        <v>161</v>
      </c>
      <c r="B164" s="66" t="s">
        <v>306</v>
      </c>
      <c r="C164" s="66" t="s">
        <v>325</v>
      </c>
      <c r="D164" s="48" t="s">
        <v>330</v>
      </c>
      <c r="E164" s="48" t="s">
        <v>331</v>
      </c>
      <c r="F164" s="49">
        <v>1</v>
      </c>
      <c r="G164" s="66" t="s">
        <v>400</v>
      </c>
      <c r="H164" s="67"/>
      <c r="I164" s="67"/>
      <c r="J164" s="67"/>
      <c r="K164" s="44"/>
    </row>
    <row r="165" spans="1:11" ht="27.75" customHeight="1">
      <c r="A165" s="41">
        <v>162</v>
      </c>
      <c r="B165" s="66" t="s">
        <v>306</v>
      </c>
      <c r="C165" s="66" t="s">
        <v>325</v>
      </c>
      <c r="D165" s="48" t="s">
        <v>332</v>
      </c>
      <c r="E165" s="48" t="s">
        <v>333</v>
      </c>
      <c r="F165" s="49">
        <v>1</v>
      </c>
      <c r="G165" s="66" t="s">
        <v>400</v>
      </c>
      <c r="H165" s="67"/>
      <c r="I165" s="67"/>
      <c r="J165" s="67"/>
      <c r="K165" s="44"/>
    </row>
    <row r="166" spans="1:11" ht="27.75" customHeight="1">
      <c r="A166" s="41">
        <v>163</v>
      </c>
      <c r="B166" s="66" t="s">
        <v>306</v>
      </c>
      <c r="C166" s="66" t="s">
        <v>325</v>
      </c>
      <c r="D166" s="48" t="s">
        <v>334</v>
      </c>
      <c r="E166" s="48" t="s">
        <v>335</v>
      </c>
      <c r="F166" s="49">
        <v>1</v>
      </c>
      <c r="G166" s="66" t="s">
        <v>400</v>
      </c>
      <c r="H166" s="67"/>
      <c r="I166" s="67"/>
      <c r="J166" s="67"/>
      <c r="K166" s="44"/>
    </row>
    <row r="167" spans="1:11" ht="27.75" customHeight="1">
      <c r="A167" s="41">
        <v>164</v>
      </c>
      <c r="B167" s="66" t="s">
        <v>306</v>
      </c>
      <c r="C167" s="66" t="s">
        <v>325</v>
      </c>
      <c r="D167" s="48" t="s">
        <v>336</v>
      </c>
      <c r="E167" s="48" t="s">
        <v>337</v>
      </c>
      <c r="F167" s="49">
        <v>1</v>
      </c>
      <c r="G167" s="66" t="s">
        <v>400</v>
      </c>
      <c r="H167" s="67"/>
      <c r="I167" s="67"/>
      <c r="J167" s="67"/>
      <c r="K167" s="44"/>
    </row>
    <row r="168" spans="1:11" ht="27.75" customHeight="1">
      <c r="A168" s="41">
        <v>165</v>
      </c>
      <c r="B168" s="66" t="s">
        <v>306</v>
      </c>
      <c r="C168" s="66" t="s">
        <v>325</v>
      </c>
      <c r="D168" s="48" t="s">
        <v>338</v>
      </c>
      <c r="E168" s="48" t="s">
        <v>339</v>
      </c>
      <c r="F168" s="49">
        <v>2</v>
      </c>
      <c r="G168" s="66" t="s">
        <v>400</v>
      </c>
      <c r="H168" s="67"/>
      <c r="I168" s="67"/>
      <c r="J168" s="67"/>
      <c r="K168" s="44"/>
    </row>
    <row r="169" spans="1:11" ht="27.75" customHeight="1">
      <c r="A169" s="41">
        <v>166</v>
      </c>
      <c r="B169" s="66" t="s">
        <v>306</v>
      </c>
      <c r="C169" s="66" t="s">
        <v>325</v>
      </c>
      <c r="D169" s="48" t="s">
        <v>340</v>
      </c>
      <c r="E169" s="48" t="s">
        <v>341</v>
      </c>
      <c r="F169" s="49">
        <v>1</v>
      </c>
      <c r="G169" s="66" t="s">
        <v>400</v>
      </c>
      <c r="H169" s="67"/>
      <c r="I169" s="67"/>
      <c r="J169" s="67"/>
      <c r="K169" s="44"/>
    </row>
    <row r="170" spans="1:11" ht="27.75" customHeight="1">
      <c r="A170" s="41">
        <v>167</v>
      </c>
      <c r="B170" s="66" t="s">
        <v>306</v>
      </c>
      <c r="C170" s="66" t="s">
        <v>325</v>
      </c>
      <c r="D170" s="48" t="s">
        <v>342</v>
      </c>
      <c r="E170" s="48" t="s">
        <v>316</v>
      </c>
      <c r="F170" s="49">
        <v>1</v>
      </c>
      <c r="G170" s="66" t="s">
        <v>400</v>
      </c>
      <c r="H170" s="67"/>
      <c r="I170" s="67"/>
      <c r="J170" s="67"/>
      <c r="K170" s="44"/>
    </row>
    <row r="171" spans="1:11" ht="27.75" customHeight="1">
      <c r="A171" s="41">
        <v>168</v>
      </c>
      <c r="B171" s="66" t="s">
        <v>306</v>
      </c>
      <c r="C171" s="66" t="s">
        <v>325</v>
      </c>
      <c r="D171" s="48" t="s">
        <v>343</v>
      </c>
      <c r="E171" s="48" t="s">
        <v>344</v>
      </c>
      <c r="F171" s="49">
        <v>2</v>
      </c>
      <c r="G171" s="66" t="s">
        <v>400</v>
      </c>
      <c r="H171" s="67"/>
      <c r="I171" s="67"/>
      <c r="J171" s="67"/>
      <c r="K171" s="44"/>
    </row>
    <row r="172" spans="1:11" ht="27.75" customHeight="1">
      <c r="A172" s="41">
        <v>169</v>
      </c>
      <c r="B172" s="66" t="s">
        <v>306</v>
      </c>
      <c r="C172" s="66" t="s">
        <v>325</v>
      </c>
      <c r="D172" s="48" t="s">
        <v>345</v>
      </c>
      <c r="E172" s="48" t="s">
        <v>346</v>
      </c>
      <c r="F172" s="49">
        <v>1</v>
      </c>
      <c r="G172" s="66" t="s">
        <v>400</v>
      </c>
      <c r="H172" s="67"/>
      <c r="I172" s="67"/>
      <c r="J172" s="67"/>
      <c r="K172" s="44"/>
    </row>
    <row r="173" spans="1:11" ht="27.75" customHeight="1">
      <c r="A173" s="41">
        <v>170</v>
      </c>
      <c r="B173" s="66" t="s">
        <v>306</v>
      </c>
      <c r="C173" s="66" t="s">
        <v>325</v>
      </c>
      <c r="D173" s="48" t="s">
        <v>347</v>
      </c>
      <c r="E173" s="48" t="s">
        <v>348</v>
      </c>
      <c r="F173" s="49">
        <v>1</v>
      </c>
      <c r="G173" s="66" t="s">
        <v>400</v>
      </c>
      <c r="H173" s="67"/>
      <c r="I173" s="67"/>
      <c r="J173" s="67"/>
      <c r="K173" s="68"/>
    </row>
    <row r="174" spans="1:11" ht="27.75" customHeight="1">
      <c r="A174" s="41">
        <v>171</v>
      </c>
      <c r="B174" s="66" t="s">
        <v>306</v>
      </c>
      <c r="C174" s="66" t="s">
        <v>325</v>
      </c>
      <c r="D174" s="48" t="s">
        <v>349</v>
      </c>
      <c r="E174" s="48" t="s">
        <v>350</v>
      </c>
      <c r="F174" s="49">
        <v>1</v>
      </c>
      <c r="G174" s="66" t="s">
        <v>400</v>
      </c>
      <c r="H174" s="67"/>
      <c r="I174" s="67"/>
      <c r="J174" s="67"/>
      <c r="K174" s="44"/>
    </row>
    <row r="175" spans="1:11" ht="27.75" customHeight="1">
      <c r="A175" s="41">
        <v>172</v>
      </c>
      <c r="B175" s="66" t="s">
        <v>306</v>
      </c>
      <c r="C175" s="66" t="s">
        <v>325</v>
      </c>
      <c r="D175" s="48" t="s">
        <v>351</v>
      </c>
      <c r="E175" s="48" t="s">
        <v>352</v>
      </c>
      <c r="F175" s="49">
        <v>1</v>
      </c>
      <c r="G175" s="66" t="s">
        <v>400</v>
      </c>
      <c r="H175" s="67"/>
      <c r="I175" s="67"/>
      <c r="J175" s="67"/>
      <c r="K175" s="44"/>
    </row>
    <row r="176" spans="1:11" ht="27.75" customHeight="1">
      <c r="A176" s="41">
        <v>173</v>
      </c>
      <c r="B176" s="66" t="s">
        <v>306</v>
      </c>
      <c r="C176" s="66" t="s">
        <v>325</v>
      </c>
      <c r="D176" s="48" t="s">
        <v>353</v>
      </c>
      <c r="E176" s="48" t="s">
        <v>354</v>
      </c>
      <c r="F176" s="49">
        <v>1</v>
      </c>
      <c r="G176" s="66" t="s">
        <v>400</v>
      </c>
      <c r="H176" s="67"/>
      <c r="I176" s="67"/>
      <c r="J176" s="67"/>
      <c r="K176" s="44"/>
    </row>
    <row r="177" spans="1:11" ht="27.75" customHeight="1">
      <c r="A177" s="41">
        <v>174</v>
      </c>
      <c r="B177" s="66" t="s">
        <v>306</v>
      </c>
      <c r="C177" s="66" t="s">
        <v>325</v>
      </c>
      <c r="D177" s="48" t="s">
        <v>355</v>
      </c>
      <c r="E177" s="48" t="s">
        <v>356</v>
      </c>
      <c r="F177" s="49">
        <v>1</v>
      </c>
      <c r="G177" s="66" t="s">
        <v>400</v>
      </c>
      <c r="H177" s="67"/>
      <c r="I177" s="67"/>
      <c r="J177" s="67"/>
      <c r="K177" s="44"/>
    </row>
    <row r="178" spans="1:11" ht="27.75" customHeight="1">
      <c r="A178" s="41">
        <v>175</v>
      </c>
      <c r="B178" s="66" t="s">
        <v>306</v>
      </c>
      <c r="C178" s="66" t="s">
        <v>325</v>
      </c>
      <c r="D178" s="48" t="s">
        <v>357</v>
      </c>
      <c r="E178" s="48" t="s">
        <v>358</v>
      </c>
      <c r="F178" s="49">
        <v>1</v>
      </c>
      <c r="G178" s="66" t="s">
        <v>400</v>
      </c>
      <c r="H178" s="67"/>
      <c r="I178" s="67"/>
      <c r="J178" s="67"/>
      <c r="K178" s="44"/>
    </row>
    <row r="179" spans="1:11" ht="27.75" customHeight="1">
      <c r="A179" s="41">
        <v>176</v>
      </c>
      <c r="B179" s="66" t="s">
        <v>306</v>
      </c>
      <c r="C179" s="66" t="s">
        <v>325</v>
      </c>
      <c r="D179" s="48" t="s">
        <v>359</v>
      </c>
      <c r="E179" s="48" t="s">
        <v>360</v>
      </c>
      <c r="F179" s="49">
        <v>1</v>
      </c>
      <c r="G179" s="66" t="s">
        <v>400</v>
      </c>
      <c r="H179" s="67"/>
      <c r="I179" s="67"/>
      <c r="J179" s="67"/>
      <c r="K179" s="44"/>
    </row>
    <row r="180" spans="1:11" ht="27.75" customHeight="1">
      <c r="A180" s="41">
        <v>177</v>
      </c>
      <c r="B180" s="66" t="s">
        <v>306</v>
      </c>
      <c r="C180" s="66" t="s">
        <v>325</v>
      </c>
      <c r="D180" s="48" t="s">
        <v>361</v>
      </c>
      <c r="E180" s="48" t="s">
        <v>318</v>
      </c>
      <c r="F180" s="49">
        <v>1</v>
      </c>
      <c r="G180" s="66" t="s">
        <v>400</v>
      </c>
      <c r="H180" s="67"/>
      <c r="I180" s="67"/>
      <c r="J180" s="67"/>
      <c r="K180" s="44"/>
    </row>
    <row r="181" spans="1:11" ht="27.75" customHeight="1">
      <c r="A181" s="41">
        <v>178</v>
      </c>
      <c r="B181" s="66" t="s">
        <v>306</v>
      </c>
      <c r="C181" s="66" t="s">
        <v>325</v>
      </c>
      <c r="D181" s="48" t="s">
        <v>362</v>
      </c>
      <c r="E181" s="48" t="s">
        <v>363</v>
      </c>
      <c r="F181" s="49">
        <v>1</v>
      </c>
      <c r="G181" s="66" t="s">
        <v>400</v>
      </c>
      <c r="H181" s="67"/>
      <c r="I181" s="67"/>
      <c r="J181" s="67"/>
      <c r="K181" s="44"/>
    </row>
    <row r="182" spans="1:11" ht="27.75" customHeight="1">
      <c r="A182" s="41">
        <v>179</v>
      </c>
      <c r="B182" s="66" t="s">
        <v>306</v>
      </c>
      <c r="C182" s="66" t="s">
        <v>325</v>
      </c>
      <c r="D182" s="48" t="s">
        <v>364</v>
      </c>
      <c r="E182" s="48" t="s">
        <v>320</v>
      </c>
      <c r="F182" s="49">
        <v>1</v>
      </c>
      <c r="G182" s="66" t="s">
        <v>400</v>
      </c>
      <c r="H182" s="67"/>
      <c r="I182" s="67"/>
      <c r="J182" s="67"/>
      <c r="K182" s="44"/>
    </row>
    <row r="183" spans="1:11" ht="27.75" customHeight="1">
      <c r="A183" s="41">
        <v>180</v>
      </c>
      <c r="B183" s="66" t="s">
        <v>306</v>
      </c>
      <c r="C183" s="66" t="s">
        <v>325</v>
      </c>
      <c r="D183" s="48" t="s">
        <v>365</v>
      </c>
      <c r="E183" s="48" t="s">
        <v>366</v>
      </c>
      <c r="F183" s="49">
        <v>1</v>
      </c>
      <c r="G183" s="66" t="s">
        <v>400</v>
      </c>
      <c r="H183" s="67"/>
      <c r="I183" s="67"/>
      <c r="J183" s="67"/>
      <c r="K183" s="44"/>
    </row>
    <row r="184" spans="1:11" ht="27.75" customHeight="1">
      <c r="A184" s="41">
        <v>181</v>
      </c>
      <c r="B184" s="66" t="s">
        <v>306</v>
      </c>
      <c r="C184" s="66" t="s">
        <v>325</v>
      </c>
      <c r="D184" s="48" t="s">
        <v>367</v>
      </c>
      <c r="E184" s="48" t="s">
        <v>368</v>
      </c>
      <c r="F184" s="49">
        <v>1</v>
      </c>
      <c r="G184" s="66" t="s">
        <v>400</v>
      </c>
      <c r="H184" s="67"/>
      <c r="I184" s="67"/>
      <c r="J184" s="67"/>
      <c r="K184" s="44"/>
    </row>
    <row r="185" spans="1:11" ht="27.75" customHeight="1">
      <c r="A185" s="41">
        <v>182</v>
      </c>
      <c r="B185" s="66" t="s">
        <v>306</v>
      </c>
      <c r="C185" s="66" t="s">
        <v>325</v>
      </c>
      <c r="D185" s="48" t="s">
        <v>369</v>
      </c>
      <c r="E185" s="48" t="s">
        <v>322</v>
      </c>
      <c r="F185" s="49">
        <v>1</v>
      </c>
      <c r="G185" s="66" t="s">
        <v>400</v>
      </c>
      <c r="H185" s="67"/>
      <c r="I185" s="67"/>
      <c r="J185" s="67"/>
      <c r="K185" s="44"/>
    </row>
    <row r="186" spans="1:11" ht="27.75" customHeight="1">
      <c r="A186" s="41">
        <v>183</v>
      </c>
      <c r="B186" s="66" t="s">
        <v>306</v>
      </c>
      <c r="C186" s="66" t="s">
        <v>325</v>
      </c>
      <c r="D186" s="48" t="s">
        <v>370</v>
      </c>
      <c r="E186" s="48" t="s">
        <v>324</v>
      </c>
      <c r="F186" s="49">
        <v>1</v>
      </c>
      <c r="G186" s="66" t="s">
        <v>400</v>
      </c>
      <c r="H186" s="67"/>
      <c r="I186" s="67"/>
      <c r="J186" s="67"/>
      <c r="K186" s="44"/>
    </row>
    <row r="187" spans="1:11" ht="27.75" customHeight="1">
      <c r="A187" s="41">
        <v>184</v>
      </c>
      <c r="B187" s="66" t="s">
        <v>306</v>
      </c>
      <c r="C187" s="66" t="s">
        <v>100</v>
      </c>
      <c r="D187" s="48" t="s">
        <v>371</v>
      </c>
      <c r="E187" s="48" t="s">
        <v>372</v>
      </c>
      <c r="F187" s="49">
        <v>1</v>
      </c>
      <c r="G187" s="66" t="s">
        <v>401</v>
      </c>
      <c r="H187" s="67"/>
      <c r="I187" s="67"/>
      <c r="J187" s="67"/>
      <c r="K187" s="44"/>
    </row>
    <row r="188" spans="1:11" ht="27.75" customHeight="1">
      <c r="A188" s="41">
        <v>185</v>
      </c>
      <c r="B188" s="66" t="s">
        <v>306</v>
      </c>
      <c r="C188" s="66" t="s">
        <v>373</v>
      </c>
      <c r="D188" s="48" t="s">
        <v>374</v>
      </c>
      <c r="E188" s="48" t="s">
        <v>375</v>
      </c>
      <c r="F188" s="49">
        <v>1</v>
      </c>
      <c r="G188" s="66" t="s">
        <v>402</v>
      </c>
      <c r="H188" s="67"/>
      <c r="I188" s="67"/>
      <c r="J188" s="67" t="s">
        <v>52</v>
      </c>
      <c r="K188" s="68" t="s">
        <v>409</v>
      </c>
    </row>
    <row r="189" spans="1:11" ht="27.75" customHeight="1">
      <c r="A189" s="41">
        <v>186</v>
      </c>
      <c r="B189" s="66" t="s">
        <v>307</v>
      </c>
      <c r="C189" s="66" t="s">
        <v>96</v>
      </c>
      <c r="D189" s="48" t="s">
        <v>376</v>
      </c>
      <c r="E189" s="48" t="s">
        <v>377</v>
      </c>
      <c r="F189" s="49">
        <v>10</v>
      </c>
      <c r="G189" s="66" t="s">
        <v>72</v>
      </c>
      <c r="H189" s="67"/>
      <c r="I189" s="67"/>
      <c r="J189" s="67"/>
      <c r="K189" s="44"/>
    </row>
    <row r="190" spans="1:11" ht="27.75" customHeight="1">
      <c r="A190" s="41">
        <v>187</v>
      </c>
      <c r="B190" s="66" t="s">
        <v>307</v>
      </c>
      <c r="C190" s="66" t="s">
        <v>96</v>
      </c>
      <c r="D190" s="48" t="s">
        <v>378</v>
      </c>
      <c r="E190" s="48" t="s">
        <v>76</v>
      </c>
      <c r="F190" s="49">
        <v>20</v>
      </c>
      <c r="G190" s="66" t="s">
        <v>72</v>
      </c>
      <c r="H190" s="67"/>
      <c r="I190" s="67"/>
      <c r="J190" s="67"/>
      <c r="K190" s="70"/>
    </row>
    <row r="191" spans="1:11" ht="27.75" customHeight="1">
      <c r="A191" s="41">
        <v>188</v>
      </c>
      <c r="B191" s="66" t="s">
        <v>307</v>
      </c>
      <c r="C191" s="66" t="s">
        <v>96</v>
      </c>
      <c r="D191" s="48" t="s">
        <v>379</v>
      </c>
      <c r="E191" s="48" t="s">
        <v>77</v>
      </c>
      <c r="F191" s="49">
        <v>20</v>
      </c>
      <c r="G191" s="66" t="s">
        <v>72</v>
      </c>
      <c r="H191" s="67"/>
      <c r="I191" s="67"/>
      <c r="J191" s="67"/>
      <c r="K191" s="70"/>
    </row>
    <row r="192" spans="1:11" ht="27.75" customHeight="1">
      <c r="A192" s="41">
        <v>189</v>
      </c>
      <c r="B192" s="66" t="s">
        <v>307</v>
      </c>
      <c r="C192" s="66" t="s">
        <v>96</v>
      </c>
      <c r="D192" s="48" t="s">
        <v>380</v>
      </c>
      <c r="E192" s="48" t="s">
        <v>309</v>
      </c>
      <c r="F192" s="49">
        <v>5</v>
      </c>
      <c r="G192" s="66" t="s">
        <v>72</v>
      </c>
      <c r="H192" s="67"/>
      <c r="I192" s="67"/>
      <c r="J192" s="67"/>
      <c r="K192" s="70"/>
    </row>
    <row r="193" spans="1:11" ht="27.75" customHeight="1">
      <c r="A193" s="41">
        <v>190</v>
      </c>
      <c r="B193" s="66" t="s">
        <v>307</v>
      </c>
      <c r="C193" s="66" t="s">
        <v>100</v>
      </c>
      <c r="D193" s="48" t="s">
        <v>381</v>
      </c>
      <c r="E193" s="48" t="s">
        <v>382</v>
      </c>
      <c r="F193" s="49">
        <v>1</v>
      </c>
      <c r="G193" s="66" t="s">
        <v>398</v>
      </c>
      <c r="H193" s="67"/>
      <c r="I193" s="67"/>
      <c r="J193" s="67"/>
      <c r="K193" s="70"/>
    </row>
    <row r="194" spans="1:11" ht="27.75" customHeight="1">
      <c r="A194" s="41">
        <v>191</v>
      </c>
      <c r="B194" s="66" t="s">
        <v>307</v>
      </c>
      <c r="C194" s="66" t="s">
        <v>100</v>
      </c>
      <c r="D194" s="48" t="s">
        <v>383</v>
      </c>
      <c r="E194" s="48" t="s">
        <v>384</v>
      </c>
      <c r="F194" s="49">
        <v>1</v>
      </c>
      <c r="G194" s="66" t="s">
        <v>398</v>
      </c>
      <c r="H194" s="67"/>
      <c r="I194" s="67"/>
      <c r="J194" s="67"/>
      <c r="K194" s="70"/>
    </row>
    <row r="195" spans="1:11" ht="27.75" customHeight="1">
      <c r="A195" s="41">
        <v>192</v>
      </c>
      <c r="B195" s="66" t="s">
        <v>307</v>
      </c>
      <c r="C195" s="66" t="s">
        <v>100</v>
      </c>
      <c r="D195" s="48" t="s">
        <v>385</v>
      </c>
      <c r="E195" s="48" t="s">
        <v>386</v>
      </c>
      <c r="F195" s="49">
        <v>1</v>
      </c>
      <c r="G195" s="66" t="s">
        <v>398</v>
      </c>
      <c r="H195" s="67"/>
      <c r="I195" s="67"/>
      <c r="J195" s="67"/>
      <c r="K195" s="70"/>
    </row>
    <row r="196" spans="1:11" ht="27.75" customHeight="1">
      <c r="A196" s="41">
        <v>193</v>
      </c>
      <c r="B196" s="66" t="s">
        <v>307</v>
      </c>
      <c r="C196" s="66" t="s">
        <v>100</v>
      </c>
      <c r="D196" s="48" t="s">
        <v>387</v>
      </c>
      <c r="E196" s="48" t="s">
        <v>388</v>
      </c>
      <c r="F196" s="49">
        <v>1</v>
      </c>
      <c r="G196" s="66" t="s">
        <v>398</v>
      </c>
      <c r="H196" s="67"/>
      <c r="I196" s="67"/>
      <c r="J196" s="67"/>
      <c r="K196" s="44"/>
    </row>
    <row r="197" spans="1:11" ht="27.75" customHeight="1">
      <c r="A197" s="41">
        <v>194</v>
      </c>
      <c r="B197" s="66" t="s">
        <v>307</v>
      </c>
      <c r="C197" s="66" t="s">
        <v>209</v>
      </c>
      <c r="D197" s="48" t="s">
        <v>389</v>
      </c>
      <c r="E197" s="48" t="s">
        <v>390</v>
      </c>
      <c r="F197" s="49">
        <v>1</v>
      </c>
      <c r="G197" s="66" t="s">
        <v>398</v>
      </c>
      <c r="H197" s="67"/>
      <c r="I197" s="67"/>
      <c r="J197" s="67"/>
      <c r="K197" s="44"/>
    </row>
    <row r="198" spans="1:11" ht="27.75" customHeight="1">
      <c r="A198" s="41">
        <v>195</v>
      </c>
      <c r="B198" s="66" t="s">
        <v>307</v>
      </c>
      <c r="C198" s="66" t="s">
        <v>209</v>
      </c>
      <c r="D198" s="48" t="s">
        <v>391</v>
      </c>
      <c r="E198" s="48" t="s">
        <v>392</v>
      </c>
      <c r="F198" s="49">
        <v>3</v>
      </c>
      <c r="G198" s="66" t="s">
        <v>398</v>
      </c>
      <c r="H198" s="67"/>
      <c r="I198" s="67"/>
      <c r="J198" s="67" t="s">
        <v>408</v>
      </c>
      <c r="K198" s="44"/>
    </row>
    <row r="199" spans="1:11" ht="27.75" customHeight="1">
      <c r="A199" s="41">
        <v>196</v>
      </c>
      <c r="B199" s="66" t="s">
        <v>307</v>
      </c>
      <c r="C199" s="66" t="s">
        <v>373</v>
      </c>
      <c r="D199" s="48" t="s">
        <v>393</v>
      </c>
      <c r="E199" s="48" t="s">
        <v>394</v>
      </c>
      <c r="F199" s="49">
        <v>1</v>
      </c>
      <c r="G199" s="66" t="s">
        <v>398</v>
      </c>
      <c r="H199" s="67"/>
      <c r="I199" s="67"/>
      <c r="J199" s="67" t="s">
        <v>407</v>
      </c>
      <c r="K199" s="44"/>
    </row>
    <row r="200" spans="1:11" ht="27.75" customHeight="1">
      <c r="A200" s="41">
        <v>197</v>
      </c>
      <c r="B200" s="66" t="s">
        <v>307</v>
      </c>
      <c r="C200" s="66" t="s">
        <v>373</v>
      </c>
      <c r="D200" s="48" t="s">
        <v>395</v>
      </c>
      <c r="E200" s="48" t="s">
        <v>394</v>
      </c>
      <c r="F200" s="49">
        <v>1</v>
      </c>
      <c r="G200" s="66" t="s">
        <v>398</v>
      </c>
      <c r="H200" s="67"/>
      <c r="I200" s="67"/>
      <c r="J200" s="67"/>
      <c r="K200" s="68"/>
    </row>
    <row r="201" spans="1:11" ht="27.75" customHeight="1">
      <c r="A201" s="41">
        <v>198</v>
      </c>
      <c r="B201" s="66" t="s">
        <v>307</v>
      </c>
      <c r="C201" s="66" t="s">
        <v>373</v>
      </c>
      <c r="D201" s="48" t="s">
        <v>396</v>
      </c>
      <c r="E201" s="48" t="s">
        <v>394</v>
      </c>
      <c r="F201" s="49">
        <v>1</v>
      </c>
      <c r="G201" s="66" t="s">
        <v>398</v>
      </c>
      <c r="H201" s="67"/>
      <c r="I201" s="67"/>
      <c r="J201" s="67" t="s">
        <v>407</v>
      </c>
      <c r="K201" s="44"/>
    </row>
    <row r="202" spans="1:11" ht="27.75" customHeight="1">
      <c r="A202" s="41">
        <v>199</v>
      </c>
      <c r="B202" s="66" t="s">
        <v>307</v>
      </c>
      <c r="C202" s="66" t="s">
        <v>373</v>
      </c>
      <c r="D202" s="48" t="s">
        <v>397</v>
      </c>
      <c r="E202" s="48" t="s">
        <v>394</v>
      </c>
      <c r="F202" s="49">
        <v>1</v>
      </c>
      <c r="G202" s="66" t="s">
        <v>398</v>
      </c>
      <c r="H202" s="67"/>
      <c r="I202" s="67"/>
      <c r="J202" s="67" t="s">
        <v>407</v>
      </c>
      <c r="K202" s="68"/>
    </row>
    <row r="203" spans="1:11" ht="27.75" customHeight="1">
      <c r="A203" s="41">
        <v>200</v>
      </c>
      <c r="B203" s="66"/>
      <c r="C203" s="66"/>
      <c r="D203" s="48"/>
      <c r="E203" s="48"/>
      <c r="F203" s="49"/>
      <c r="G203" s="66"/>
      <c r="H203" s="67"/>
      <c r="I203" s="67"/>
      <c r="J203" s="67"/>
      <c r="K203" s="44"/>
    </row>
    <row r="204" spans="1:11" ht="27.75" customHeight="1">
      <c r="A204" s="41">
        <v>201</v>
      </c>
      <c r="B204" s="66"/>
      <c r="C204" s="66"/>
      <c r="D204" s="48"/>
      <c r="E204" s="48"/>
      <c r="F204" s="49"/>
      <c r="G204" s="66"/>
      <c r="H204" s="67"/>
      <c r="I204" s="67"/>
      <c r="J204" s="67"/>
      <c r="K204" s="44"/>
    </row>
    <row r="205" spans="1:11" ht="27.75" customHeight="1">
      <c r="A205" s="41">
        <v>202</v>
      </c>
      <c r="B205" s="66"/>
      <c r="C205" s="66"/>
      <c r="D205" s="48"/>
      <c r="E205" s="48"/>
      <c r="F205" s="49"/>
      <c r="G205" s="66"/>
      <c r="H205" s="67"/>
      <c r="I205" s="67"/>
      <c r="J205" s="67"/>
      <c r="K205" s="44"/>
    </row>
    <row r="206" spans="1:11" ht="27.75" customHeight="1">
      <c r="A206" s="41">
        <v>203</v>
      </c>
      <c r="B206" s="66"/>
      <c r="C206" s="66"/>
      <c r="D206" s="48"/>
      <c r="E206" s="48"/>
      <c r="F206" s="49"/>
      <c r="G206" s="66"/>
      <c r="H206" s="67"/>
      <c r="I206" s="67"/>
      <c r="J206" s="67"/>
      <c r="K206" s="44"/>
    </row>
    <row r="207" spans="1:11" ht="27.75" customHeight="1">
      <c r="A207" s="41">
        <v>204</v>
      </c>
      <c r="B207" s="66"/>
      <c r="C207" s="66"/>
      <c r="D207" s="48"/>
      <c r="E207" s="48"/>
      <c r="F207" s="49"/>
      <c r="G207" s="66"/>
      <c r="H207" s="67"/>
      <c r="I207" s="67"/>
      <c r="J207" s="67"/>
      <c r="K207" s="44"/>
    </row>
    <row r="208" spans="1:11" ht="27.75" customHeight="1">
      <c r="A208" s="41">
        <v>205</v>
      </c>
      <c r="B208" s="66"/>
      <c r="C208" s="66"/>
      <c r="D208" s="48"/>
      <c r="E208" s="48"/>
      <c r="F208" s="49"/>
      <c r="G208" s="66"/>
      <c r="H208" s="67"/>
      <c r="I208" s="67"/>
      <c r="J208" s="67"/>
      <c r="K208" s="44"/>
    </row>
    <row r="209" spans="1:11" ht="27.75" customHeight="1">
      <c r="A209" s="41">
        <v>206</v>
      </c>
      <c r="B209" s="66"/>
      <c r="C209" s="66"/>
      <c r="D209" s="48"/>
      <c r="E209" s="48"/>
      <c r="F209" s="49"/>
      <c r="G209" s="66"/>
      <c r="H209" s="67"/>
      <c r="I209" s="67"/>
      <c r="J209" s="67"/>
      <c r="K209" s="44"/>
    </row>
    <row r="210" spans="1:11" ht="27.75" customHeight="1">
      <c r="A210" s="41">
        <v>207</v>
      </c>
      <c r="B210" s="66"/>
      <c r="C210" s="66"/>
      <c r="D210" s="48"/>
      <c r="E210" s="48"/>
      <c r="F210" s="49"/>
      <c r="G210" s="66"/>
      <c r="H210" s="67"/>
      <c r="I210" s="67"/>
      <c r="J210" s="67"/>
      <c r="K210" s="44"/>
    </row>
    <row r="211" spans="1:11" ht="27.75" customHeight="1">
      <c r="A211" s="41">
        <v>208</v>
      </c>
      <c r="B211" s="66"/>
      <c r="C211" s="66"/>
      <c r="D211" s="48"/>
      <c r="E211" s="48"/>
      <c r="F211" s="49"/>
      <c r="G211" s="66"/>
      <c r="H211" s="67"/>
      <c r="I211" s="67"/>
      <c r="J211" s="67"/>
      <c r="K211" s="44"/>
    </row>
    <row r="212" spans="1:11" ht="27.75" customHeight="1">
      <c r="A212" s="41">
        <v>209</v>
      </c>
      <c r="B212" s="66"/>
      <c r="C212" s="66"/>
      <c r="D212" s="48"/>
      <c r="E212" s="48"/>
      <c r="F212" s="49"/>
      <c r="G212" s="66"/>
      <c r="H212" s="67"/>
      <c r="I212" s="67"/>
      <c r="J212" s="67"/>
      <c r="K212" s="44"/>
    </row>
    <row r="213" spans="1:11" ht="27.75" customHeight="1">
      <c r="A213" s="41">
        <v>210</v>
      </c>
      <c r="B213" s="66"/>
      <c r="C213" s="66"/>
      <c r="D213" s="48"/>
      <c r="E213" s="48"/>
      <c r="F213" s="49"/>
      <c r="G213" s="66"/>
      <c r="H213" s="67"/>
      <c r="I213" s="67"/>
      <c r="J213" s="67"/>
      <c r="K213" s="44"/>
    </row>
    <row r="214" spans="1:11" ht="27.75" customHeight="1">
      <c r="A214" s="41">
        <v>211</v>
      </c>
      <c r="B214" s="66"/>
      <c r="C214" s="66"/>
      <c r="D214" s="48"/>
      <c r="E214" s="48"/>
      <c r="F214" s="49"/>
      <c r="G214" s="66"/>
      <c r="H214" s="67"/>
      <c r="I214" s="67"/>
      <c r="J214" s="67"/>
      <c r="K214" s="44"/>
    </row>
    <row r="215" spans="1:11" ht="27.75" customHeight="1">
      <c r="A215" s="41">
        <v>212</v>
      </c>
      <c r="B215" s="66"/>
      <c r="C215" s="66"/>
      <c r="D215" s="48"/>
      <c r="E215" s="48"/>
      <c r="F215" s="49"/>
      <c r="G215" s="66"/>
      <c r="H215" s="67"/>
      <c r="I215" s="67"/>
      <c r="J215" s="67"/>
      <c r="K215" s="44"/>
    </row>
    <row r="216" spans="1:11" ht="27.75" customHeight="1">
      <c r="A216" s="41">
        <v>213</v>
      </c>
      <c r="B216" s="66"/>
      <c r="C216" s="66"/>
      <c r="D216" s="48"/>
      <c r="E216" s="48"/>
      <c r="F216" s="49"/>
      <c r="G216" s="66"/>
      <c r="H216" s="67"/>
      <c r="I216" s="67"/>
      <c r="J216" s="67"/>
      <c r="K216" s="44"/>
    </row>
    <row r="217" spans="1:11" ht="27.75" customHeight="1">
      <c r="A217" s="41">
        <v>214</v>
      </c>
      <c r="B217" s="66"/>
      <c r="C217" s="66"/>
      <c r="D217" s="48"/>
      <c r="E217" s="48"/>
      <c r="F217" s="49"/>
      <c r="G217" s="66"/>
      <c r="H217" s="67"/>
      <c r="I217" s="67"/>
      <c r="J217" s="67"/>
      <c r="K217" s="44"/>
    </row>
    <row r="218" spans="1:11" ht="27.75" customHeight="1">
      <c r="A218" s="41">
        <v>215</v>
      </c>
      <c r="B218" s="66"/>
      <c r="C218" s="66"/>
      <c r="D218" s="48"/>
      <c r="E218" s="48"/>
      <c r="F218" s="49"/>
      <c r="G218" s="66"/>
      <c r="H218" s="67"/>
      <c r="I218" s="67"/>
      <c r="J218" s="67"/>
      <c r="K218" s="44"/>
    </row>
    <row r="219" spans="1:11" ht="30" customHeight="1">
      <c r="A219" s="41">
        <v>216</v>
      </c>
      <c r="B219" s="66"/>
      <c r="C219" s="66"/>
      <c r="D219" s="48"/>
      <c r="E219" s="48"/>
      <c r="F219" s="49"/>
      <c r="G219" s="66"/>
      <c r="H219" s="67"/>
      <c r="I219" s="67"/>
      <c r="J219" s="67"/>
      <c r="K219" s="68"/>
    </row>
    <row r="220" spans="1:11" ht="27.75" customHeight="1">
      <c r="A220" s="41">
        <v>217</v>
      </c>
      <c r="B220" s="66"/>
      <c r="C220" s="66"/>
      <c r="D220" s="48"/>
      <c r="E220" s="48"/>
      <c r="F220" s="49"/>
      <c r="G220" s="66"/>
      <c r="H220" s="67"/>
      <c r="I220" s="67"/>
      <c r="J220" s="67"/>
      <c r="K220" s="44"/>
    </row>
    <row r="221" spans="1:11" ht="27.75" customHeight="1">
      <c r="A221" s="41">
        <v>218</v>
      </c>
      <c r="B221" s="66"/>
      <c r="C221" s="66"/>
      <c r="D221" s="48"/>
      <c r="E221" s="48"/>
      <c r="F221" s="49"/>
      <c r="G221" s="66"/>
      <c r="H221" s="67"/>
      <c r="I221" s="67"/>
      <c r="J221" s="67"/>
      <c r="K221" s="44"/>
    </row>
    <row r="222" spans="1:11" ht="27.75" customHeight="1">
      <c r="A222" s="41">
        <v>219</v>
      </c>
      <c r="B222" s="66"/>
      <c r="C222" s="66"/>
      <c r="D222" s="48"/>
      <c r="E222" s="48"/>
      <c r="F222" s="49"/>
      <c r="G222" s="66"/>
      <c r="H222" s="67"/>
      <c r="I222" s="67"/>
      <c r="J222" s="67"/>
      <c r="K222" s="44"/>
    </row>
    <row r="223" spans="1:11" ht="27.75" customHeight="1">
      <c r="A223" s="41">
        <v>220</v>
      </c>
      <c r="B223" s="66"/>
      <c r="C223" s="66"/>
      <c r="D223" s="48"/>
      <c r="E223" s="48"/>
      <c r="F223" s="49"/>
      <c r="G223" s="66"/>
      <c r="H223" s="67"/>
      <c r="I223" s="67"/>
      <c r="J223" s="67"/>
      <c r="K223" s="44"/>
    </row>
    <row r="224" spans="1:11" ht="27.75" customHeight="1">
      <c r="A224" s="41">
        <v>221</v>
      </c>
      <c r="B224" s="66"/>
      <c r="C224" s="66"/>
      <c r="D224" s="48"/>
      <c r="E224" s="48"/>
      <c r="F224" s="49"/>
      <c r="G224" s="66"/>
      <c r="H224" s="67"/>
      <c r="I224" s="67"/>
      <c r="J224" s="67"/>
      <c r="K224" s="44"/>
    </row>
    <row r="225" spans="1:11" ht="27.75" customHeight="1">
      <c r="A225" s="41">
        <v>222</v>
      </c>
      <c r="B225" s="66"/>
      <c r="C225" s="66"/>
      <c r="D225" s="48"/>
      <c r="E225" s="48"/>
      <c r="F225" s="49"/>
      <c r="G225" s="66"/>
      <c r="H225" s="67"/>
      <c r="I225" s="67"/>
      <c r="J225" s="67"/>
      <c r="K225" s="44"/>
    </row>
    <row r="226" spans="1:11" ht="27.75" customHeight="1">
      <c r="A226" s="41">
        <v>223</v>
      </c>
      <c r="B226" s="66"/>
      <c r="C226" s="66"/>
      <c r="D226" s="48"/>
      <c r="E226" s="48"/>
      <c r="F226" s="49"/>
      <c r="G226" s="66"/>
      <c r="H226" s="67"/>
      <c r="I226" s="67"/>
      <c r="J226" s="67"/>
      <c r="K226" s="44"/>
    </row>
    <row r="227" spans="1:11" ht="27.75" customHeight="1">
      <c r="A227" s="41">
        <v>224</v>
      </c>
      <c r="B227" s="66"/>
      <c r="C227" s="66"/>
      <c r="D227" s="48"/>
      <c r="E227" s="48"/>
      <c r="F227" s="49"/>
      <c r="G227" s="66"/>
      <c r="H227" s="67"/>
      <c r="I227" s="67"/>
      <c r="J227" s="67"/>
      <c r="K227" s="44"/>
    </row>
    <row r="228" spans="1:11" ht="27.75" customHeight="1">
      <c r="A228" s="41">
        <v>225</v>
      </c>
      <c r="B228" s="66"/>
      <c r="C228" s="66"/>
      <c r="D228" s="48"/>
      <c r="E228" s="48"/>
      <c r="F228" s="49"/>
      <c r="G228" s="66"/>
      <c r="H228" s="67"/>
      <c r="I228" s="67"/>
      <c r="J228" s="67"/>
      <c r="K228" s="44"/>
    </row>
    <row r="229" spans="1:11" ht="27.75" customHeight="1">
      <c r="A229" s="41">
        <v>226</v>
      </c>
      <c r="B229" s="66"/>
      <c r="C229" s="66"/>
      <c r="D229" s="48"/>
      <c r="E229" s="48"/>
      <c r="F229" s="49"/>
      <c r="G229" s="66"/>
      <c r="H229" s="67"/>
      <c r="I229" s="67"/>
      <c r="J229" s="67"/>
      <c r="K229" s="44"/>
    </row>
    <row r="230" spans="1:11" ht="27.75" customHeight="1">
      <c r="A230" s="41">
        <v>227</v>
      </c>
      <c r="B230" s="66"/>
      <c r="C230" s="66"/>
      <c r="D230" s="48"/>
      <c r="E230" s="48"/>
      <c r="F230" s="49"/>
      <c r="G230" s="66"/>
      <c r="H230" s="67"/>
      <c r="I230" s="67"/>
      <c r="J230" s="67"/>
      <c r="K230" s="44"/>
    </row>
    <row r="231" spans="1:11" ht="27.75" customHeight="1">
      <c r="A231" s="41">
        <v>228</v>
      </c>
      <c r="B231" s="66"/>
      <c r="C231" s="66"/>
      <c r="D231" s="48"/>
      <c r="E231" s="48"/>
      <c r="F231" s="49"/>
      <c r="G231" s="66"/>
      <c r="H231" s="67"/>
      <c r="I231" s="67"/>
      <c r="J231" s="67"/>
      <c r="K231" s="44"/>
    </row>
    <row r="232" spans="1:11" ht="27.75" customHeight="1">
      <c r="A232" s="41">
        <v>229</v>
      </c>
      <c r="B232" s="66"/>
      <c r="C232" s="66"/>
      <c r="D232" s="48"/>
      <c r="E232" s="48"/>
      <c r="F232" s="49"/>
      <c r="G232" s="66"/>
      <c r="H232" s="67"/>
      <c r="I232" s="67"/>
      <c r="J232" s="67"/>
      <c r="K232" s="44"/>
    </row>
    <row r="233" spans="1:11" ht="27.75" customHeight="1">
      <c r="A233" s="41">
        <v>230</v>
      </c>
      <c r="B233" s="66"/>
      <c r="C233" s="66"/>
      <c r="D233" s="48"/>
      <c r="E233" s="48"/>
      <c r="F233" s="49"/>
      <c r="G233" s="66"/>
      <c r="H233" s="67"/>
      <c r="I233" s="67"/>
      <c r="J233" s="67"/>
      <c r="K233" s="44"/>
    </row>
    <row r="234" spans="1:11" ht="27.75" customHeight="1">
      <c r="A234" s="41">
        <v>231</v>
      </c>
      <c r="B234" s="66"/>
      <c r="C234" s="66"/>
      <c r="D234" s="48"/>
      <c r="E234" s="48"/>
      <c r="F234" s="49"/>
      <c r="G234" s="66"/>
      <c r="H234" s="67"/>
      <c r="I234" s="67"/>
      <c r="J234" s="67"/>
      <c r="K234" s="44"/>
    </row>
    <row r="235" spans="1:11" ht="27.75" customHeight="1">
      <c r="A235" s="41">
        <v>232</v>
      </c>
      <c r="B235" s="66"/>
      <c r="C235" s="66"/>
      <c r="D235" s="48"/>
      <c r="E235" s="48"/>
      <c r="F235" s="49"/>
      <c r="G235" s="66"/>
      <c r="H235" s="67"/>
      <c r="I235" s="67"/>
      <c r="J235" s="67"/>
      <c r="K235" s="44"/>
    </row>
    <row r="236" spans="1:11" ht="27.75" customHeight="1">
      <c r="A236" s="41">
        <v>233</v>
      </c>
      <c r="B236" s="66"/>
      <c r="C236" s="66"/>
      <c r="D236" s="48"/>
      <c r="E236" s="48"/>
      <c r="F236" s="49"/>
      <c r="G236" s="66"/>
      <c r="H236" s="67"/>
      <c r="I236" s="67"/>
      <c r="J236" s="67"/>
      <c r="K236" s="44"/>
    </row>
    <row r="237" spans="1:11" ht="27.75" customHeight="1">
      <c r="A237" s="41">
        <v>234</v>
      </c>
      <c r="B237" s="66"/>
      <c r="C237" s="66"/>
      <c r="D237" s="48"/>
      <c r="E237" s="48"/>
      <c r="F237" s="49"/>
      <c r="G237" s="66"/>
      <c r="H237" s="67"/>
      <c r="I237" s="67"/>
      <c r="J237" s="67"/>
      <c r="K237" s="44"/>
    </row>
    <row r="238" spans="1:11" ht="27.75" customHeight="1">
      <c r="A238" s="41">
        <v>235</v>
      </c>
      <c r="B238" s="66"/>
      <c r="C238" s="66"/>
      <c r="D238" s="48"/>
      <c r="E238" s="48"/>
      <c r="F238" s="49"/>
      <c r="G238" s="66"/>
      <c r="H238" s="67"/>
      <c r="I238" s="67"/>
      <c r="J238" s="67"/>
      <c r="K238" s="44"/>
    </row>
    <row r="239" spans="1:11" ht="27.75" customHeight="1">
      <c r="A239" s="41">
        <v>236</v>
      </c>
      <c r="B239" s="66"/>
      <c r="C239" s="66"/>
      <c r="D239" s="48"/>
      <c r="E239" s="48"/>
      <c r="F239" s="49"/>
      <c r="G239" s="66"/>
      <c r="H239" s="67"/>
      <c r="I239" s="67"/>
      <c r="J239" s="67"/>
      <c r="K239" s="44"/>
    </row>
    <row r="240" spans="1:11" ht="27.75" customHeight="1">
      <c r="A240" s="41">
        <v>237</v>
      </c>
      <c r="B240" s="66"/>
      <c r="C240" s="66"/>
      <c r="D240" s="48"/>
      <c r="E240" s="48"/>
      <c r="F240" s="49"/>
      <c r="G240" s="66"/>
      <c r="H240" s="67"/>
      <c r="I240" s="67"/>
      <c r="J240" s="67"/>
      <c r="K240" s="44"/>
    </row>
    <row r="241" spans="1:11" ht="27.75" customHeight="1">
      <c r="A241" s="41">
        <v>238</v>
      </c>
      <c r="B241" s="66"/>
      <c r="C241" s="66"/>
      <c r="D241" s="48"/>
      <c r="E241" s="48"/>
      <c r="F241" s="49"/>
      <c r="G241" s="66"/>
      <c r="H241" s="67"/>
      <c r="I241" s="67"/>
      <c r="J241" s="67"/>
      <c r="K241" s="44"/>
    </row>
    <row r="242" spans="1:11" ht="27.75" customHeight="1">
      <c r="A242" s="41">
        <v>239</v>
      </c>
      <c r="B242" s="66"/>
      <c r="C242" s="66"/>
      <c r="D242" s="48"/>
      <c r="E242" s="48"/>
      <c r="F242" s="49"/>
      <c r="G242" s="66"/>
      <c r="H242" s="67"/>
      <c r="I242" s="67"/>
      <c r="J242" s="67"/>
      <c r="K242" s="44"/>
    </row>
    <row r="243" spans="1:11" ht="27.75" customHeight="1">
      <c r="A243" s="41">
        <v>240</v>
      </c>
      <c r="B243" s="66"/>
      <c r="C243" s="66"/>
      <c r="D243" s="48"/>
      <c r="E243" s="71"/>
      <c r="F243" s="49"/>
      <c r="G243" s="66"/>
      <c r="H243" s="67"/>
      <c r="I243" s="67"/>
      <c r="J243" s="67"/>
      <c r="K243" s="44"/>
    </row>
    <row r="244" spans="1:11" ht="27.75" customHeight="1">
      <c r="A244" s="41">
        <v>241</v>
      </c>
      <c r="B244" s="66"/>
      <c r="C244" s="66"/>
      <c r="D244" s="48"/>
      <c r="E244" s="71"/>
      <c r="F244" s="49"/>
      <c r="G244" s="66"/>
      <c r="H244" s="67"/>
      <c r="I244" s="67"/>
      <c r="J244" s="67"/>
      <c r="K244" s="44"/>
    </row>
    <row r="245" spans="1:11" ht="27.75" customHeight="1">
      <c r="A245" s="41">
        <v>242</v>
      </c>
      <c r="B245" s="66"/>
      <c r="C245" s="66"/>
      <c r="D245" s="48"/>
      <c r="E245" s="48"/>
      <c r="F245" s="49"/>
      <c r="G245" s="66"/>
      <c r="H245" s="67"/>
      <c r="I245" s="67"/>
      <c r="J245" s="67"/>
      <c r="K245" s="72"/>
    </row>
    <row r="246" spans="1:11" ht="27.75" customHeight="1">
      <c r="A246" s="41">
        <v>243</v>
      </c>
      <c r="B246" s="66"/>
      <c r="C246" s="66"/>
      <c r="D246" s="48"/>
      <c r="E246" s="48"/>
      <c r="F246" s="49"/>
      <c r="G246" s="66"/>
      <c r="H246" s="67"/>
      <c r="I246" s="67"/>
      <c r="J246" s="67"/>
      <c r="K246" s="44"/>
    </row>
    <row r="247" spans="1:11" ht="27.75" customHeight="1">
      <c r="A247" s="41">
        <v>244</v>
      </c>
      <c r="B247" s="66"/>
      <c r="C247" s="66"/>
      <c r="D247" s="48"/>
      <c r="E247" s="48"/>
      <c r="F247" s="49"/>
      <c r="G247" s="66"/>
      <c r="H247" s="67"/>
      <c r="I247" s="67"/>
      <c r="J247" s="67"/>
      <c r="K247" s="44"/>
    </row>
    <row r="248" spans="1:11" ht="27.75" customHeight="1">
      <c r="A248" s="41">
        <v>245</v>
      </c>
      <c r="B248" s="66"/>
      <c r="C248" s="66"/>
      <c r="D248" s="48"/>
      <c r="E248" s="48"/>
      <c r="F248" s="49"/>
      <c r="G248" s="66"/>
      <c r="H248" s="67"/>
      <c r="I248" s="67"/>
      <c r="J248" s="67"/>
      <c r="K248" s="44"/>
    </row>
    <row r="249" spans="1:11" ht="27.75" customHeight="1">
      <c r="A249" s="41">
        <v>246</v>
      </c>
      <c r="B249" s="66"/>
      <c r="C249" s="66"/>
      <c r="D249" s="48"/>
      <c r="E249" s="48"/>
      <c r="F249" s="49"/>
      <c r="G249" s="66"/>
      <c r="H249" s="67"/>
      <c r="I249" s="67"/>
      <c r="J249" s="67"/>
      <c r="K249" s="44"/>
    </row>
    <row r="250" spans="1:11" ht="27.75" customHeight="1">
      <c r="A250" s="41">
        <v>247</v>
      </c>
      <c r="B250" s="66"/>
      <c r="C250" s="66"/>
      <c r="D250" s="48"/>
      <c r="E250" s="48"/>
      <c r="F250" s="49"/>
      <c r="G250" s="66"/>
      <c r="H250" s="67"/>
      <c r="I250" s="67"/>
      <c r="J250" s="67"/>
      <c r="K250" s="44"/>
    </row>
    <row r="251" spans="1:11" ht="27.75" customHeight="1">
      <c r="A251" s="41">
        <v>248</v>
      </c>
      <c r="B251" s="66"/>
      <c r="C251" s="66"/>
      <c r="D251" s="48"/>
      <c r="E251" s="48"/>
      <c r="F251" s="49"/>
      <c r="G251" s="66"/>
      <c r="H251" s="67"/>
      <c r="I251" s="67"/>
      <c r="J251" s="67"/>
      <c r="K251" s="44"/>
    </row>
    <row r="252" spans="1:11" ht="27.75" customHeight="1">
      <c r="A252" s="41">
        <v>249</v>
      </c>
      <c r="B252" s="66"/>
      <c r="C252" s="66"/>
      <c r="D252" s="48"/>
      <c r="E252" s="48"/>
      <c r="F252" s="49"/>
      <c r="G252" s="66"/>
      <c r="H252" s="67"/>
      <c r="I252" s="67"/>
      <c r="J252" s="67"/>
      <c r="K252" s="44"/>
    </row>
    <row r="253" spans="1:11" ht="27.75" customHeight="1">
      <c r="A253" s="41">
        <v>250</v>
      </c>
      <c r="B253" s="66"/>
      <c r="C253" s="66"/>
      <c r="D253" s="48"/>
      <c r="E253" s="48"/>
      <c r="F253" s="49"/>
      <c r="G253" s="66"/>
      <c r="H253" s="67"/>
      <c r="I253" s="67"/>
      <c r="J253" s="67"/>
      <c r="K253" s="44"/>
    </row>
    <row r="254" spans="1:11" ht="27.75" customHeight="1">
      <c r="A254" s="41">
        <v>251</v>
      </c>
      <c r="B254" s="66"/>
      <c r="C254" s="66"/>
      <c r="D254" s="48"/>
      <c r="E254" s="48"/>
      <c r="F254" s="49"/>
      <c r="G254" s="66"/>
      <c r="H254" s="67"/>
      <c r="I254" s="67"/>
      <c r="J254" s="67"/>
      <c r="K254" s="44"/>
    </row>
    <row r="255" spans="1:11" ht="27.75" customHeight="1">
      <c r="A255" s="41">
        <v>252</v>
      </c>
      <c r="B255" s="66"/>
      <c r="C255" s="66"/>
      <c r="D255" s="48"/>
      <c r="E255" s="48"/>
      <c r="F255" s="49"/>
      <c r="G255" s="66"/>
      <c r="H255" s="67"/>
      <c r="I255" s="67"/>
      <c r="J255" s="67"/>
      <c r="K255" s="69"/>
    </row>
    <row r="256" spans="1:11" ht="27.75" customHeight="1">
      <c r="A256" s="41">
        <v>253</v>
      </c>
      <c r="B256" s="66"/>
      <c r="C256" s="66"/>
      <c r="D256" s="48"/>
      <c r="E256" s="48"/>
      <c r="F256" s="49"/>
      <c r="G256" s="66"/>
      <c r="H256" s="67"/>
      <c r="I256" s="67"/>
      <c r="J256" s="67"/>
      <c r="K256" s="44"/>
    </row>
    <row r="257" spans="1:11" ht="27.75" customHeight="1">
      <c r="A257" s="41">
        <v>254</v>
      </c>
      <c r="B257" s="66"/>
      <c r="C257" s="66"/>
      <c r="D257" s="48"/>
      <c r="E257" s="48"/>
      <c r="F257" s="49"/>
      <c r="G257" s="66"/>
      <c r="H257" s="67"/>
      <c r="I257" s="67"/>
      <c r="J257" s="67"/>
      <c r="K257" s="44"/>
    </row>
    <row r="258" spans="1:11" ht="27.75" customHeight="1">
      <c r="A258" s="41">
        <v>255</v>
      </c>
      <c r="B258" s="66"/>
      <c r="C258" s="66"/>
      <c r="D258" s="48"/>
      <c r="E258" s="48"/>
      <c r="F258" s="49"/>
      <c r="G258" s="66"/>
      <c r="H258" s="67"/>
      <c r="I258" s="67"/>
      <c r="J258" s="67"/>
      <c r="K258" s="44"/>
    </row>
    <row r="259" spans="1:11" ht="27.75" customHeight="1">
      <c r="A259" s="41">
        <v>256</v>
      </c>
      <c r="B259" s="66"/>
      <c r="C259" s="66"/>
      <c r="D259" s="48"/>
      <c r="E259" s="48"/>
      <c r="F259" s="49"/>
      <c r="G259" s="66"/>
      <c r="H259" s="67"/>
      <c r="I259" s="67"/>
      <c r="J259" s="67"/>
      <c r="K259" s="44"/>
    </row>
    <row r="260" spans="1:11" ht="27.75" customHeight="1">
      <c r="A260" s="41">
        <v>257</v>
      </c>
      <c r="B260" s="66"/>
      <c r="C260" s="66"/>
      <c r="D260" s="48"/>
      <c r="E260" s="48"/>
      <c r="F260" s="49"/>
      <c r="G260" s="66"/>
      <c r="H260" s="67"/>
      <c r="I260" s="67"/>
      <c r="J260" s="67"/>
      <c r="K260" s="44"/>
    </row>
    <row r="261" spans="1:11" ht="27.75" customHeight="1">
      <c r="A261" s="41">
        <v>258</v>
      </c>
      <c r="B261" s="66"/>
      <c r="C261" s="66"/>
      <c r="D261" s="48"/>
      <c r="E261" s="48"/>
      <c r="F261" s="49"/>
      <c r="G261" s="66"/>
      <c r="H261" s="67"/>
      <c r="I261" s="67"/>
      <c r="J261" s="67"/>
      <c r="K261" s="44"/>
    </row>
    <row r="262" spans="1:11" ht="27.75" customHeight="1">
      <c r="A262" s="41">
        <v>259</v>
      </c>
      <c r="B262" s="66"/>
      <c r="C262" s="66"/>
      <c r="D262" s="48"/>
      <c r="E262" s="48"/>
      <c r="F262" s="49"/>
      <c r="G262" s="66"/>
      <c r="H262" s="67"/>
      <c r="I262" s="67"/>
      <c r="J262" s="67"/>
      <c r="K262" s="69"/>
    </row>
    <row r="263" spans="1:11" ht="27.75" customHeight="1">
      <c r="A263" s="41">
        <v>260</v>
      </c>
      <c r="B263" s="66"/>
      <c r="C263" s="66"/>
      <c r="D263" s="48"/>
      <c r="E263" s="48"/>
      <c r="F263" s="49"/>
      <c r="G263" s="66"/>
      <c r="H263" s="67"/>
      <c r="I263" s="67"/>
      <c r="J263" s="67"/>
      <c r="K263" s="44"/>
    </row>
    <row r="264" spans="1:11" ht="27.75" customHeight="1">
      <c r="A264" s="41">
        <v>261</v>
      </c>
      <c r="B264" s="66"/>
      <c r="C264" s="66"/>
      <c r="D264" s="48"/>
      <c r="E264" s="48"/>
      <c r="F264" s="49"/>
      <c r="G264" s="66"/>
      <c r="H264" s="67"/>
      <c r="I264" s="67"/>
      <c r="J264" s="67"/>
      <c r="K264" s="44"/>
    </row>
    <row r="265" spans="1:11" ht="27.75" customHeight="1">
      <c r="A265" s="41">
        <v>262</v>
      </c>
      <c r="B265" s="66"/>
      <c r="C265" s="66"/>
      <c r="D265" s="48"/>
      <c r="E265" s="48"/>
      <c r="F265" s="49"/>
      <c r="G265" s="66"/>
      <c r="H265" s="67"/>
      <c r="I265" s="67"/>
      <c r="J265" s="67"/>
      <c r="K265" s="44"/>
    </row>
    <row r="266" spans="1:11" ht="27.75" customHeight="1">
      <c r="A266" s="41">
        <v>263</v>
      </c>
      <c r="B266" s="66"/>
      <c r="C266" s="66"/>
      <c r="D266" s="48"/>
      <c r="E266" s="48"/>
      <c r="F266" s="49"/>
      <c r="G266" s="66"/>
      <c r="H266" s="67"/>
      <c r="I266" s="67"/>
      <c r="J266" s="67"/>
      <c r="K266" s="44"/>
    </row>
    <row r="267" spans="1:11" ht="27.75" customHeight="1">
      <c r="A267" s="41">
        <v>264</v>
      </c>
      <c r="B267" s="66"/>
      <c r="C267" s="66"/>
      <c r="D267" s="48"/>
      <c r="E267" s="71"/>
      <c r="F267" s="49"/>
      <c r="G267" s="66"/>
      <c r="H267" s="67"/>
      <c r="I267" s="67"/>
      <c r="J267" s="67"/>
      <c r="K267" s="44"/>
    </row>
    <row r="268" spans="1:11" ht="27.75" customHeight="1">
      <c r="A268" s="41">
        <v>265</v>
      </c>
      <c r="B268" s="66"/>
      <c r="C268" s="66"/>
      <c r="D268" s="48"/>
      <c r="E268" s="71"/>
      <c r="F268" s="49"/>
      <c r="G268" s="66"/>
      <c r="H268" s="67"/>
      <c r="I268" s="67"/>
      <c r="J268" s="67"/>
      <c r="K268" s="44"/>
    </row>
    <row r="269" spans="1:11" ht="27.75" customHeight="1">
      <c r="A269" s="41">
        <v>266</v>
      </c>
      <c r="B269" s="66"/>
      <c r="C269" s="66"/>
      <c r="D269" s="48"/>
      <c r="E269" s="71"/>
      <c r="F269" s="49"/>
      <c r="G269" s="66"/>
      <c r="H269" s="67"/>
      <c r="I269" s="67"/>
      <c r="J269" s="67"/>
      <c r="K269" s="44"/>
    </row>
    <row r="270" spans="1:11" ht="27.75" customHeight="1">
      <c r="A270" s="41">
        <v>267</v>
      </c>
      <c r="B270" s="66"/>
      <c r="C270" s="66"/>
      <c r="D270" s="48"/>
      <c r="E270" s="71"/>
      <c r="F270" s="49"/>
      <c r="G270" s="66"/>
      <c r="H270" s="67"/>
      <c r="I270" s="67"/>
      <c r="J270" s="67"/>
      <c r="K270" s="44"/>
    </row>
    <row r="271" spans="1:11" ht="27.75" customHeight="1">
      <c r="A271" s="41">
        <v>268</v>
      </c>
      <c r="B271" s="66"/>
      <c r="C271" s="66"/>
      <c r="D271" s="48"/>
      <c r="E271" s="48"/>
      <c r="F271" s="49"/>
      <c r="G271" s="66"/>
      <c r="H271" s="67"/>
      <c r="I271" s="67"/>
      <c r="J271" s="67"/>
      <c r="K271" s="44"/>
    </row>
    <row r="272" spans="1:11" ht="27.75" customHeight="1">
      <c r="A272" s="41">
        <v>269</v>
      </c>
      <c r="B272" s="66"/>
      <c r="C272" s="66"/>
      <c r="D272" s="48"/>
      <c r="E272" s="48"/>
      <c r="F272" s="49"/>
      <c r="G272" s="66"/>
      <c r="H272" s="67"/>
      <c r="I272" s="67"/>
      <c r="J272" s="67"/>
      <c r="K272" s="44"/>
    </row>
    <row r="273" spans="1:11" ht="27.75" customHeight="1">
      <c r="A273" s="41">
        <v>270</v>
      </c>
      <c r="B273" s="66"/>
      <c r="C273" s="66"/>
      <c r="D273" s="48"/>
      <c r="E273" s="48"/>
      <c r="F273" s="49"/>
      <c r="G273" s="66"/>
      <c r="H273" s="67"/>
      <c r="I273" s="67"/>
      <c r="J273" s="67"/>
      <c r="K273" s="44"/>
    </row>
    <row r="274" spans="1:11" ht="27.75" customHeight="1">
      <c r="A274" s="41">
        <v>271</v>
      </c>
      <c r="B274" s="66"/>
      <c r="C274" s="66"/>
      <c r="D274" s="48"/>
      <c r="E274" s="48"/>
      <c r="F274" s="49"/>
      <c r="G274" s="66"/>
      <c r="H274" s="67"/>
      <c r="I274" s="67"/>
      <c r="J274" s="67"/>
      <c r="K274" s="44"/>
    </row>
    <row r="275" spans="1:11" ht="27.75" customHeight="1">
      <c r="A275" s="41">
        <v>272</v>
      </c>
      <c r="B275" s="66"/>
      <c r="C275" s="66"/>
      <c r="D275" s="48"/>
      <c r="E275" s="48"/>
      <c r="F275" s="49"/>
      <c r="G275" s="66"/>
      <c r="H275" s="67"/>
      <c r="I275" s="67"/>
      <c r="J275" s="67"/>
      <c r="K275" s="44"/>
    </row>
    <row r="276" spans="1:11" ht="27.75" customHeight="1">
      <c r="A276" s="41">
        <v>273</v>
      </c>
      <c r="B276" s="66"/>
      <c r="C276" s="66"/>
      <c r="D276" s="48"/>
      <c r="E276" s="48"/>
      <c r="F276" s="49"/>
      <c r="G276" s="66"/>
      <c r="H276" s="67"/>
      <c r="I276" s="67"/>
      <c r="J276" s="67"/>
      <c r="K276" s="69"/>
    </row>
    <row r="277" spans="1:11" ht="27.75" customHeight="1">
      <c r="A277" s="41">
        <v>274</v>
      </c>
      <c r="B277" s="66"/>
      <c r="C277" s="66"/>
      <c r="D277" s="48"/>
      <c r="E277" s="48"/>
      <c r="F277" s="49"/>
      <c r="G277" s="66"/>
      <c r="H277" s="67"/>
      <c r="I277" s="67"/>
      <c r="J277" s="67"/>
      <c r="K277" s="44"/>
    </row>
    <row r="278" spans="1:11" ht="27.75" customHeight="1">
      <c r="A278" s="41">
        <v>275</v>
      </c>
      <c r="B278" s="66"/>
      <c r="C278" s="66"/>
      <c r="D278" s="48"/>
      <c r="E278" s="48"/>
      <c r="F278" s="49"/>
      <c r="G278" s="66"/>
      <c r="H278" s="67"/>
      <c r="I278" s="67"/>
      <c r="J278" s="67"/>
      <c r="K278" s="44"/>
    </row>
    <row r="279" spans="1:11" ht="27.75" customHeight="1">
      <c r="A279" s="41">
        <v>276</v>
      </c>
      <c r="B279" s="66"/>
      <c r="C279" s="66"/>
      <c r="D279" s="48"/>
      <c r="E279" s="48"/>
      <c r="F279" s="49"/>
      <c r="G279" s="66"/>
      <c r="H279" s="67"/>
      <c r="I279" s="67"/>
      <c r="J279" s="67"/>
      <c r="K279" s="44"/>
    </row>
    <row r="280" spans="1:11" ht="27.75" customHeight="1">
      <c r="A280" s="41">
        <v>277</v>
      </c>
      <c r="B280" s="66"/>
      <c r="C280" s="66"/>
      <c r="D280" s="48"/>
      <c r="E280" s="48"/>
      <c r="F280" s="49"/>
      <c r="G280" s="66"/>
      <c r="H280" s="67"/>
      <c r="I280" s="67"/>
      <c r="J280" s="67"/>
      <c r="K280" s="44"/>
    </row>
    <row r="281" spans="1:11" ht="27.75" customHeight="1">
      <c r="A281" s="41">
        <v>278</v>
      </c>
      <c r="B281" s="66"/>
      <c r="C281" s="66"/>
      <c r="D281" s="48"/>
      <c r="E281" s="48"/>
      <c r="F281" s="49"/>
      <c r="G281" s="66"/>
      <c r="H281" s="67"/>
      <c r="I281" s="67"/>
      <c r="J281" s="67"/>
      <c r="K281" s="44"/>
    </row>
    <row r="282" spans="1:11" ht="27.75" customHeight="1">
      <c r="A282" s="41">
        <v>279</v>
      </c>
      <c r="B282" s="66"/>
      <c r="C282" s="66"/>
      <c r="D282" s="48"/>
      <c r="E282" s="48"/>
      <c r="F282" s="49"/>
      <c r="G282" s="66"/>
      <c r="H282" s="67"/>
      <c r="I282" s="67"/>
      <c r="J282" s="67"/>
      <c r="K282" s="44"/>
    </row>
    <row r="283" spans="1:11" ht="27.75" customHeight="1">
      <c r="A283" s="41">
        <v>280</v>
      </c>
      <c r="B283" s="66"/>
      <c r="C283" s="66"/>
      <c r="D283" s="48"/>
      <c r="E283" s="48"/>
      <c r="F283" s="49"/>
      <c r="G283" s="66"/>
      <c r="H283" s="67"/>
      <c r="I283" s="67"/>
      <c r="J283" s="67"/>
      <c r="K283" s="44"/>
    </row>
    <row r="284" spans="1:11" ht="27.75" customHeight="1">
      <c r="A284" s="41">
        <v>281</v>
      </c>
      <c r="B284" s="66"/>
      <c r="C284" s="66"/>
      <c r="D284" s="48"/>
      <c r="E284" s="48"/>
      <c r="F284" s="49"/>
      <c r="G284" s="66"/>
      <c r="H284" s="67"/>
      <c r="I284" s="67"/>
      <c r="J284" s="67"/>
      <c r="K284" s="44"/>
    </row>
    <row r="285" spans="1:11" ht="27.75" customHeight="1">
      <c r="A285" s="41">
        <v>282</v>
      </c>
      <c r="B285" s="66"/>
      <c r="C285" s="66"/>
      <c r="D285" s="48"/>
      <c r="E285" s="48"/>
      <c r="F285" s="49"/>
      <c r="G285" s="66"/>
      <c r="H285" s="67"/>
      <c r="I285" s="67"/>
      <c r="J285" s="67"/>
      <c r="K285" s="44"/>
    </row>
    <row r="286" spans="1:11" ht="27.75" customHeight="1">
      <c r="A286" s="41">
        <v>283</v>
      </c>
      <c r="B286" s="66"/>
      <c r="C286" s="66"/>
      <c r="D286" s="48"/>
      <c r="E286" s="48"/>
      <c r="F286" s="49"/>
      <c r="G286" s="66"/>
      <c r="H286" s="67"/>
      <c r="I286" s="67"/>
      <c r="J286" s="67"/>
      <c r="K286" s="44"/>
    </row>
    <row r="287" spans="1:11" ht="27.75" customHeight="1">
      <c r="A287" s="41">
        <v>284</v>
      </c>
      <c r="B287" s="66"/>
      <c r="C287" s="66"/>
      <c r="D287" s="48"/>
      <c r="E287" s="48"/>
      <c r="F287" s="49"/>
      <c r="G287" s="66"/>
      <c r="H287" s="67"/>
      <c r="I287" s="67"/>
      <c r="J287" s="67"/>
      <c r="K287" s="44"/>
    </row>
    <row r="288" spans="1:11" ht="27.75" customHeight="1">
      <c r="A288" s="41">
        <v>285</v>
      </c>
      <c r="B288" s="66"/>
      <c r="C288" s="66"/>
      <c r="D288" s="48"/>
      <c r="E288" s="48"/>
      <c r="F288" s="49"/>
      <c r="G288" s="66"/>
      <c r="H288" s="67"/>
      <c r="I288" s="67"/>
      <c r="J288" s="67"/>
      <c r="K288" s="44"/>
    </row>
    <row r="289" spans="1:11" ht="27.75" customHeight="1">
      <c r="A289" s="41">
        <v>286</v>
      </c>
      <c r="B289" s="66"/>
      <c r="C289" s="66"/>
      <c r="D289" s="48"/>
      <c r="E289" s="48"/>
      <c r="F289" s="49"/>
      <c r="G289" s="66"/>
      <c r="H289" s="67"/>
      <c r="I289" s="67"/>
      <c r="J289" s="67"/>
      <c r="K289" s="44"/>
    </row>
    <row r="290" spans="1:11" ht="27.75" customHeight="1">
      <c r="A290" s="41">
        <v>287</v>
      </c>
      <c r="B290" s="66"/>
      <c r="C290" s="66"/>
      <c r="D290" s="48"/>
      <c r="E290" s="48"/>
      <c r="F290" s="49"/>
      <c r="G290" s="66"/>
      <c r="H290" s="67"/>
      <c r="I290" s="67"/>
      <c r="J290" s="67"/>
      <c r="K290" s="44"/>
    </row>
    <row r="291" spans="1:11" ht="27.75" customHeight="1">
      <c r="A291" s="41">
        <v>288</v>
      </c>
      <c r="B291" s="66"/>
      <c r="C291" s="66"/>
      <c r="D291" s="48"/>
      <c r="E291" s="48"/>
      <c r="F291" s="49"/>
      <c r="G291" s="66"/>
      <c r="H291" s="67"/>
      <c r="I291" s="67"/>
      <c r="J291" s="67"/>
      <c r="K291" s="44"/>
    </row>
    <row r="292" spans="1:11" ht="27.75" customHeight="1">
      <c r="A292" s="41">
        <v>289</v>
      </c>
      <c r="B292" s="66"/>
      <c r="C292" s="66"/>
      <c r="D292" s="48"/>
      <c r="E292" s="48"/>
      <c r="F292" s="49"/>
      <c r="G292" s="66"/>
      <c r="H292" s="67"/>
      <c r="I292" s="67"/>
      <c r="J292" s="67"/>
      <c r="K292" s="44"/>
    </row>
    <row r="293" spans="1:11" ht="27.75" customHeight="1">
      <c r="A293" s="41">
        <v>290</v>
      </c>
      <c r="B293" s="66"/>
      <c r="C293" s="66"/>
      <c r="D293" s="48"/>
      <c r="E293" s="48"/>
      <c r="F293" s="49"/>
      <c r="G293" s="66"/>
      <c r="H293" s="67"/>
      <c r="I293" s="67"/>
      <c r="J293" s="67"/>
      <c r="K293" s="44"/>
    </row>
    <row r="294" spans="1:11" ht="27.75" customHeight="1">
      <c r="A294" s="41">
        <v>291</v>
      </c>
      <c r="B294" s="66"/>
      <c r="C294" s="66"/>
      <c r="D294" s="48"/>
      <c r="E294" s="48"/>
      <c r="F294" s="49"/>
      <c r="G294" s="66"/>
      <c r="H294" s="67"/>
      <c r="I294" s="67"/>
      <c r="J294" s="67"/>
      <c r="K294" s="44"/>
    </row>
    <row r="295" spans="1:11" ht="27.75" customHeight="1">
      <c r="A295" s="41">
        <v>292</v>
      </c>
      <c r="B295" s="66"/>
      <c r="C295" s="66"/>
      <c r="D295" s="48"/>
      <c r="E295" s="48"/>
      <c r="F295" s="49"/>
      <c r="G295" s="66"/>
      <c r="H295" s="67"/>
      <c r="I295" s="67"/>
      <c r="J295" s="67"/>
      <c r="K295" s="44"/>
    </row>
    <row r="296" spans="1:11" ht="27.75" customHeight="1">
      <c r="A296" s="41">
        <v>293</v>
      </c>
      <c r="B296" s="66"/>
      <c r="C296" s="66"/>
      <c r="D296" s="48"/>
      <c r="E296" s="48"/>
      <c r="F296" s="49"/>
      <c r="G296" s="66"/>
      <c r="H296" s="67"/>
      <c r="I296" s="67"/>
      <c r="J296" s="67"/>
      <c r="K296" s="44"/>
    </row>
    <row r="297" spans="1:11" ht="27.75" customHeight="1">
      <c r="A297" s="41">
        <v>294</v>
      </c>
      <c r="B297" s="66"/>
      <c r="C297" s="66"/>
      <c r="D297" s="48"/>
      <c r="E297" s="48"/>
      <c r="F297" s="49"/>
      <c r="G297" s="66"/>
      <c r="H297" s="67"/>
      <c r="I297" s="67"/>
      <c r="J297" s="67"/>
      <c r="K297" s="44"/>
    </row>
    <row r="298" spans="1:11" ht="27.75" customHeight="1">
      <c r="A298" s="41">
        <v>295</v>
      </c>
      <c r="B298" s="66"/>
      <c r="C298" s="66"/>
      <c r="D298" s="48"/>
      <c r="E298" s="48"/>
      <c r="F298" s="49"/>
      <c r="G298" s="66"/>
      <c r="H298" s="67"/>
      <c r="I298" s="67"/>
      <c r="J298" s="67"/>
      <c r="K298" s="44"/>
    </row>
    <row r="299" spans="1:11" ht="27.75" customHeight="1">
      <c r="A299" s="41">
        <v>296</v>
      </c>
      <c r="B299" s="66"/>
      <c r="C299" s="66"/>
      <c r="D299" s="48"/>
      <c r="E299" s="48"/>
      <c r="F299" s="49"/>
      <c r="G299" s="66"/>
      <c r="H299" s="67"/>
      <c r="I299" s="67"/>
      <c r="J299" s="67"/>
      <c r="K299" s="44"/>
    </row>
    <row r="300" spans="1:11" ht="27.75" customHeight="1">
      <c r="A300" s="41">
        <v>297</v>
      </c>
      <c r="B300" s="66"/>
      <c r="C300" s="66"/>
      <c r="D300" s="48"/>
      <c r="E300" s="48"/>
      <c r="F300" s="49"/>
      <c r="G300" s="66"/>
      <c r="H300" s="67"/>
      <c r="I300" s="67"/>
      <c r="J300" s="67"/>
      <c r="K300" s="44"/>
    </row>
    <row r="301" spans="1:11" ht="27.75" customHeight="1">
      <c r="A301" s="41">
        <v>298</v>
      </c>
      <c r="B301" s="66"/>
      <c r="C301" s="66"/>
      <c r="D301" s="48"/>
      <c r="E301" s="48"/>
      <c r="F301" s="49"/>
      <c r="G301" s="66"/>
      <c r="H301" s="67"/>
      <c r="I301" s="67"/>
      <c r="J301" s="67"/>
      <c r="K301" s="44"/>
    </row>
    <row r="302" spans="1:11" ht="27.75" customHeight="1">
      <c r="A302" s="41">
        <v>299</v>
      </c>
      <c r="B302" s="66"/>
      <c r="C302" s="66"/>
      <c r="D302" s="48"/>
      <c r="E302" s="48"/>
      <c r="F302" s="49"/>
      <c r="G302" s="66"/>
      <c r="H302" s="67"/>
      <c r="I302" s="67"/>
      <c r="J302" s="67"/>
      <c r="K302" s="44"/>
    </row>
    <row r="303" spans="1:11" ht="27.75" customHeight="1">
      <c r="A303" s="41">
        <v>300</v>
      </c>
      <c r="B303" s="66"/>
      <c r="C303" s="66"/>
      <c r="D303" s="48"/>
      <c r="E303" s="48"/>
      <c r="F303" s="49"/>
      <c r="G303" s="66"/>
      <c r="H303" s="67"/>
      <c r="I303" s="67"/>
      <c r="J303" s="67"/>
      <c r="K303" s="44"/>
    </row>
    <row r="304" spans="1:11" ht="27.75" customHeight="1">
      <c r="A304" s="41">
        <v>301</v>
      </c>
      <c r="B304" s="66"/>
      <c r="C304" s="66"/>
      <c r="D304" s="48"/>
      <c r="E304" s="48"/>
      <c r="F304" s="49"/>
      <c r="G304" s="66"/>
      <c r="H304" s="67"/>
      <c r="I304" s="67"/>
      <c r="J304" s="67"/>
      <c r="K304" s="44"/>
    </row>
    <row r="305" spans="1:11" ht="27.75" customHeight="1">
      <c r="A305" s="41">
        <v>302</v>
      </c>
      <c r="B305" s="66"/>
      <c r="C305" s="66"/>
      <c r="D305" s="48"/>
      <c r="E305" s="48"/>
      <c r="F305" s="49"/>
      <c r="G305" s="66"/>
      <c r="H305" s="67"/>
      <c r="I305" s="67"/>
      <c r="J305" s="67"/>
      <c r="K305" s="44"/>
    </row>
    <row r="306" spans="1:11" ht="27.75" customHeight="1">
      <c r="A306" s="41">
        <v>303</v>
      </c>
      <c r="B306" s="66"/>
      <c r="C306" s="66"/>
      <c r="D306" s="48"/>
      <c r="E306" s="48"/>
      <c r="F306" s="49"/>
      <c r="G306" s="66"/>
      <c r="H306" s="67"/>
      <c r="I306" s="67"/>
      <c r="J306" s="67"/>
      <c r="K306" s="44"/>
    </row>
    <row r="307" spans="1:11" ht="27.75" customHeight="1">
      <c r="A307" s="41">
        <v>304</v>
      </c>
      <c r="B307" s="66"/>
      <c r="C307" s="66"/>
      <c r="D307" s="48"/>
      <c r="E307" s="48"/>
      <c r="F307" s="49"/>
      <c r="G307" s="66"/>
      <c r="H307" s="67"/>
      <c r="I307" s="67"/>
      <c r="J307" s="67"/>
      <c r="K307" s="44"/>
    </row>
    <row r="308" spans="1:11" ht="27.75" customHeight="1">
      <c r="A308" s="41">
        <v>305</v>
      </c>
      <c r="B308" s="66"/>
      <c r="C308" s="66"/>
      <c r="D308" s="48"/>
      <c r="E308" s="48"/>
      <c r="F308" s="49"/>
      <c r="G308" s="66"/>
      <c r="H308" s="67"/>
      <c r="I308" s="67"/>
      <c r="J308" s="67"/>
      <c r="K308" s="44"/>
    </row>
    <row r="309" spans="1:11" ht="27.75" customHeight="1">
      <c r="A309" s="41">
        <v>306</v>
      </c>
      <c r="B309" s="66"/>
      <c r="C309" s="66"/>
      <c r="D309" s="48"/>
      <c r="E309" s="48"/>
      <c r="F309" s="49"/>
      <c r="G309" s="66"/>
      <c r="H309" s="67"/>
      <c r="I309" s="67"/>
      <c r="J309" s="67"/>
      <c r="K309" s="44"/>
    </row>
    <row r="310" spans="1:11" ht="27.75" customHeight="1">
      <c r="A310" s="41">
        <v>307</v>
      </c>
      <c r="B310" s="66"/>
      <c r="C310" s="66"/>
      <c r="D310" s="48"/>
      <c r="E310" s="48"/>
      <c r="F310" s="49"/>
      <c r="G310" s="66"/>
      <c r="H310" s="67"/>
      <c r="I310" s="67"/>
      <c r="J310" s="67"/>
      <c r="K310" s="44"/>
    </row>
    <row r="311" spans="1:11" ht="27.75" customHeight="1">
      <c r="A311" s="41">
        <v>308</v>
      </c>
      <c r="B311" s="66"/>
      <c r="C311" s="66"/>
      <c r="D311" s="48"/>
      <c r="E311" s="48"/>
      <c r="F311" s="49"/>
      <c r="G311" s="66"/>
      <c r="H311" s="67"/>
      <c r="I311" s="67"/>
      <c r="J311" s="67"/>
      <c r="K311" s="44"/>
    </row>
    <row r="312" spans="1:11" ht="27.75" customHeight="1">
      <c r="A312" s="41">
        <v>309</v>
      </c>
      <c r="B312" s="66"/>
      <c r="C312" s="66"/>
      <c r="D312" s="48"/>
      <c r="E312" s="48"/>
      <c r="F312" s="49"/>
      <c r="G312" s="66"/>
      <c r="H312" s="67"/>
      <c r="I312" s="67"/>
      <c r="J312" s="67"/>
      <c r="K312" s="44"/>
    </row>
    <row r="313" spans="1:11" ht="27.75" customHeight="1">
      <c r="A313" s="41">
        <v>310</v>
      </c>
      <c r="B313" s="66"/>
      <c r="C313" s="66"/>
      <c r="D313" s="48"/>
      <c r="E313" s="48"/>
      <c r="F313" s="49"/>
      <c r="G313" s="66"/>
      <c r="H313" s="67"/>
      <c r="I313" s="67"/>
      <c r="J313" s="67"/>
      <c r="K313" s="44"/>
    </row>
    <row r="314" spans="1:11" ht="27.75" customHeight="1">
      <c r="A314" s="41">
        <v>311</v>
      </c>
      <c r="B314" s="66"/>
      <c r="C314" s="66"/>
      <c r="D314" s="48"/>
      <c r="E314" s="48"/>
      <c r="F314" s="49"/>
      <c r="G314" s="66"/>
      <c r="H314" s="67"/>
      <c r="I314" s="67"/>
      <c r="J314" s="67"/>
      <c r="K314" s="44"/>
    </row>
    <row r="315" spans="1:11" ht="27.75" customHeight="1">
      <c r="A315" s="41">
        <v>312</v>
      </c>
      <c r="B315" s="66"/>
      <c r="C315" s="66"/>
      <c r="D315" s="48"/>
      <c r="E315" s="48"/>
      <c r="F315" s="49"/>
      <c r="G315" s="66"/>
      <c r="H315" s="67"/>
      <c r="I315" s="67"/>
      <c r="J315" s="67"/>
      <c r="K315" s="44"/>
    </row>
    <row r="316" spans="1:11" ht="27.75" customHeight="1">
      <c r="A316" s="41">
        <v>313</v>
      </c>
      <c r="B316" s="66"/>
      <c r="C316" s="66"/>
      <c r="D316" s="48"/>
      <c r="E316" s="48"/>
      <c r="F316" s="49"/>
      <c r="G316" s="66"/>
      <c r="H316" s="67"/>
      <c r="I316" s="67"/>
      <c r="J316" s="67"/>
      <c r="K316" s="44"/>
    </row>
    <row r="317" spans="1:11" ht="27.75" customHeight="1">
      <c r="A317" s="41">
        <v>314</v>
      </c>
      <c r="B317" s="66"/>
      <c r="C317" s="66"/>
      <c r="D317" s="48"/>
      <c r="E317" s="48"/>
      <c r="F317" s="49"/>
      <c r="G317" s="66"/>
      <c r="H317" s="67"/>
      <c r="I317" s="67"/>
      <c r="J317" s="67"/>
      <c r="K317" s="44"/>
    </row>
    <row r="318" spans="1:11" ht="27.75" customHeight="1">
      <c r="A318" s="41">
        <v>315</v>
      </c>
      <c r="B318" s="66"/>
      <c r="C318" s="66"/>
      <c r="D318" s="48"/>
      <c r="E318" s="48"/>
      <c r="F318" s="49"/>
      <c r="G318" s="66"/>
      <c r="H318" s="67"/>
      <c r="I318" s="67"/>
      <c r="J318" s="67"/>
      <c r="K318" s="44"/>
    </row>
    <row r="319" spans="1:11" ht="27.75" customHeight="1">
      <c r="A319" s="41">
        <v>316</v>
      </c>
      <c r="B319" s="66"/>
      <c r="C319" s="66"/>
      <c r="D319" s="48"/>
      <c r="E319" s="48"/>
      <c r="F319" s="49"/>
      <c r="G319" s="66"/>
      <c r="H319" s="67"/>
      <c r="I319" s="67"/>
      <c r="J319" s="67"/>
      <c r="K319" s="44"/>
    </row>
    <row r="320" spans="1:11" ht="27.75" customHeight="1">
      <c r="A320" s="41">
        <v>317</v>
      </c>
      <c r="B320" s="66"/>
      <c r="C320" s="66"/>
      <c r="D320" s="48"/>
      <c r="E320" s="48"/>
      <c r="F320" s="49"/>
      <c r="G320" s="66"/>
      <c r="H320" s="67"/>
      <c r="I320" s="67"/>
      <c r="J320" s="67"/>
      <c r="K320" s="44"/>
    </row>
    <row r="321" spans="1:11" ht="27.75" customHeight="1">
      <c r="A321" s="41">
        <v>318</v>
      </c>
      <c r="B321" s="66"/>
      <c r="C321" s="66"/>
      <c r="D321" s="48"/>
      <c r="E321" s="48"/>
      <c r="F321" s="49"/>
      <c r="G321" s="66"/>
      <c r="H321" s="67"/>
      <c r="I321" s="67"/>
      <c r="J321" s="67"/>
      <c r="K321" s="44"/>
    </row>
    <row r="322" spans="1:11" ht="27.75" customHeight="1">
      <c r="A322" s="41">
        <v>319</v>
      </c>
      <c r="B322" s="66"/>
      <c r="C322" s="66"/>
      <c r="D322" s="48"/>
      <c r="E322" s="48"/>
      <c r="F322" s="49"/>
      <c r="G322" s="66"/>
      <c r="H322" s="67"/>
      <c r="I322" s="67"/>
      <c r="J322" s="67"/>
      <c r="K322" s="44"/>
    </row>
    <row r="323" spans="1:11" ht="27.75" customHeight="1">
      <c r="A323" s="41">
        <v>320</v>
      </c>
      <c r="B323" s="66"/>
      <c r="C323" s="66"/>
      <c r="D323" s="48"/>
      <c r="E323" s="71"/>
      <c r="F323" s="49"/>
      <c r="G323" s="66"/>
      <c r="H323" s="67"/>
      <c r="I323" s="67"/>
      <c r="J323" s="67"/>
      <c r="K323" s="44"/>
    </row>
    <row r="324" spans="1:11" ht="27.75" customHeight="1">
      <c r="A324" s="41">
        <v>321</v>
      </c>
      <c r="B324" s="66"/>
      <c r="C324" s="66"/>
      <c r="D324" s="48"/>
      <c r="E324" s="71"/>
      <c r="F324" s="49"/>
      <c r="G324" s="66"/>
      <c r="H324" s="67"/>
      <c r="I324" s="67"/>
      <c r="J324" s="67"/>
      <c r="K324" s="44"/>
    </row>
    <row r="325" spans="1:11" ht="27.75" customHeight="1">
      <c r="A325" s="41">
        <v>322</v>
      </c>
      <c r="B325" s="66"/>
      <c r="C325" s="66"/>
      <c r="D325" s="48"/>
      <c r="E325" s="48"/>
      <c r="F325" s="49"/>
      <c r="G325" s="66"/>
      <c r="H325" s="67"/>
      <c r="I325" s="67"/>
      <c r="J325" s="67"/>
      <c r="K325" s="44"/>
    </row>
    <row r="326" spans="1:11" ht="27.75" customHeight="1">
      <c r="A326" s="41">
        <v>323</v>
      </c>
      <c r="B326" s="66"/>
      <c r="C326" s="66"/>
      <c r="D326" s="48"/>
      <c r="E326" s="48"/>
      <c r="F326" s="49"/>
      <c r="G326" s="66"/>
      <c r="H326" s="67"/>
      <c r="I326" s="67"/>
      <c r="J326" s="67"/>
      <c r="K326" s="44"/>
    </row>
    <row r="327" spans="1:11" ht="27.75" customHeight="1">
      <c r="A327" s="41">
        <v>324</v>
      </c>
      <c r="B327" s="66"/>
      <c r="C327" s="66"/>
      <c r="D327" s="48"/>
      <c r="E327" s="48"/>
      <c r="F327" s="49"/>
      <c r="G327" s="66"/>
      <c r="H327" s="67"/>
      <c r="I327" s="67"/>
      <c r="J327" s="67"/>
      <c r="K327" s="44"/>
    </row>
    <row r="328" spans="1:11" ht="27.75" customHeight="1">
      <c r="A328" s="41">
        <v>325</v>
      </c>
      <c r="B328" s="66"/>
      <c r="C328" s="66"/>
      <c r="D328" s="48"/>
      <c r="E328" s="48"/>
      <c r="F328" s="49"/>
      <c r="G328" s="66"/>
      <c r="H328" s="67"/>
      <c r="I328" s="67"/>
      <c r="J328" s="67"/>
      <c r="K328" s="44"/>
    </row>
    <row r="329" spans="1:11" ht="27.75" customHeight="1">
      <c r="A329" s="41">
        <v>326</v>
      </c>
      <c r="B329" s="66"/>
      <c r="C329" s="66"/>
      <c r="D329" s="48"/>
      <c r="E329" s="48"/>
      <c r="F329" s="49"/>
      <c r="G329" s="66"/>
      <c r="H329" s="67"/>
      <c r="I329" s="67"/>
      <c r="J329" s="67"/>
      <c r="K329" s="44"/>
    </row>
    <row r="330" spans="1:11" ht="27.75" customHeight="1">
      <c r="A330" s="41">
        <v>327</v>
      </c>
      <c r="B330" s="66"/>
      <c r="C330" s="66"/>
      <c r="D330" s="48"/>
      <c r="E330" s="48"/>
      <c r="F330" s="49"/>
      <c r="G330" s="66"/>
      <c r="H330" s="67"/>
      <c r="I330" s="67"/>
      <c r="J330" s="67"/>
      <c r="K330" s="44"/>
    </row>
    <row r="331" spans="1:11" ht="27.75" customHeight="1">
      <c r="A331" s="41">
        <v>328</v>
      </c>
      <c r="B331" s="66"/>
      <c r="C331" s="66"/>
      <c r="D331" s="48"/>
      <c r="E331" s="48"/>
      <c r="F331" s="49"/>
      <c r="G331" s="66"/>
      <c r="H331" s="67"/>
      <c r="I331" s="67"/>
      <c r="J331" s="67"/>
      <c r="K331" s="44"/>
    </row>
    <row r="332" spans="1:11" ht="27.75" customHeight="1">
      <c r="A332" s="41">
        <v>329</v>
      </c>
      <c r="B332" s="66"/>
      <c r="C332" s="66"/>
      <c r="D332" s="48"/>
      <c r="E332" s="48"/>
      <c r="F332" s="49"/>
      <c r="G332" s="66"/>
      <c r="H332" s="67"/>
      <c r="I332" s="67"/>
      <c r="J332" s="67"/>
      <c r="K332" s="44"/>
    </row>
    <row r="333" spans="1:11" ht="27.75" customHeight="1">
      <c r="A333" s="41">
        <v>330</v>
      </c>
      <c r="B333" s="66"/>
      <c r="C333" s="66"/>
      <c r="D333" s="48"/>
      <c r="E333" s="48"/>
      <c r="F333" s="49"/>
      <c r="G333" s="66"/>
      <c r="H333" s="67"/>
      <c r="I333" s="67"/>
      <c r="J333" s="67"/>
      <c r="K333" s="44"/>
    </row>
    <row r="334" spans="1:11" ht="27.75" customHeight="1">
      <c r="A334" s="41">
        <v>331</v>
      </c>
      <c r="B334" s="66"/>
      <c r="C334" s="66"/>
      <c r="D334" s="48"/>
      <c r="E334" s="48"/>
      <c r="F334" s="49"/>
      <c r="G334" s="66"/>
      <c r="H334" s="67"/>
      <c r="I334" s="67"/>
      <c r="J334" s="67"/>
      <c r="K334" s="44"/>
    </row>
    <row r="335" spans="1:11" ht="27.75" customHeight="1">
      <c r="A335" s="41">
        <v>332</v>
      </c>
      <c r="B335" s="66"/>
      <c r="C335" s="66"/>
      <c r="D335" s="48"/>
      <c r="E335" s="48"/>
      <c r="F335" s="49"/>
      <c r="G335" s="66"/>
      <c r="H335" s="67"/>
      <c r="I335" s="67"/>
      <c r="J335" s="67"/>
      <c r="K335" s="44"/>
    </row>
    <row r="336" spans="1:11" ht="27.75" customHeight="1">
      <c r="A336" s="41">
        <v>333</v>
      </c>
      <c r="B336" s="66"/>
      <c r="C336" s="66"/>
      <c r="D336" s="48"/>
      <c r="E336" s="48"/>
      <c r="F336" s="49"/>
      <c r="G336" s="66"/>
      <c r="H336" s="67"/>
      <c r="I336" s="67"/>
      <c r="J336" s="67"/>
      <c r="K336" s="44"/>
    </row>
    <row r="337" spans="1:11" ht="27.75" customHeight="1">
      <c r="A337" s="41">
        <v>334</v>
      </c>
      <c r="B337" s="66"/>
      <c r="C337" s="66"/>
      <c r="D337" s="48"/>
      <c r="E337" s="48"/>
      <c r="F337" s="49"/>
      <c r="G337" s="66"/>
      <c r="H337" s="67"/>
      <c r="I337" s="67"/>
      <c r="J337" s="67"/>
      <c r="K337" s="44"/>
    </row>
    <row r="338" spans="1:11" ht="27.75" customHeight="1">
      <c r="A338" s="41">
        <v>335</v>
      </c>
      <c r="B338" s="66"/>
      <c r="C338" s="66"/>
      <c r="D338" s="48"/>
      <c r="E338" s="48"/>
      <c r="F338" s="49"/>
      <c r="G338" s="66"/>
      <c r="H338" s="67"/>
      <c r="I338" s="67"/>
      <c r="J338" s="67"/>
      <c r="K338" s="44"/>
    </row>
    <row r="339" spans="1:11" ht="27.75" customHeight="1">
      <c r="A339" s="41">
        <v>336</v>
      </c>
      <c r="B339" s="66"/>
      <c r="C339" s="66"/>
      <c r="D339" s="48"/>
      <c r="E339" s="48"/>
      <c r="F339" s="49"/>
      <c r="G339" s="66"/>
      <c r="H339" s="67"/>
      <c r="I339" s="67"/>
      <c r="J339" s="67"/>
      <c r="K339" s="44"/>
    </row>
    <row r="340" spans="1:11" ht="27.75" customHeight="1">
      <c r="A340" s="41">
        <v>337</v>
      </c>
      <c r="B340" s="66"/>
      <c r="C340" s="66"/>
      <c r="D340" s="48"/>
      <c r="E340" s="48"/>
      <c r="F340" s="49"/>
      <c r="G340" s="66"/>
      <c r="H340" s="67"/>
      <c r="I340" s="67"/>
      <c r="J340" s="67"/>
      <c r="K340" s="44"/>
    </row>
    <row r="341" spans="1:11" ht="27.75" customHeight="1">
      <c r="A341" s="41">
        <v>338</v>
      </c>
      <c r="B341" s="66"/>
      <c r="C341" s="66"/>
      <c r="D341" s="48"/>
      <c r="E341" s="48"/>
      <c r="F341" s="49"/>
      <c r="G341" s="66"/>
      <c r="H341" s="67"/>
      <c r="I341" s="67"/>
      <c r="J341" s="67"/>
      <c r="K341" s="44"/>
    </row>
    <row r="342" spans="1:11" ht="27.75" customHeight="1">
      <c r="A342" s="41">
        <v>339</v>
      </c>
      <c r="B342" s="66"/>
      <c r="C342" s="66"/>
      <c r="D342" s="48"/>
      <c r="E342" s="48"/>
      <c r="F342" s="49"/>
      <c r="G342" s="66"/>
      <c r="H342" s="67"/>
      <c r="I342" s="67"/>
      <c r="J342" s="67"/>
      <c r="K342" s="44"/>
    </row>
    <row r="343" spans="1:11" ht="27.75" customHeight="1">
      <c r="A343" s="41">
        <v>340</v>
      </c>
      <c r="B343" s="66"/>
      <c r="C343" s="66"/>
      <c r="D343" s="48"/>
      <c r="E343" s="48"/>
      <c r="F343" s="49"/>
      <c r="G343" s="66"/>
      <c r="H343" s="67"/>
      <c r="I343" s="67"/>
      <c r="J343" s="67"/>
      <c r="K343" s="44"/>
    </row>
    <row r="344" spans="1:11" ht="27.75" customHeight="1">
      <c r="A344" s="41">
        <v>341</v>
      </c>
      <c r="B344" s="66"/>
      <c r="C344" s="66"/>
      <c r="D344" s="48"/>
      <c r="E344" s="48"/>
      <c r="F344" s="49"/>
      <c r="G344" s="66"/>
      <c r="H344" s="67"/>
      <c r="I344" s="67"/>
      <c r="J344" s="67"/>
      <c r="K344" s="44"/>
    </row>
    <row r="345" spans="1:11" ht="27.75" customHeight="1">
      <c r="A345" s="41">
        <v>342</v>
      </c>
      <c r="B345" s="66"/>
      <c r="C345" s="66"/>
      <c r="D345" s="48"/>
      <c r="E345" s="48"/>
      <c r="F345" s="49"/>
      <c r="G345" s="66"/>
      <c r="H345" s="67"/>
      <c r="I345" s="67"/>
      <c r="J345" s="67"/>
      <c r="K345" s="44"/>
    </row>
    <row r="346" spans="1:11" ht="27.75" customHeight="1">
      <c r="A346" s="41">
        <v>343</v>
      </c>
      <c r="B346" s="66"/>
      <c r="C346" s="66"/>
      <c r="D346" s="48"/>
      <c r="E346" s="48"/>
      <c r="F346" s="49"/>
      <c r="G346" s="66"/>
      <c r="H346" s="67"/>
      <c r="I346" s="67"/>
      <c r="J346" s="67"/>
      <c r="K346" s="44"/>
    </row>
    <row r="347" spans="1:11" ht="27.75" customHeight="1">
      <c r="A347" s="41">
        <v>344</v>
      </c>
      <c r="B347" s="66"/>
      <c r="C347" s="66"/>
      <c r="D347" s="48"/>
      <c r="E347" s="48"/>
      <c r="F347" s="49"/>
      <c r="G347" s="66"/>
      <c r="H347" s="67"/>
      <c r="I347" s="67"/>
      <c r="J347" s="67"/>
      <c r="K347" s="44"/>
    </row>
    <row r="348" spans="1:11" ht="27.75" customHeight="1">
      <c r="A348" s="41">
        <v>345</v>
      </c>
      <c r="B348" s="66"/>
      <c r="C348" s="66"/>
      <c r="D348" s="48"/>
      <c r="E348" s="48"/>
      <c r="F348" s="49"/>
      <c r="G348" s="66"/>
      <c r="H348" s="67"/>
      <c r="I348" s="67"/>
      <c r="J348" s="67"/>
      <c r="K348" s="44"/>
    </row>
    <row r="349" spans="1:11" ht="27.75" customHeight="1">
      <c r="A349" s="41">
        <v>346</v>
      </c>
      <c r="B349" s="66"/>
      <c r="C349" s="66"/>
      <c r="D349" s="48"/>
      <c r="E349" s="48"/>
      <c r="F349" s="49"/>
      <c r="G349" s="66"/>
      <c r="H349" s="67"/>
      <c r="I349" s="67"/>
      <c r="J349" s="67"/>
      <c r="K349" s="44"/>
    </row>
    <row r="350" spans="1:11" ht="27.75" customHeight="1">
      <c r="A350" s="41">
        <v>347</v>
      </c>
      <c r="B350" s="66"/>
      <c r="C350" s="66"/>
      <c r="D350" s="48"/>
      <c r="E350" s="48"/>
      <c r="F350" s="49"/>
      <c r="G350" s="66"/>
      <c r="H350" s="67"/>
      <c r="I350" s="67"/>
      <c r="J350" s="67"/>
      <c r="K350" s="44"/>
    </row>
    <row r="351" spans="1:11" ht="27.75" customHeight="1">
      <c r="A351" s="41">
        <v>348</v>
      </c>
      <c r="B351" s="66"/>
      <c r="C351" s="66"/>
      <c r="D351" s="48"/>
      <c r="E351" s="48"/>
      <c r="F351" s="49"/>
      <c r="G351" s="66"/>
      <c r="H351" s="67"/>
      <c r="I351" s="67"/>
      <c r="J351" s="67"/>
      <c r="K351" s="44"/>
    </row>
    <row r="352" spans="1:11" ht="27.75" customHeight="1">
      <c r="A352" s="41">
        <v>349</v>
      </c>
      <c r="B352" s="66"/>
      <c r="C352" s="66"/>
      <c r="D352" s="48"/>
      <c r="E352" s="48"/>
      <c r="F352" s="49"/>
      <c r="G352" s="66"/>
      <c r="H352" s="67"/>
      <c r="I352" s="67"/>
      <c r="J352" s="67"/>
      <c r="K352" s="44"/>
    </row>
    <row r="353" spans="1:11" ht="27.75" customHeight="1">
      <c r="A353" s="41">
        <v>350</v>
      </c>
      <c r="B353" s="66"/>
      <c r="C353" s="66"/>
      <c r="D353" s="48"/>
      <c r="E353" s="48"/>
      <c r="F353" s="49"/>
      <c r="G353" s="66"/>
      <c r="H353" s="67"/>
      <c r="I353" s="67"/>
      <c r="J353" s="67"/>
      <c r="K353" s="44"/>
    </row>
    <row r="354" spans="1:11" ht="27.75" customHeight="1">
      <c r="A354" s="41">
        <v>351</v>
      </c>
      <c r="B354" s="66"/>
      <c r="C354" s="66"/>
      <c r="D354" s="48"/>
      <c r="E354" s="48"/>
      <c r="F354" s="49"/>
      <c r="G354" s="66"/>
      <c r="H354" s="67"/>
      <c r="I354" s="67"/>
      <c r="J354" s="67"/>
      <c r="K354" s="44"/>
    </row>
    <row r="355" spans="1:11" ht="27.75" customHeight="1">
      <c r="A355" s="41">
        <v>352</v>
      </c>
      <c r="B355" s="66"/>
      <c r="C355" s="66"/>
      <c r="D355" s="48"/>
      <c r="E355" s="48"/>
      <c r="F355" s="49"/>
      <c r="G355" s="66"/>
      <c r="H355" s="67"/>
      <c r="I355" s="67"/>
      <c r="J355" s="67"/>
      <c r="K355" s="44"/>
    </row>
    <row r="356" spans="1:11" ht="27.75" customHeight="1">
      <c r="A356" s="41">
        <v>353</v>
      </c>
      <c r="B356" s="66"/>
      <c r="C356" s="66"/>
      <c r="D356" s="48"/>
      <c r="E356" s="48"/>
      <c r="F356" s="49"/>
      <c r="G356" s="66"/>
      <c r="H356" s="67"/>
      <c r="I356" s="67"/>
      <c r="J356" s="67"/>
      <c r="K356" s="44"/>
    </row>
    <row r="357" spans="1:11" ht="27.75" customHeight="1">
      <c r="A357" s="41">
        <v>354</v>
      </c>
      <c r="B357" s="66"/>
      <c r="C357" s="66"/>
      <c r="D357" s="48"/>
      <c r="E357" s="48"/>
      <c r="F357" s="49"/>
      <c r="G357" s="66"/>
      <c r="H357" s="67"/>
      <c r="I357" s="67"/>
      <c r="J357" s="67"/>
      <c r="K357" s="44"/>
    </row>
    <row r="358" spans="1:11" ht="27.75" customHeight="1">
      <c r="A358" s="41">
        <v>355</v>
      </c>
      <c r="B358" s="66"/>
      <c r="C358" s="66"/>
      <c r="D358" s="48"/>
      <c r="E358" s="48"/>
      <c r="F358" s="49"/>
      <c r="G358" s="66"/>
      <c r="H358" s="67"/>
      <c r="I358" s="67"/>
      <c r="J358" s="67"/>
      <c r="K358" s="44"/>
    </row>
    <row r="359" spans="1:11" ht="27.75" customHeight="1">
      <c r="A359" s="41">
        <v>356</v>
      </c>
      <c r="B359" s="66"/>
      <c r="C359" s="66"/>
      <c r="D359" s="48"/>
      <c r="E359" s="48"/>
      <c r="F359" s="49"/>
      <c r="G359" s="66"/>
      <c r="H359" s="67"/>
      <c r="I359" s="67"/>
      <c r="J359" s="67"/>
      <c r="K359" s="44"/>
    </row>
    <row r="360" spans="1:11" ht="27.75" customHeight="1">
      <c r="A360" s="41">
        <v>357</v>
      </c>
      <c r="B360" s="66"/>
      <c r="C360" s="66"/>
      <c r="D360" s="48"/>
      <c r="E360" s="71"/>
      <c r="F360" s="49"/>
      <c r="G360" s="66"/>
      <c r="H360" s="67"/>
      <c r="I360" s="67"/>
      <c r="J360" s="67"/>
      <c r="K360" s="44"/>
    </row>
    <row r="361" spans="1:11" ht="27.75" customHeight="1">
      <c r="A361" s="41">
        <v>358</v>
      </c>
      <c r="B361" s="66"/>
      <c r="C361" s="66"/>
      <c r="D361" s="48"/>
      <c r="E361" s="71"/>
      <c r="F361" s="49"/>
      <c r="G361" s="66"/>
      <c r="H361" s="67"/>
      <c r="I361" s="67"/>
      <c r="J361" s="67"/>
      <c r="K361" s="44"/>
    </row>
    <row r="362" spans="1:11" ht="27.75" customHeight="1">
      <c r="A362" s="41">
        <v>359</v>
      </c>
      <c r="B362" s="66"/>
      <c r="C362" s="66"/>
      <c r="D362" s="48"/>
      <c r="E362" s="48"/>
      <c r="F362" s="49"/>
      <c r="G362" s="66"/>
      <c r="H362" s="67"/>
      <c r="I362" s="67"/>
      <c r="J362" s="67"/>
      <c r="K362" s="44"/>
    </row>
    <row r="363" spans="1:11" ht="27.75" customHeight="1">
      <c r="A363" s="41">
        <v>360</v>
      </c>
      <c r="B363" s="66"/>
      <c r="C363" s="66"/>
      <c r="D363" s="48"/>
      <c r="E363" s="48"/>
      <c r="F363" s="49"/>
      <c r="G363" s="66"/>
      <c r="H363" s="67"/>
      <c r="I363" s="67"/>
      <c r="J363" s="67"/>
      <c r="K363" s="44"/>
    </row>
    <row r="364" spans="1:11" ht="27.75" customHeight="1">
      <c r="A364" s="41">
        <v>361</v>
      </c>
      <c r="B364" s="66"/>
      <c r="C364" s="66"/>
      <c r="D364" s="48"/>
      <c r="E364" s="48"/>
      <c r="F364" s="49"/>
      <c r="G364" s="66"/>
      <c r="H364" s="67"/>
      <c r="I364" s="67"/>
      <c r="J364" s="67"/>
      <c r="K364" s="44"/>
    </row>
    <row r="365" spans="1:11" ht="27.75" customHeight="1">
      <c r="A365" s="41">
        <v>362</v>
      </c>
      <c r="B365" s="66"/>
      <c r="C365" s="66"/>
      <c r="D365" s="48"/>
      <c r="E365" s="48"/>
      <c r="F365" s="49"/>
      <c r="G365" s="66"/>
      <c r="H365" s="67"/>
      <c r="I365" s="67"/>
      <c r="J365" s="67"/>
      <c r="K365" s="44"/>
    </row>
    <row r="366" spans="1:11" ht="27.75" customHeight="1">
      <c r="A366" s="41">
        <v>363</v>
      </c>
      <c r="B366" s="66"/>
      <c r="C366" s="66"/>
      <c r="D366" s="48"/>
      <c r="E366" s="71"/>
      <c r="F366" s="49"/>
      <c r="G366" s="66"/>
      <c r="H366" s="67"/>
      <c r="I366" s="67"/>
      <c r="J366" s="67"/>
      <c r="K366" s="44"/>
    </row>
    <row r="367" spans="1:11" ht="27.75" customHeight="1">
      <c r="A367" s="41">
        <v>364</v>
      </c>
      <c r="B367" s="66"/>
      <c r="C367" s="66"/>
      <c r="D367" s="48"/>
      <c r="E367" s="48"/>
      <c r="F367" s="49"/>
      <c r="G367" s="66"/>
      <c r="H367" s="67"/>
      <c r="I367" s="67"/>
      <c r="J367" s="67"/>
      <c r="K367" s="44"/>
    </row>
    <row r="368" spans="1:11" ht="27.75" customHeight="1">
      <c r="A368" s="41">
        <v>365</v>
      </c>
      <c r="B368" s="66"/>
      <c r="C368" s="66"/>
      <c r="D368" s="48"/>
      <c r="E368" s="48"/>
      <c r="F368" s="49"/>
      <c r="G368" s="66"/>
      <c r="H368" s="67"/>
      <c r="I368" s="67"/>
      <c r="J368" s="67"/>
      <c r="K368" s="44"/>
    </row>
    <row r="369" spans="1:11" ht="27.75" customHeight="1">
      <c r="A369" s="41">
        <v>366</v>
      </c>
      <c r="B369" s="66"/>
      <c r="C369" s="66"/>
      <c r="D369" s="48"/>
      <c r="E369" s="48"/>
      <c r="F369" s="49"/>
      <c r="G369" s="66"/>
      <c r="H369" s="67"/>
      <c r="I369" s="67"/>
      <c r="J369" s="67"/>
      <c r="K369" s="44"/>
    </row>
    <row r="370" spans="1:11" ht="27.75" customHeight="1">
      <c r="A370" s="41">
        <v>367</v>
      </c>
      <c r="B370" s="66"/>
      <c r="C370" s="66"/>
      <c r="D370" s="48"/>
      <c r="E370" s="48"/>
      <c r="F370" s="49"/>
      <c r="G370" s="66"/>
      <c r="H370" s="67"/>
      <c r="I370" s="67"/>
      <c r="J370" s="67"/>
      <c r="K370" s="44"/>
    </row>
    <row r="371" spans="1:11" ht="27.75" customHeight="1">
      <c r="A371" s="41">
        <v>368</v>
      </c>
      <c r="B371" s="66"/>
      <c r="C371" s="66"/>
      <c r="D371" s="48"/>
      <c r="E371" s="48"/>
      <c r="F371" s="49"/>
      <c r="G371" s="66"/>
      <c r="H371" s="67"/>
      <c r="I371" s="67"/>
      <c r="J371" s="67"/>
      <c r="K371" s="44"/>
    </row>
    <row r="372" spans="1:11" ht="27.75" customHeight="1">
      <c r="A372" s="41">
        <v>369</v>
      </c>
      <c r="B372" s="66"/>
      <c r="C372" s="66"/>
      <c r="D372" s="48"/>
      <c r="E372" s="48"/>
      <c r="F372" s="49"/>
      <c r="G372" s="66"/>
      <c r="H372" s="67"/>
      <c r="I372" s="67"/>
      <c r="J372" s="67"/>
      <c r="K372" s="44"/>
    </row>
    <row r="373" spans="1:11" ht="27.75" customHeight="1">
      <c r="A373" s="41">
        <v>370</v>
      </c>
      <c r="B373" s="66"/>
      <c r="C373" s="66"/>
      <c r="D373" s="48"/>
      <c r="E373" s="48"/>
      <c r="F373" s="49"/>
      <c r="G373" s="66"/>
      <c r="H373" s="67"/>
      <c r="I373" s="67"/>
      <c r="J373" s="67"/>
      <c r="K373" s="44"/>
    </row>
    <row r="374" spans="1:11" ht="27.75" customHeight="1">
      <c r="A374" s="41">
        <v>371</v>
      </c>
      <c r="B374" s="66"/>
      <c r="C374" s="66"/>
      <c r="D374" s="48"/>
      <c r="E374" s="48"/>
      <c r="F374" s="49"/>
      <c r="G374" s="66"/>
      <c r="H374" s="67"/>
      <c r="I374" s="67"/>
      <c r="J374" s="67"/>
      <c r="K374" s="44"/>
    </row>
    <row r="375" spans="1:11" ht="27.75" customHeight="1">
      <c r="A375" s="41">
        <v>372</v>
      </c>
      <c r="B375" s="66"/>
      <c r="C375" s="66"/>
      <c r="D375" s="48"/>
      <c r="E375" s="48"/>
      <c r="F375" s="49"/>
      <c r="G375" s="66"/>
      <c r="H375" s="67"/>
      <c r="I375" s="67"/>
      <c r="J375" s="67"/>
      <c r="K375" s="44"/>
    </row>
    <row r="376" spans="1:11" ht="27.75" customHeight="1">
      <c r="A376" s="41">
        <v>373</v>
      </c>
      <c r="B376" s="66"/>
      <c r="C376" s="66"/>
      <c r="D376" s="48"/>
      <c r="E376" s="48"/>
      <c r="F376" s="49"/>
      <c r="G376" s="66"/>
      <c r="H376" s="67"/>
      <c r="I376" s="67"/>
      <c r="J376" s="67"/>
      <c r="K376" s="44"/>
    </row>
    <row r="377" spans="1:11" ht="27.75" customHeight="1">
      <c r="A377" s="41">
        <v>374</v>
      </c>
      <c r="B377" s="66"/>
      <c r="C377" s="66"/>
      <c r="D377" s="48"/>
      <c r="E377" s="48"/>
      <c r="F377" s="49"/>
      <c r="G377" s="66"/>
      <c r="H377" s="67"/>
      <c r="I377" s="67"/>
      <c r="J377" s="67"/>
      <c r="K377" s="44"/>
    </row>
    <row r="378" spans="1:11" ht="27.75" customHeight="1">
      <c r="A378" s="41">
        <v>375</v>
      </c>
      <c r="B378" s="66"/>
      <c r="C378" s="66"/>
      <c r="D378" s="48"/>
      <c r="E378" s="48"/>
      <c r="F378" s="49"/>
      <c r="G378" s="66"/>
      <c r="H378" s="67"/>
      <c r="I378" s="67"/>
      <c r="J378" s="67"/>
      <c r="K378" s="44"/>
    </row>
    <row r="379" spans="1:11" ht="27.75" customHeight="1">
      <c r="A379" s="41">
        <v>376</v>
      </c>
      <c r="B379" s="66"/>
      <c r="C379" s="66"/>
      <c r="D379" s="48"/>
      <c r="E379" s="48"/>
      <c r="F379" s="49"/>
      <c r="G379" s="66"/>
      <c r="H379" s="67"/>
      <c r="I379" s="67"/>
      <c r="J379" s="67"/>
      <c r="K379" s="44"/>
    </row>
    <row r="380" spans="1:11" ht="27.75" customHeight="1">
      <c r="A380" s="41">
        <v>377</v>
      </c>
      <c r="B380" s="66"/>
      <c r="C380" s="66"/>
      <c r="D380" s="48"/>
      <c r="E380" s="48"/>
      <c r="F380" s="49"/>
      <c r="G380" s="66"/>
      <c r="H380" s="67"/>
      <c r="I380" s="67"/>
      <c r="J380" s="67"/>
      <c r="K380" s="44"/>
    </row>
    <row r="381" spans="1:11" ht="27.75" customHeight="1">
      <c r="A381" s="41">
        <v>378</v>
      </c>
      <c r="B381" s="66"/>
      <c r="C381" s="66"/>
      <c r="D381" s="48"/>
      <c r="E381" s="48"/>
      <c r="F381" s="49"/>
      <c r="G381" s="66"/>
      <c r="H381" s="67"/>
      <c r="I381" s="67"/>
      <c r="J381" s="67"/>
      <c r="K381" s="44"/>
    </row>
    <row r="382" spans="1:11" ht="27.75" customHeight="1">
      <c r="A382" s="41">
        <v>379</v>
      </c>
      <c r="B382" s="66"/>
      <c r="C382" s="66"/>
      <c r="D382" s="48"/>
      <c r="E382" s="48"/>
      <c r="F382" s="49"/>
      <c r="G382" s="66"/>
      <c r="H382" s="67"/>
      <c r="I382" s="67"/>
      <c r="J382" s="67"/>
      <c r="K382" s="44"/>
    </row>
    <row r="383" spans="1:11" ht="27.75" customHeight="1">
      <c r="A383" s="41">
        <v>380</v>
      </c>
      <c r="B383" s="66"/>
      <c r="C383" s="66"/>
      <c r="D383" s="48"/>
      <c r="E383" s="48"/>
      <c r="F383" s="49"/>
      <c r="G383" s="66"/>
      <c r="H383" s="67"/>
      <c r="I383" s="67"/>
      <c r="J383" s="67"/>
      <c r="K383" s="44"/>
    </row>
    <row r="384" spans="1:11" ht="27.75" customHeight="1">
      <c r="A384" s="41">
        <v>381</v>
      </c>
      <c r="B384" s="66"/>
      <c r="C384" s="66"/>
      <c r="D384" s="48"/>
      <c r="E384" s="48"/>
      <c r="F384" s="49"/>
      <c r="G384" s="66"/>
      <c r="H384" s="67"/>
      <c r="I384" s="67"/>
      <c r="J384" s="67"/>
      <c r="K384" s="44"/>
    </row>
    <row r="385" spans="1:11" ht="27.75" customHeight="1">
      <c r="A385" s="41">
        <v>382</v>
      </c>
      <c r="B385" s="66"/>
      <c r="C385" s="66"/>
      <c r="D385" s="48"/>
      <c r="E385" s="48"/>
      <c r="F385" s="49"/>
      <c r="G385" s="66"/>
      <c r="H385" s="67"/>
      <c r="I385" s="67"/>
      <c r="J385" s="67"/>
      <c r="K385" s="44"/>
    </row>
    <row r="386" spans="1:11" ht="27.75" customHeight="1">
      <c r="A386" s="41">
        <v>383</v>
      </c>
      <c r="B386" s="66"/>
      <c r="C386" s="66"/>
      <c r="D386" s="48"/>
      <c r="E386" s="48"/>
      <c r="F386" s="49"/>
      <c r="G386" s="66"/>
      <c r="H386" s="67"/>
      <c r="I386" s="67"/>
      <c r="J386" s="67"/>
      <c r="K386" s="44"/>
    </row>
    <row r="387" spans="1:11" ht="27.75" customHeight="1">
      <c r="A387" s="41">
        <v>384</v>
      </c>
      <c r="B387" s="66"/>
      <c r="C387" s="66"/>
      <c r="D387" s="48"/>
      <c r="E387" s="48"/>
      <c r="F387" s="49"/>
      <c r="G387" s="66"/>
      <c r="H387" s="67"/>
      <c r="I387" s="67"/>
      <c r="J387" s="67"/>
      <c r="K387" s="44"/>
    </row>
    <row r="388" spans="1:11" ht="27.75" customHeight="1">
      <c r="A388" s="41">
        <v>385</v>
      </c>
      <c r="B388" s="66"/>
      <c r="C388" s="66"/>
      <c r="D388" s="48"/>
      <c r="E388" s="48"/>
      <c r="F388" s="49"/>
      <c r="G388" s="66"/>
      <c r="H388" s="67"/>
      <c r="I388" s="67"/>
      <c r="J388" s="67"/>
      <c r="K388" s="44"/>
    </row>
    <row r="389" spans="1:11" ht="27.75" customHeight="1">
      <c r="A389" s="41">
        <v>386</v>
      </c>
      <c r="B389" s="66"/>
      <c r="C389" s="66"/>
      <c r="D389" s="48"/>
      <c r="E389" s="73"/>
      <c r="F389" s="49"/>
      <c r="G389" s="66"/>
      <c r="H389" s="67"/>
      <c r="I389" s="67"/>
      <c r="J389" s="67"/>
      <c r="K389" s="44"/>
    </row>
    <row r="390" spans="1:11" ht="27.75" customHeight="1">
      <c r="A390" s="41">
        <v>387</v>
      </c>
      <c r="B390" s="66"/>
      <c r="C390" s="66"/>
      <c r="D390" s="48"/>
      <c r="E390" s="48"/>
      <c r="F390" s="49"/>
      <c r="G390" s="66"/>
      <c r="H390" s="67"/>
      <c r="I390" s="67"/>
      <c r="J390" s="67"/>
      <c r="K390" s="44"/>
    </row>
    <row r="391" spans="1:11" ht="27.75" customHeight="1">
      <c r="A391" s="41">
        <v>388</v>
      </c>
      <c r="B391" s="66"/>
      <c r="C391" s="66"/>
      <c r="D391" s="48"/>
      <c r="E391" s="48"/>
      <c r="F391" s="49"/>
      <c r="G391" s="66"/>
      <c r="H391" s="67"/>
      <c r="I391" s="67"/>
      <c r="J391" s="67"/>
      <c r="K391" s="44"/>
    </row>
    <row r="392" spans="1:11" ht="27.75" customHeight="1">
      <c r="A392" s="41">
        <v>389</v>
      </c>
      <c r="B392" s="66"/>
      <c r="C392" s="66"/>
      <c r="D392" s="48"/>
      <c r="E392" s="48"/>
      <c r="F392" s="49"/>
      <c r="G392" s="66"/>
      <c r="H392" s="67"/>
      <c r="I392" s="67"/>
      <c r="J392" s="67"/>
      <c r="K392" s="44"/>
    </row>
    <row r="393" spans="1:11" ht="27.75" customHeight="1">
      <c r="A393" s="41">
        <v>390</v>
      </c>
      <c r="B393" s="66"/>
      <c r="C393" s="66"/>
      <c r="D393" s="48"/>
      <c r="E393" s="48"/>
      <c r="F393" s="49"/>
      <c r="G393" s="66"/>
      <c r="H393" s="67"/>
      <c r="I393" s="67"/>
      <c r="J393" s="67"/>
      <c r="K393" s="44"/>
    </row>
    <row r="394" spans="1:11" ht="27.75" customHeight="1">
      <c r="A394" s="41">
        <v>391</v>
      </c>
      <c r="B394" s="66"/>
      <c r="C394" s="66"/>
      <c r="D394" s="48"/>
      <c r="E394" s="48"/>
      <c r="F394" s="49"/>
      <c r="G394" s="66"/>
      <c r="H394" s="67"/>
      <c r="I394" s="67"/>
      <c r="J394" s="67"/>
      <c r="K394" s="44"/>
    </row>
    <row r="395" spans="1:11" ht="27.75" customHeight="1">
      <c r="A395" s="41">
        <v>392</v>
      </c>
      <c r="B395" s="66"/>
      <c r="C395" s="66"/>
      <c r="D395" s="48"/>
      <c r="E395" s="48"/>
      <c r="F395" s="49"/>
      <c r="G395" s="66"/>
      <c r="H395" s="67"/>
      <c r="I395" s="67"/>
      <c r="J395" s="67"/>
      <c r="K395" s="44"/>
    </row>
    <row r="396" spans="1:11" ht="27.75" customHeight="1">
      <c r="A396" s="41">
        <v>393</v>
      </c>
      <c r="B396" s="66"/>
      <c r="C396" s="66"/>
      <c r="D396" s="48"/>
      <c r="E396" s="48"/>
      <c r="F396" s="49"/>
      <c r="G396" s="66"/>
      <c r="H396" s="67"/>
      <c r="I396" s="67"/>
      <c r="J396" s="67"/>
      <c r="K396" s="44"/>
    </row>
    <row r="397" spans="1:11" ht="27.75" customHeight="1">
      <c r="A397" s="41">
        <v>394</v>
      </c>
      <c r="B397" s="66"/>
      <c r="C397" s="66"/>
      <c r="D397" s="48"/>
      <c r="E397" s="48"/>
      <c r="F397" s="49"/>
      <c r="G397" s="66"/>
      <c r="H397" s="67"/>
      <c r="I397" s="67"/>
      <c r="J397" s="67"/>
      <c r="K397" s="44"/>
    </row>
    <row r="398" spans="1:11" ht="27.75" customHeight="1">
      <c r="A398" s="41">
        <v>395</v>
      </c>
      <c r="B398" s="66"/>
      <c r="C398" s="66"/>
      <c r="D398" s="48"/>
      <c r="E398" s="48"/>
      <c r="F398" s="49"/>
      <c r="G398" s="66"/>
      <c r="H398" s="67"/>
      <c r="I398" s="67"/>
      <c r="J398" s="67"/>
      <c r="K398" s="44"/>
    </row>
    <row r="399" spans="1:11" ht="27.75" customHeight="1">
      <c r="A399" s="41">
        <v>396</v>
      </c>
      <c r="B399" s="66"/>
      <c r="C399" s="66"/>
      <c r="D399" s="48"/>
      <c r="E399" s="48"/>
      <c r="F399" s="49"/>
      <c r="G399" s="66"/>
      <c r="H399" s="67"/>
      <c r="I399" s="67"/>
      <c r="J399" s="67"/>
      <c r="K399" s="44"/>
    </row>
    <row r="400" spans="1:11" ht="27.75" customHeight="1">
      <c r="A400" s="41">
        <v>397</v>
      </c>
      <c r="B400" s="66"/>
      <c r="C400" s="66"/>
      <c r="D400" s="48"/>
      <c r="E400" s="48"/>
      <c r="F400" s="49"/>
      <c r="G400" s="66"/>
      <c r="H400" s="67"/>
      <c r="I400" s="67"/>
      <c r="J400" s="67"/>
      <c r="K400" s="44"/>
    </row>
    <row r="401" spans="1:11" ht="27.75" customHeight="1">
      <c r="A401" s="41">
        <v>398</v>
      </c>
      <c r="B401" s="66"/>
      <c r="C401" s="66"/>
      <c r="D401" s="48"/>
      <c r="E401" s="48"/>
      <c r="F401" s="49"/>
      <c r="G401" s="66"/>
      <c r="H401" s="67"/>
      <c r="I401" s="67"/>
      <c r="J401" s="67"/>
      <c r="K401" s="44"/>
    </row>
    <row r="402" spans="1:11" ht="27.75" customHeight="1">
      <c r="A402" s="41">
        <v>399</v>
      </c>
      <c r="B402" s="66"/>
      <c r="C402" s="66"/>
      <c r="D402" s="48"/>
      <c r="E402" s="48"/>
      <c r="F402" s="49"/>
      <c r="G402" s="66"/>
      <c r="H402" s="67"/>
      <c r="I402" s="67"/>
      <c r="J402" s="67"/>
      <c r="K402" s="44"/>
    </row>
    <row r="403" spans="1:11" ht="27.75" customHeight="1">
      <c r="A403" s="41">
        <v>400</v>
      </c>
      <c r="B403" s="66"/>
      <c r="C403" s="66"/>
      <c r="D403" s="48"/>
      <c r="E403" s="48"/>
      <c r="F403" s="49"/>
      <c r="G403" s="66"/>
      <c r="H403" s="67"/>
      <c r="I403" s="67"/>
      <c r="J403" s="67"/>
      <c r="K403" s="44"/>
    </row>
    <row r="404" spans="1:11" ht="27.75" customHeight="1">
      <c r="A404" s="41">
        <v>401</v>
      </c>
      <c r="B404" s="66"/>
      <c r="C404" s="66"/>
      <c r="D404" s="48"/>
      <c r="E404" s="48"/>
      <c r="F404" s="49"/>
      <c r="G404" s="66"/>
      <c r="H404" s="67"/>
      <c r="I404" s="67"/>
      <c r="J404" s="67"/>
      <c r="K404" s="44"/>
    </row>
    <row r="405" spans="1:11" ht="27.75" customHeight="1">
      <c r="A405" s="41">
        <v>402</v>
      </c>
      <c r="B405" s="66"/>
      <c r="C405" s="66"/>
      <c r="D405" s="48"/>
      <c r="E405" s="48"/>
      <c r="F405" s="49"/>
      <c r="G405" s="66"/>
      <c r="H405" s="67"/>
      <c r="I405" s="67"/>
      <c r="J405" s="67"/>
      <c r="K405" s="44"/>
    </row>
    <row r="406" spans="1:11" ht="27.75" customHeight="1">
      <c r="A406" s="41">
        <v>403</v>
      </c>
      <c r="B406" s="66"/>
      <c r="C406" s="66"/>
      <c r="D406" s="48"/>
      <c r="E406" s="48"/>
      <c r="F406" s="49"/>
      <c r="G406" s="66"/>
      <c r="H406" s="67"/>
      <c r="I406" s="67"/>
      <c r="J406" s="67"/>
      <c r="K406" s="44"/>
    </row>
    <row r="407" spans="1:11" ht="27.75" customHeight="1">
      <c r="A407" s="41">
        <v>404</v>
      </c>
      <c r="B407" s="66"/>
      <c r="C407" s="66"/>
      <c r="D407" s="48"/>
      <c r="E407" s="48"/>
      <c r="F407" s="49"/>
      <c r="G407" s="66"/>
      <c r="H407" s="67"/>
      <c r="I407" s="67"/>
      <c r="J407" s="67"/>
      <c r="K407" s="44"/>
    </row>
    <row r="408" spans="1:11" ht="27.75" customHeight="1">
      <c r="A408" s="41">
        <v>405</v>
      </c>
      <c r="B408" s="66"/>
      <c r="C408" s="66"/>
      <c r="D408" s="48"/>
      <c r="E408" s="48"/>
      <c r="F408" s="49"/>
      <c r="G408" s="66"/>
      <c r="H408" s="67"/>
      <c r="I408" s="67"/>
      <c r="J408" s="67"/>
      <c r="K408" s="44"/>
    </row>
    <row r="409" spans="1:11" ht="27.75" customHeight="1">
      <c r="A409" s="41">
        <v>406</v>
      </c>
      <c r="B409" s="66"/>
      <c r="C409" s="66"/>
      <c r="D409" s="48"/>
      <c r="E409" s="48"/>
      <c r="F409" s="49"/>
      <c r="G409" s="66"/>
      <c r="H409" s="67"/>
      <c r="I409" s="67"/>
      <c r="J409" s="67"/>
      <c r="K409" s="44"/>
    </row>
    <row r="410" spans="1:11" ht="27.75" customHeight="1">
      <c r="A410" s="41">
        <v>407</v>
      </c>
      <c r="B410" s="66"/>
      <c r="C410" s="66"/>
      <c r="D410" s="48"/>
      <c r="E410" s="48"/>
      <c r="F410" s="49"/>
      <c r="G410" s="66"/>
      <c r="H410" s="67"/>
      <c r="I410" s="67"/>
      <c r="J410" s="67"/>
      <c r="K410" s="44"/>
    </row>
    <row r="411" spans="1:11" ht="27.75" customHeight="1">
      <c r="A411" s="41">
        <v>408</v>
      </c>
      <c r="B411" s="66"/>
      <c r="C411" s="66"/>
      <c r="D411" s="48"/>
      <c r="E411" s="48"/>
      <c r="F411" s="49"/>
      <c r="G411" s="66"/>
      <c r="H411" s="67"/>
      <c r="I411" s="67"/>
      <c r="J411" s="67"/>
      <c r="K411" s="44"/>
    </row>
    <row r="412" spans="1:11" ht="27.75" customHeight="1">
      <c r="A412" s="41">
        <v>409</v>
      </c>
      <c r="B412" s="66"/>
      <c r="C412" s="66"/>
      <c r="D412" s="48"/>
      <c r="E412" s="48"/>
      <c r="F412" s="49"/>
      <c r="G412" s="66"/>
      <c r="H412" s="67"/>
      <c r="I412" s="67"/>
      <c r="J412" s="67"/>
      <c r="K412" s="44"/>
    </row>
    <row r="413" spans="1:11" ht="27.75" customHeight="1">
      <c r="A413" s="41">
        <v>410</v>
      </c>
      <c r="B413" s="66"/>
      <c r="C413" s="66"/>
      <c r="D413" s="48"/>
      <c r="E413" s="48"/>
      <c r="F413" s="49"/>
      <c r="G413" s="66"/>
      <c r="H413" s="67"/>
      <c r="I413" s="67"/>
      <c r="J413" s="67"/>
      <c r="K413" s="44"/>
    </row>
    <row r="414" spans="1:11" ht="27.75" customHeight="1">
      <c r="A414" s="41">
        <v>411</v>
      </c>
      <c r="B414" s="66"/>
      <c r="C414" s="66"/>
      <c r="D414" s="48"/>
      <c r="E414" s="48"/>
      <c r="F414" s="49"/>
      <c r="G414" s="66"/>
      <c r="H414" s="67"/>
      <c r="I414" s="67"/>
      <c r="J414" s="67"/>
      <c r="K414" s="44"/>
    </row>
    <row r="415" spans="1:11" ht="27.75" customHeight="1">
      <c r="A415" s="41">
        <v>412</v>
      </c>
      <c r="B415" s="66"/>
      <c r="C415" s="66"/>
      <c r="D415" s="48"/>
      <c r="E415" s="48"/>
      <c r="F415" s="49"/>
      <c r="G415" s="66"/>
      <c r="H415" s="67"/>
      <c r="I415" s="67"/>
      <c r="J415" s="67"/>
      <c r="K415" s="44"/>
    </row>
    <row r="416" spans="1:11" ht="27.75" customHeight="1">
      <c r="A416" s="41">
        <v>413</v>
      </c>
      <c r="B416" s="66"/>
      <c r="C416" s="66"/>
      <c r="D416" s="48"/>
      <c r="E416" s="48"/>
      <c r="F416" s="49"/>
      <c r="G416" s="66"/>
      <c r="H416" s="67"/>
      <c r="I416" s="67"/>
      <c r="J416" s="67"/>
      <c r="K416" s="44"/>
    </row>
    <row r="417" spans="1:11" ht="27.75" customHeight="1">
      <c r="A417" s="41">
        <v>414</v>
      </c>
      <c r="B417" s="66"/>
      <c r="C417" s="66"/>
      <c r="D417" s="48"/>
      <c r="E417" s="48"/>
      <c r="F417" s="49"/>
      <c r="G417" s="66"/>
      <c r="H417" s="67"/>
      <c r="I417" s="67"/>
      <c r="J417" s="67"/>
      <c r="K417" s="44"/>
    </row>
    <row r="418" spans="1:11" ht="27.75" customHeight="1">
      <c r="A418" s="41">
        <v>415</v>
      </c>
      <c r="B418" s="66"/>
      <c r="C418" s="66"/>
      <c r="D418" s="48"/>
      <c r="E418" s="48"/>
      <c r="F418" s="49"/>
      <c r="G418" s="66"/>
      <c r="H418" s="67"/>
      <c r="I418" s="67"/>
      <c r="J418" s="67"/>
      <c r="K418" s="44"/>
    </row>
    <row r="419" spans="1:11" ht="27.75" customHeight="1">
      <c r="A419" s="41">
        <v>416</v>
      </c>
      <c r="B419" s="66"/>
      <c r="C419" s="66"/>
      <c r="D419" s="48"/>
      <c r="E419" s="48"/>
      <c r="F419" s="49"/>
      <c r="G419" s="66"/>
      <c r="H419" s="67"/>
      <c r="I419" s="67"/>
      <c r="J419" s="67"/>
      <c r="K419" s="44"/>
    </row>
    <row r="420" spans="1:11" ht="27.75" customHeight="1">
      <c r="A420" s="41">
        <v>417</v>
      </c>
      <c r="B420" s="66"/>
      <c r="C420" s="66"/>
      <c r="D420" s="48"/>
      <c r="E420" s="48"/>
      <c r="F420" s="49"/>
      <c r="G420" s="66"/>
      <c r="H420" s="67"/>
      <c r="I420" s="67"/>
      <c r="J420" s="67"/>
      <c r="K420" s="44"/>
    </row>
    <row r="421" spans="1:11" ht="27.75" customHeight="1">
      <c r="A421" s="41">
        <v>418</v>
      </c>
      <c r="B421" s="66"/>
      <c r="C421" s="66"/>
      <c r="D421" s="48"/>
      <c r="E421" s="48"/>
      <c r="F421" s="49"/>
      <c r="G421" s="66"/>
      <c r="H421" s="67"/>
      <c r="I421" s="67"/>
      <c r="J421" s="67"/>
      <c r="K421" s="44"/>
    </row>
    <row r="422" spans="1:11" ht="27.75" customHeight="1">
      <c r="A422" s="41">
        <v>419</v>
      </c>
      <c r="B422" s="66"/>
      <c r="C422" s="66"/>
      <c r="D422" s="48"/>
      <c r="E422" s="48"/>
      <c r="F422" s="49"/>
      <c r="G422" s="66"/>
      <c r="H422" s="67"/>
      <c r="I422" s="67"/>
      <c r="J422" s="67"/>
      <c r="K422" s="44"/>
    </row>
    <row r="423" spans="1:11" ht="27.75" customHeight="1">
      <c r="A423" s="41">
        <v>420</v>
      </c>
      <c r="B423" s="66"/>
      <c r="C423" s="66"/>
      <c r="D423" s="48"/>
      <c r="E423" s="48"/>
      <c r="F423" s="49"/>
      <c r="G423" s="66"/>
      <c r="H423" s="67"/>
      <c r="I423" s="67"/>
      <c r="J423" s="67"/>
      <c r="K423" s="44"/>
    </row>
    <row r="424" spans="1:11" ht="27.75" customHeight="1">
      <c r="A424" s="41">
        <v>421</v>
      </c>
      <c r="B424" s="66"/>
      <c r="C424" s="66"/>
      <c r="D424" s="48"/>
      <c r="E424" s="48"/>
      <c r="F424" s="49"/>
      <c r="G424" s="66"/>
      <c r="H424" s="67"/>
      <c r="I424" s="67"/>
      <c r="J424" s="67"/>
      <c r="K424" s="44"/>
    </row>
    <row r="425" spans="1:11" ht="27.75" customHeight="1">
      <c r="A425" s="41">
        <v>422</v>
      </c>
      <c r="B425" s="66"/>
      <c r="C425" s="66"/>
      <c r="D425" s="48"/>
      <c r="E425" s="48"/>
      <c r="F425" s="49"/>
      <c r="G425" s="66"/>
      <c r="H425" s="67"/>
      <c r="I425" s="67"/>
      <c r="J425" s="67"/>
      <c r="K425" s="44"/>
    </row>
    <row r="426" spans="1:11" ht="27.75" customHeight="1">
      <c r="A426" s="41">
        <v>423</v>
      </c>
      <c r="B426" s="66"/>
      <c r="C426" s="66"/>
      <c r="D426" s="48"/>
      <c r="E426" s="48"/>
      <c r="F426" s="49"/>
      <c r="G426" s="66"/>
      <c r="H426" s="67"/>
      <c r="I426" s="67"/>
      <c r="J426" s="67"/>
      <c r="K426" s="44"/>
    </row>
    <row r="427" spans="1:11" ht="27.75" customHeight="1">
      <c r="A427" s="41">
        <v>424</v>
      </c>
      <c r="B427" s="66"/>
      <c r="C427" s="66"/>
      <c r="D427" s="48"/>
      <c r="E427" s="48"/>
      <c r="F427" s="49"/>
      <c r="G427" s="66"/>
      <c r="H427" s="67"/>
      <c r="I427" s="67"/>
      <c r="J427" s="67"/>
      <c r="K427" s="44"/>
    </row>
    <row r="428" spans="1:11" ht="27.75" customHeight="1">
      <c r="A428" s="41">
        <v>425</v>
      </c>
      <c r="B428" s="66"/>
      <c r="C428" s="66"/>
      <c r="D428" s="48"/>
      <c r="E428" s="48"/>
      <c r="F428" s="49"/>
      <c r="G428" s="66"/>
      <c r="H428" s="67"/>
      <c r="I428" s="67"/>
      <c r="J428" s="67"/>
      <c r="K428" s="44"/>
    </row>
    <row r="429" spans="1:11" ht="27.75" customHeight="1">
      <c r="A429" s="41">
        <v>426</v>
      </c>
      <c r="B429" s="66"/>
      <c r="C429" s="66"/>
      <c r="D429" s="48"/>
      <c r="E429" s="48"/>
      <c r="F429" s="49"/>
      <c r="G429" s="66"/>
      <c r="H429" s="67"/>
      <c r="I429" s="67"/>
      <c r="J429" s="67"/>
      <c r="K429" s="44"/>
    </row>
    <row r="430" spans="1:11" ht="27.75" customHeight="1">
      <c r="A430" s="41">
        <v>427</v>
      </c>
      <c r="B430" s="66"/>
      <c r="C430" s="66"/>
      <c r="D430" s="48"/>
      <c r="E430" s="48"/>
      <c r="F430" s="49"/>
      <c r="G430" s="66"/>
      <c r="H430" s="67"/>
      <c r="I430" s="67"/>
      <c r="J430" s="67"/>
      <c r="K430" s="44"/>
    </row>
    <row r="431" spans="1:11" ht="27.75" customHeight="1">
      <c r="A431" s="41">
        <v>428</v>
      </c>
      <c r="B431" s="66"/>
      <c r="C431" s="66"/>
      <c r="D431" s="48"/>
      <c r="E431" s="48"/>
      <c r="F431" s="49"/>
      <c r="G431" s="66"/>
      <c r="H431" s="67"/>
      <c r="I431" s="67"/>
      <c r="J431" s="67"/>
      <c r="K431" s="44"/>
    </row>
    <row r="432" spans="1:11" ht="27.75" customHeight="1">
      <c r="A432" s="41">
        <v>429</v>
      </c>
      <c r="B432" s="66"/>
      <c r="C432" s="66"/>
      <c r="D432" s="48"/>
      <c r="E432" s="48"/>
      <c r="F432" s="49"/>
      <c r="G432" s="66"/>
      <c r="H432" s="67"/>
      <c r="I432" s="67"/>
      <c r="J432" s="67"/>
      <c r="K432" s="44"/>
    </row>
    <row r="433" spans="1:11" ht="27.75" customHeight="1">
      <c r="A433" s="41">
        <v>430</v>
      </c>
      <c r="B433" s="66"/>
      <c r="C433" s="66"/>
      <c r="D433" s="48"/>
      <c r="E433" s="48"/>
      <c r="F433" s="49"/>
      <c r="G433" s="66"/>
      <c r="H433" s="67"/>
      <c r="I433" s="67"/>
      <c r="J433" s="67"/>
      <c r="K433" s="44"/>
    </row>
    <row r="434" spans="1:11" ht="27.75" customHeight="1">
      <c r="A434" s="41">
        <v>431</v>
      </c>
      <c r="B434" s="66"/>
      <c r="C434" s="66"/>
      <c r="D434" s="48"/>
      <c r="E434" s="48"/>
      <c r="F434" s="49"/>
      <c r="G434" s="66"/>
      <c r="H434" s="67"/>
      <c r="I434" s="67"/>
      <c r="J434" s="67"/>
      <c r="K434" s="44"/>
    </row>
    <row r="435" spans="1:11" ht="27.75" customHeight="1">
      <c r="A435" s="41">
        <v>432</v>
      </c>
      <c r="B435" s="66"/>
      <c r="C435" s="66"/>
      <c r="D435" s="48"/>
      <c r="E435" s="48"/>
      <c r="F435" s="49"/>
      <c r="G435" s="66"/>
      <c r="H435" s="67"/>
      <c r="I435" s="67"/>
      <c r="J435" s="67"/>
      <c r="K435" s="44"/>
    </row>
    <row r="436" spans="1:11" ht="27.75" customHeight="1">
      <c r="A436" s="41">
        <v>433</v>
      </c>
      <c r="B436" s="66"/>
      <c r="C436" s="66"/>
      <c r="D436" s="48"/>
      <c r="E436" s="48"/>
      <c r="F436" s="49"/>
      <c r="G436" s="66"/>
      <c r="H436" s="67"/>
      <c r="I436" s="67"/>
      <c r="J436" s="67"/>
      <c r="K436" s="44"/>
    </row>
    <row r="437" spans="1:11" ht="27.75" customHeight="1">
      <c r="A437" s="41">
        <v>434</v>
      </c>
      <c r="B437" s="66"/>
      <c r="C437" s="66"/>
      <c r="D437" s="48"/>
      <c r="E437" s="48"/>
      <c r="F437" s="49"/>
      <c r="G437" s="66"/>
      <c r="H437" s="67"/>
      <c r="I437" s="67"/>
      <c r="J437" s="67"/>
      <c r="K437" s="44"/>
    </row>
    <row r="438" spans="1:11" ht="27.75" customHeight="1">
      <c r="A438" s="41">
        <v>435</v>
      </c>
      <c r="B438" s="66"/>
      <c r="C438" s="66"/>
      <c r="D438" s="48"/>
      <c r="E438" s="48"/>
      <c r="F438" s="49"/>
      <c r="G438" s="66"/>
      <c r="H438" s="67"/>
      <c r="I438" s="67"/>
      <c r="J438" s="67"/>
      <c r="K438" s="44"/>
    </row>
    <row r="439" spans="1:11" ht="27.75" customHeight="1">
      <c r="A439" s="41">
        <v>436</v>
      </c>
      <c r="B439" s="66"/>
      <c r="C439" s="66"/>
      <c r="D439" s="48"/>
      <c r="E439" s="48"/>
      <c r="F439" s="49"/>
      <c r="G439" s="66"/>
      <c r="H439" s="67"/>
      <c r="I439" s="67"/>
      <c r="J439" s="67"/>
      <c r="K439" s="44"/>
    </row>
    <row r="440" spans="1:11" ht="27.75" customHeight="1">
      <c r="A440" s="41">
        <v>437</v>
      </c>
      <c r="B440" s="66"/>
      <c r="C440" s="66"/>
      <c r="D440" s="48"/>
      <c r="E440" s="48"/>
      <c r="F440" s="49"/>
      <c r="G440" s="66"/>
      <c r="H440" s="67"/>
      <c r="I440" s="67"/>
      <c r="J440" s="67"/>
      <c r="K440" s="44"/>
    </row>
    <row r="441" spans="1:11" ht="27.75" customHeight="1">
      <c r="A441" s="41">
        <v>438</v>
      </c>
      <c r="B441" s="66"/>
      <c r="C441" s="66"/>
      <c r="D441" s="48"/>
      <c r="E441" s="48"/>
      <c r="F441" s="49"/>
      <c r="G441" s="66"/>
      <c r="H441" s="67"/>
      <c r="I441" s="67"/>
      <c r="J441" s="67"/>
      <c r="K441" s="44"/>
    </row>
    <row r="442" spans="1:11" ht="27.75" customHeight="1">
      <c r="A442" s="41">
        <v>439</v>
      </c>
      <c r="B442" s="66"/>
      <c r="C442" s="66"/>
      <c r="D442" s="48"/>
      <c r="E442" s="48"/>
      <c r="F442" s="49"/>
      <c r="G442" s="66"/>
      <c r="H442" s="67"/>
      <c r="I442" s="67"/>
      <c r="J442" s="67"/>
      <c r="K442" s="44"/>
    </row>
    <row r="443" spans="1:11" ht="27.75" customHeight="1">
      <c r="A443" s="41">
        <v>440</v>
      </c>
      <c r="B443" s="66"/>
      <c r="C443" s="66"/>
      <c r="D443" s="48"/>
      <c r="E443" s="48"/>
      <c r="F443" s="49"/>
      <c r="G443" s="66"/>
      <c r="H443" s="67"/>
      <c r="I443" s="67"/>
      <c r="J443" s="67"/>
      <c r="K443" s="44"/>
    </row>
    <row r="444" spans="1:11" ht="27.75" customHeight="1">
      <c r="A444" s="41">
        <v>441</v>
      </c>
      <c r="B444" s="66"/>
      <c r="C444" s="66"/>
      <c r="D444" s="48"/>
      <c r="E444" s="48"/>
      <c r="F444" s="49"/>
      <c r="G444" s="66"/>
      <c r="H444" s="67"/>
      <c r="I444" s="67"/>
      <c r="J444" s="67"/>
      <c r="K444" s="44"/>
    </row>
    <row r="445" spans="1:11" ht="27.75" customHeight="1">
      <c r="A445" s="41">
        <v>442</v>
      </c>
      <c r="B445" s="66"/>
      <c r="C445" s="66"/>
      <c r="D445" s="48"/>
      <c r="E445" s="48"/>
      <c r="F445" s="49"/>
      <c r="G445" s="66"/>
      <c r="H445" s="67"/>
      <c r="I445" s="67"/>
      <c r="J445" s="67"/>
      <c r="K445" s="44"/>
    </row>
    <row r="446" spans="1:11" ht="27.75" customHeight="1">
      <c r="A446" s="41">
        <v>443</v>
      </c>
      <c r="B446" s="66"/>
      <c r="C446" s="66"/>
      <c r="D446" s="48"/>
      <c r="E446" s="48"/>
      <c r="F446" s="49"/>
      <c r="G446" s="66"/>
      <c r="H446" s="67"/>
      <c r="I446" s="67"/>
      <c r="J446" s="67"/>
      <c r="K446" s="44"/>
    </row>
    <row r="447" spans="1:11" ht="27.75" customHeight="1">
      <c r="A447" s="41">
        <v>444</v>
      </c>
      <c r="B447" s="66"/>
      <c r="C447" s="66"/>
      <c r="D447" s="48"/>
      <c r="E447" s="48"/>
      <c r="F447" s="49"/>
      <c r="G447" s="66"/>
      <c r="H447" s="67"/>
      <c r="I447" s="67"/>
      <c r="J447" s="67"/>
      <c r="K447" s="44"/>
    </row>
    <row r="448" spans="1:11" ht="27.75" customHeight="1">
      <c r="A448" s="41">
        <v>445</v>
      </c>
      <c r="B448" s="66"/>
      <c r="C448" s="66"/>
      <c r="D448" s="48"/>
      <c r="E448" s="48"/>
      <c r="F448" s="49"/>
      <c r="G448" s="66"/>
      <c r="H448" s="67"/>
      <c r="I448" s="67"/>
      <c r="J448" s="67"/>
      <c r="K448" s="44"/>
    </row>
    <row r="449" spans="1:11" ht="27.75" customHeight="1">
      <c r="A449" s="41">
        <v>446</v>
      </c>
      <c r="B449" s="66"/>
      <c r="C449" s="66"/>
      <c r="D449" s="48"/>
      <c r="E449" s="48"/>
      <c r="F449" s="49"/>
      <c r="G449" s="66"/>
      <c r="H449" s="67"/>
      <c r="I449" s="67"/>
      <c r="J449" s="67"/>
      <c r="K449" s="44"/>
    </row>
    <row r="450" spans="1:11" ht="27.75" customHeight="1">
      <c r="A450" s="41">
        <v>447</v>
      </c>
      <c r="B450" s="66"/>
      <c r="C450" s="66"/>
      <c r="D450" s="48"/>
      <c r="E450" s="48"/>
      <c r="F450" s="49"/>
      <c r="G450" s="66"/>
      <c r="H450" s="67"/>
      <c r="I450" s="67"/>
      <c r="J450" s="67"/>
      <c r="K450" s="44"/>
    </row>
    <row r="451" spans="1:11" ht="27.75" customHeight="1">
      <c r="A451" s="41">
        <v>448</v>
      </c>
      <c r="B451" s="66"/>
      <c r="C451" s="66"/>
      <c r="D451" s="48"/>
      <c r="E451" s="48"/>
      <c r="F451" s="49"/>
      <c r="G451" s="66"/>
      <c r="H451" s="67"/>
      <c r="I451" s="67"/>
      <c r="J451" s="67"/>
      <c r="K451" s="44"/>
    </row>
    <row r="452" spans="1:11" ht="27.75" customHeight="1">
      <c r="A452" s="41">
        <v>449</v>
      </c>
      <c r="B452" s="66"/>
      <c r="C452" s="66"/>
      <c r="D452" s="48"/>
      <c r="E452" s="48"/>
      <c r="F452" s="49"/>
      <c r="G452" s="66"/>
      <c r="H452" s="67"/>
      <c r="I452" s="67"/>
      <c r="J452" s="67"/>
      <c r="K452" s="44"/>
    </row>
    <row r="453" spans="1:11" ht="27.75" customHeight="1">
      <c r="A453" s="41">
        <v>450</v>
      </c>
      <c r="B453" s="66"/>
      <c r="C453" s="66"/>
      <c r="D453" s="48"/>
      <c r="E453" s="48"/>
      <c r="F453" s="49"/>
      <c r="G453" s="66"/>
      <c r="H453" s="67"/>
      <c r="I453" s="67"/>
      <c r="J453" s="67"/>
      <c r="K453" s="44"/>
    </row>
    <row r="454" spans="1:11" ht="27.75" customHeight="1">
      <c r="A454" s="41">
        <v>451</v>
      </c>
      <c r="B454" s="66"/>
      <c r="C454" s="66"/>
      <c r="D454" s="48"/>
      <c r="E454" s="48"/>
      <c r="F454" s="49"/>
      <c r="G454" s="66"/>
      <c r="H454" s="67"/>
      <c r="I454" s="67"/>
      <c r="J454" s="67"/>
      <c r="K454" s="44"/>
    </row>
    <row r="455" spans="1:11" ht="27.75" customHeight="1">
      <c r="A455" s="41">
        <v>452</v>
      </c>
      <c r="B455" s="66"/>
      <c r="C455" s="66"/>
      <c r="D455" s="48"/>
      <c r="E455" s="48"/>
      <c r="F455" s="49"/>
      <c r="G455" s="66"/>
      <c r="H455" s="67"/>
      <c r="I455" s="67"/>
      <c r="J455" s="67"/>
      <c r="K455" s="44"/>
    </row>
    <row r="456" spans="1:11" ht="27.75" customHeight="1">
      <c r="A456" s="41">
        <v>453</v>
      </c>
      <c r="B456" s="66"/>
      <c r="C456" s="66"/>
      <c r="D456" s="48"/>
      <c r="E456" s="48"/>
      <c r="F456" s="49"/>
      <c r="G456" s="66"/>
      <c r="H456" s="67"/>
      <c r="I456" s="67"/>
      <c r="J456" s="67"/>
      <c r="K456" s="44"/>
    </row>
    <row r="457" spans="1:11" ht="27.75" customHeight="1">
      <c r="A457" s="41">
        <v>454</v>
      </c>
      <c r="B457" s="66"/>
      <c r="C457" s="66"/>
      <c r="D457" s="48"/>
      <c r="E457" s="48"/>
      <c r="F457" s="49"/>
      <c r="G457" s="66"/>
      <c r="H457" s="67"/>
      <c r="I457" s="67"/>
      <c r="J457" s="67"/>
      <c r="K457" s="44"/>
    </row>
    <row r="458" spans="1:11" ht="27.75" customHeight="1">
      <c r="A458" s="41">
        <v>455</v>
      </c>
      <c r="B458" s="66"/>
      <c r="C458" s="66"/>
      <c r="D458" s="48"/>
      <c r="E458" s="48"/>
      <c r="F458" s="49"/>
      <c r="G458" s="66"/>
      <c r="H458" s="67"/>
      <c r="I458" s="67"/>
      <c r="J458" s="67"/>
      <c r="K458" s="44"/>
    </row>
    <row r="459" spans="1:11" ht="27.75" customHeight="1">
      <c r="A459" s="41">
        <v>456</v>
      </c>
      <c r="B459" s="66"/>
      <c r="C459" s="66"/>
      <c r="D459" s="48"/>
      <c r="E459" s="48"/>
      <c r="F459" s="49"/>
      <c r="G459" s="66"/>
      <c r="H459" s="67"/>
      <c r="I459" s="67"/>
      <c r="J459" s="67"/>
      <c r="K459" s="44"/>
    </row>
    <row r="460" spans="1:11" ht="27.75" customHeight="1">
      <c r="A460" s="41">
        <v>457</v>
      </c>
      <c r="B460" s="66"/>
      <c r="C460" s="66"/>
      <c r="D460" s="48"/>
      <c r="E460" s="48"/>
      <c r="F460" s="49"/>
      <c r="G460" s="66"/>
      <c r="H460" s="67"/>
      <c r="I460" s="67"/>
      <c r="J460" s="67"/>
      <c r="K460" s="44"/>
    </row>
    <row r="461" spans="1:11" ht="27.75" customHeight="1">
      <c r="A461" s="41">
        <v>458</v>
      </c>
      <c r="B461" s="66"/>
      <c r="C461" s="66"/>
      <c r="D461" s="48"/>
      <c r="E461" s="48"/>
      <c r="F461" s="49"/>
      <c r="G461" s="66"/>
      <c r="H461" s="67"/>
      <c r="I461" s="67"/>
      <c r="J461" s="67"/>
      <c r="K461" s="44"/>
    </row>
    <row r="462" spans="1:11" ht="27.75" customHeight="1">
      <c r="A462" s="41">
        <v>459</v>
      </c>
      <c r="B462" s="66"/>
      <c r="C462" s="66"/>
      <c r="D462" s="48"/>
      <c r="E462" s="48"/>
      <c r="F462" s="49"/>
      <c r="G462" s="66"/>
      <c r="H462" s="67"/>
      <c r="I462" s="67"/>
      <c r="J462" s="67"/>
      <c r="K462" s="44"/>
    </row>
    <row r="463" spans="1:11" ht="27.75" customHeight="1">
      <c r="A463" s="41">
        <v>460</v>
      </c>
      <c r="B463" s="66"/>
      <c r="C463" s="66"/>
      <c r="D463" s="48"/>
      <c r="E463" s="48"/>
      <c r="F463" s="49"/>
      <c r="G463" s="66"/>
      <c r="H463" s="67"/>
      <c r="I463" s="67"/>
      <c r="J463" s="67"/>
      <c r="K463" s="44"/>
    </row>
    <row r="464" spans="1:11" ht="27.75" customHeight="1">
      <c r="A464" s="41">
        <v>461</v>
      </c>
      <c r="B464" s="66"/>
      <c r="C464" s="66"/>
      <c r="D464" s="48"/>
      <c r="E464" s="48"/>
      <c r="F464" s="49"/>
      <c r="G464" s="66"/>
      <c r="H464" s="67"/>
      <c r="I464" s="67"/>
      <c r="J464" s="67"/>
      <c r="K464" s="44"/>
    </row>
    <row r="465" spans="1:11" ht="27.75" customHeight="1">
      <c r="A465" s="41">
        <v>462</v>
      </c>
      <c r="B465" s="66"/>
      <c r="C465" s="66"/>
      <c r="D465" s="48"/>
      <c r="E465" s="48"/>
      <c r="F465" s="49"/>
      <c r="G465" s="66"/>
      <c r="H465" s="67"/>
      <c r="I465" s="67"/>
      <c r="J465" s="67"/>
      <c r="K465" s="44"/>
    </row>
    <row r="466" spans="1:11" ht="27.75" customHeight="1">
      <c r="A466" s="41">
        <v>463</v>
      </c>
      <c r="B466" s="66"/>
      <c r="C466" s="66"/>
      <c r="D466" s="48"/>
      <c r="E466" s="48"/>
      <c r="F466" s="49"/>
      <c r="G466" s="66"/>
      <c r="H466" s="67"/>
      <c r="I466" s="67"/>
      <c r="J466" s="67"/>
      <c r="K466" s="44"/>
    </row>
    <row r="467" spans="1:11" ht="27.75" customHeight="1">
      <c r="A467" s="41">
        <v>464</v>
      </c>
      <c r="B467" s="66"/>
      <c r="C467" s="66"/>
      <c r="D467" s="48"/>
      <c r="E467" s="48"/>
      <c r="F467" s="49"/>
      <c r="G467" s="66"/>
      <c r="H467" s="67"/>
      <c r="I467" s="67"/>
      <c r="J467" s="67"/>
      <c r="K467" s="44"/>
    </row>
    <row r="468" spans="1:11" ht="27.75" customHeight="1">
      <c r="A468" s="41">
        <v>465</v>
      </c>
      <c r="B468" s="66"/>
      <c r="C468" s="66"/>
      <c r="D468" s="48"/>
      <c r="E468" s="48"/>
      <c r="F468" s="49"/>
      <c r="G468" s="66"/>
      <c r="H468" s="67"/>
      <c r="I468" s="67"/>
      <c r="J468" s="67"/>
      <c r="K468" s="44"/>
    </row>
    <row r="469" spans="1:11" ht="27.75" customHeight="1">
      <c r="A469" s="41">
        <v>466</v>
      </c>
      <c r="B469" s="66"/>
      <c r="C469" s="66"/>
      <c r="D469" s="48"/>
      <c r="E469" s="48"/>
      <c r="F469" s="49"/>
      <c r="G469" s="66"/>
      <c r="H469" s="67"/>
      <c r="I469" s="67"/>
      <c r="J469" s="67"/>
      <c r="K469" s="44"/>
    </row>
    <row r="470" spans="1:11" ht="27.75" customHeight="1">
      <c r="A470" s="41">
        <v>467</v>
      </c>
      <c r="B470" s="66"/>
      <c r="C470" s="66"/>
      <c r="D470" s="48"/>
      <c r="E470" s="48"/>
      <c r="F470" s="49"/>
      <c r="G470" s="66"/>
      <c r="H470" s="67"/>
      <c r="I470" s="67"/>
      <c r="J470" s="67"/>
      <c r="K470" s="44"/>
    </row>
    <row r="471" spans="1:11" ht="27.75" customHeight="1">
      <c r="A471" s="41">
        <v>468</v>
      </c>
      <c r="B471" s="66"/>
      <c r="C471" s="66"/>
      <c r="D471" s="48"/>
      <c r="E471" s="48"/>
      <c r="F471" s="49"/>
      <c r="G471" s="66"/>
      <c r="H471" s="67"/>
      <c r="I471" s="67"/>
      <c r="J471" s="67"/>
      <c r="K471" s="44"/>
    </row>
    <row r="472" spans="1:11" ht="27.75" customHeight="1">
      <c r="A472" s="41">
        <v>469</v>
      </c>
      <c r="B472" s="66"/>
      <c r="C472" s="66"/>
      <c r="D472" s="48"/>
      <c r="E472" s="48"/>
      <c r="F472" s="49"/>
      <c r="G472" s="66"/>
      <c r="H472" s="67"/>
      <c r="I472" s="67"/>
      <c r="J472" s="67"/>
      <c r="K472" s="44"/>
    </row>
    <row r="473" spans="1:11" ht="27.75" customHeight="1">
      <c r="A473" s="41">
        <v>470</v>
      </c>
      <c r="B473" s="66"/>
      <c r="C473" s="66"/>
      <c r="D473" s="48"/>
      <c r="E473" s="48"/>
      <c r="F473" s="49"/>
      <c r="G473" s="66"/>
      <c r="H473" s="67"/>
      <c r="I473" s="67"/>
      <c r="J473" s="67"/>
      <c r="K473" s="44"/>
    </row>
    <row r="474" spans="1:11" ht="27.75" customHeight="1">
      <c r="A474" s="41">
        <v>471</v>
      </c>
      <c r="B474" s="66"/>
      <c r="C474" s="66"/>
      <c r="D474" s="48"/>
      <c r="E474" s="48"/>
      <c r="F474" s="49"/>
      <c r="G474" s="66"/>
      <c r="H474" s="67"/>
      <c r="I474" s="67"/>
      <c r="J474" s="67"/>
      <c r="K474" s="44"/>
    </row>
    <row r="475" spans="1:11" ht="27.75" customHeight="1">
      <c r="A475" s="41">
        <v>472</v>
      </c>
      <c r="B475" s="66"/>
      <c r="C475" s="66"/>
      <c r="D475" s="48"/>
      <c r="E475" s="48"/>
      <c r="F475" s="49"/>
      <c r="G475" s="66"/>
      <c r="H475" s="67"/>
      <c r="I475" s="67"/>
      <c r="J475" s="67"/>
      <c r="K475" s="44"/>
    </row>
    <row r="476" spans="1:11" ht="27.75" customHeight="1">
      <c r="A476" s="41">
        <v>473</v>
      </c>
      <c r="B476" s="66"/>
      <c r="C476" s="66"/>
      <c r="D476" s="48"/>
      <c r="E476" s="48"/>
      <c r="F476" s="49"/>
      <c r="G476" s="66"/>
      <c r="H476" s="67"/>
      <c r="I476" s="67"/>
      <c r="J476" s="67"/>
      <c r="K476" s="44"/>
    </row>
    <row r="477" spans="1:11" ht="27.75" customHeight="1">
      <c r="A477" s="41">
        <v>474</v>
      </c>
      <c r="B477" s="66"/>
      <c r="C477" s="66"/>
      <c r="D477" s="48"/>
      <c r="E477" s="48"/>
      <c r="F477" s="49"/>
      <c r="G477" s="66"/>
      <c r="H477" s="67"/>
      <c r="I477" s="67"/>
      <c r="J477" s="67"/>
      <c r="K477" s="44"/>
    </row>
    <row r="478" spans="1:11" ht="27.75" customHeight="1">
      <c r="A478" s="41">
        <v>475</v>
      </c>
      <c r="B478" s="66"/>
      <c r="C478" s="66"/>
      <c r="D478" s="48"/>
      <c r="E478" s="48"/>
      <c r="F478" s="49"/>
      <c r="G478" s="66"/>
      <c r="H478" s="67"/>
      <c r="I478" s="67"/>
      <c r="J478" s="67"/>
      <c r="K478" s="44"/>
    </row>
    <row r="479" spans="1:11" ht="27.75" customHeight="1">
      <c r="A479" s="41">
        <v>476</v>
      </c>
      <c r="B479" s="66"/>
      <c r="C479" s="66"/>
      <c r="D479" s="48"/>
      <c r="E479" s="48"/>
      <c r="F479" s="49"/>
      <c r="G479" s="66"/>
      <c r="H479" s="67"/>
      <c r="I479" s="67"/>
      <c r="J479" s="67"/>
      <c r="K479" s="44"/>
    </row>
    <row r="480" spans="1:11" ht="27.75" customHeight="1">
      <c r="A480" s="41">
        <v>477</v>
      </c>
      <c r="B480" s="66"/>
      <c r="C480" s="66"/>
      <c r="D480" s="48"/>
      <c r="E480" s="48"/>
      <c r="F480" s="49"/>
      <c r="G480" s="66"/>
      <c r="H480" s="67"/>
      <c r="I480" s="67"/>
      <c r="J480" s="67"/>
      <c r="K480" s="44"/>
    </row>
    <row r="481" spans="1:11" ht="27.75" customHeight="1">
      <c r="A481" s="41">
        <v>478</v>
      </c>
      <c r="B481" s="66"/>
      <c r="C481" s="66"/>
      <c r="D481" s="48"/>
      <c r="E481" s="48"/>
      <c r="F481" s="49"/>
      <c r="G481" s="66"/>
      <c r="H481" s="67"/>
      <c r="I481" s="67"/>
      <c r="J481" s="67"/>
      <c r="K481" s="44"/>
    </row>
    <row r="482" spans="1:11" ht="27.75" customHeight="1">
      <c r="A482" s="41">
        <v>479</v>
      </c>
      <c r="B482" s="66"/>
      <c r="C482" s="66"/>
      <c r="D482" s="48"/>
      <c r="E482" s="48"/>
      <c r="F482" s="49"/>
      <c r="G482" s="66"/>
      <c r="H482" s="67"/>
      <c r="I482" s="67"/>
      <c r="J482" s="67"/>
      <c r="K482" s="44"/>
    </row>
    <row r="483" spans="1:11" ht="27.75" customHeight="1">
      <c r="A483" s="41">
        <v>480</v>
      </c>
      <c r="B483" s="66"/>
      <c r="C483" s="66"/>
      <c r="D483" s="48"/>
      <c r="E483" s="48"/>
      <c r="F483" s="49"/>
      <c r="G483" s="66"/>
      <c r="H483" s="67"/>
      <c r="I483" s="67"/>
      <c r="J483" s="67"/>
      <c r="K483" s="44"/>
    </row>
    <row r="484" spans="1:11" ht="27.75" customHeight="1">
      <c r="A484" s="41">
        <v>481</v>
      </c>
      <c r="B484" s="66"/>
      <c r="C484" s="66"/>
      <c r="D484" s="48"/>
      <c r="E484" s="48"/>
      <c r="F484" s="49"/>
      <c r="G484" s="66"/>
      <c r="H484" s="67"/>
      <c r="I484" s="67"/>
      <c r="J484" s="67"/>
      <c r="K484" s="44"/>
    </row>
    <row r="485" spans="1:11" ht="27.75" customHeight="1">
      <c r="A485" s="41">
        <v>482</v>
      </c>
      <c r="B485" s="66"/>
      <c r="C485" s="66"/>
      <c r="D485" s="48"/>
      <c r="E485" s="48"/>
      <c r="F485" s="49"/>
      <c r="G485" s="66"/>
      <c r="H485" s="67"/>
      <c r="I485" s="67"/>
      <c r="J485" s="67"/>
      <c r="K485" s="44"/>
    </row>
    <row r="486" spans="1:11" ht="27.75" customHeight="1">
      <c r="A486" s="41">
        <v>483</v>
      </c>
      <c r="B486" s="66"/>
      <c r="C486" s="66"/>
      <c r="D486" s="48"/>
      <c r="E486" s="48"/>
      <c r="F486" s="49"/>
      <c r="G486" s="66"/>
      <c r="H486" s="67"/>
      <c r="I486" s="67"/>
      <c r="J486" s="67"/>
      <c r="K486" s="44"/>
    </row>
    <row r="487" spans="1:11" ht="27.75" customHeight="1">
      <c r="A487" s="41">
        <v>484</v>
      </c>
      <c r="B487" s="66"/>
      <c r="C487" s="66"/>
      <c r="D487" s="48"/>
      <c r="E487" s="48"/>
      <c r="F487" s="49"/>
      <c r="G487" s="66"/>
      <c r="H487" s="67"/>
      <c r="I487" s="67"/>
      <c r="J487" s="67"/>
      <c r="K487" s="44"/>
    </row>
    <row r="488" spans="1:11" ht="27.75" customHeight="1">
      <c r="A488" s="41">
        <v>485</v>
      </c>
      <c r="B488" s="66"/>
      <c r="C488" s="66"/>
      <c r="D488" s="48"/>
      <c r="E488" s="48"/>
      <c r="F488" s="49"/>
      <c r="G488" s="66"/>
      <c r="H488" s="67"/>
      <c r="I488" s="67"/>
      <c r="J488" s="67"/>
      <c r="K488" s="44"/>
    </row>
    <row r="489" spans="1:11" ht="27.75" customHeight="1">
      <c r="A489" s="41">
        <v>486</v>
      </c>
      <c r="B489" s="66"/>
      <c r="C489" s="66"/>
      <c r="D489" s="48"/>
      <c r="E489" s="48"/>
      <c r="F489" s="49"/>
      <c r="G489" s="66"/>
      <c r="H489" s="67"/>
      <c r="I489" s="67"/>
      <c r="J489" s="67"/>
      <c r="K489" s="44"/>
    </row>
    <row r="490" spans="1:11" ht="27.75" customHeight="1">
      <c r="A490" s="41">
        <v>487</v>
      </c>
      <c r="B490" s="66"/>
      <c r="C490" s="66"/>
      <c r="D490" s="48"/>
      <c r="E490" s="48"/>
      <c r="F490" s="49"/>
      <c r="G490" s="66"/>
      <c r="H490" s="67"/>
      <c r="I490" s="67"/>
      <c r="J490" s="67"/>
      <c r="K490" s="44"/>
    </row>
    <row r="491" spans="1:11" ht="27.75" customHeight="1">
      <c r="A491" s="41">
        <v>488</v>
      </c>
      <c r="B491" s="66"/>
      <c r="C491" s="66"/>
      <c r="D491" s="48"/>
      <c r="E491" s="48"/>
      <c r="F491" s="49"/>
      <c r="G491" s="66"/>
      <c r="H491" s="67"/>
      <c r="I491" s="67"/>
      <c r="J491" s="67"/>
      <c r="K491" s="44"/>
    </row>
    <row r="492" spans="1:11" ht="27.75" customHeight="1">
      <c r="A492" s="41">
        <v>489</v>
      </c>
      <c r="B492" s="66"/>
      <c r="C492" s="66"/>
      <c r="D492" s="48"/>
      <c r="E492" s="48"/>
      <c r="F492" s="49"/>
      <c r="G492" s="66"/>
      <c r="H492" s="67"/>
      <c r="I492" s="67"/>
      <c r="J492" s="67"/>
      <c r="K492" s="44"/>
    </row>
    <row r="493" spans="1:11" ht="27.75" customHeight="1">
      <c r="A493" s="41">
        <v>490</v>
      </c>
      <c r="B493" s="66"/>
      <c r="C493" s="66"/>
      <c r="D493" s="48"/>
      <c r="E493" s="48"/>
      <c r="F493" s="49"/>
      <c r="G493" s="66"/>
      <c r="H493" s="67"/>
      <c r="I493" s="67"/>
      <c r="J493" s="67"/>
      <c r="K493" s="44"/>
    </row>
    <row r="494" spans="1:11" ht="27.75" customHeight="1">
      <c r="A494" s="41">
        <v>491</v>
      </c>
      <c r="B494" s="66"/>
      <c r="C494" s="66"/>
      <c r="D494" s="48"/>
      <c r="E494" s="48"/>
      <c r="F494" s="49"/>
      <c r="G494" s="66"/>
      <c r="H494" s="67"/>
      <c r="I494" s="67"/>
      <c r="J494" s="67"/>
      <c r="K494" s="44"/>
    </row>
    <row r="495" spans="1:11" ht="27.75" customHeight="1">
      <c r="A495" s="41">
        <v>492</v>
      </c>
      <c r="B495" s="66"/>
      <c r="C495" s="66"/>
      <c r="D495" s="48"/>
      <c r="E495" s="48"/>
      <c r="F495" s="49"/>
      <c r="G495" s="66"/>
      <c r="H495" s="67"/>
      <c r="I495" s="67"/>
      <c r="J495" s="67"/>
      <c r="K495" s="44"/>
    </row>
    <row r="496" spans="1:11" ht="27.75" customHeight="1">
      <c r="A496" s="41">
        <v>493</v>
      </c>
      <c r="B496" s="66"/>
      <c r="C496" s="66"/>
      <c r="D496" s="48"/>
      <c r="E496" s="48"/>
      <c r="F496" s="49"/>
      <c r="G496" s="66"/>
      <c r="H496" s="67"/>
      <c r="I496" s="67"/>
      <c r="J496" s="67"/>
      <c r="K496" s="44"/>
    </row>
    <row r="497" spans="1:11" ht="27.75" customHeight="1">
      <c r="A497" s="41">
        <v>494</v>
      </c>
      <c r="B497" s="66"/>
      <c r="C497" s="66"/>
      <c r="D497" s="48"/>
      <c r="E497" s="48"/>
      <c r="F497" s="49"/>
      <c r="G497" s="66"/>
      <c r="H497" s="67"/>
      <c r="I497" s="67"/>
      <c r="J497" s="67"/>
      <c r="K497" s="44"/>
    </row>
    <row r="498" spans="1:11" ht="27.75" customHeight="1">
      <c r="A498" s="41">
        <v>495</v>
      </c>
      <c r="B498" s="66"/>
      <c r="C498" s="66"/>
      <c r="D498" s="48"/>
      <c r="E498" s="48"/>
      <c r="F498" s="49"/>
      <c r="G498" s="66"/>
      <c r="H498" s="67"/>
      <c r="I498" s="67"/>
      <c r="J498" s="67"/>
      <c r="K498" s="44"/>
    </row>
    <row r="499" spans="1:11" ht="27.75" customHeight="1">
      <c r="A499" s="41">
        <v>496</v>
      </c>
      <c r="B499" s="66"/>
      <c r="C499" s="66"/>
      <c r="D499" s="48"/>
      <c r="E499" s="48"/>
      <c r="F499" s="49"/>
      <c r="G499" s="66"/>
      <c r="H499" s="67"/>
      <c r="I499" s="67"/>
      <c r="J499" s="67"/>
      <c r="K499" s="44"/>
    </row>
    <row r="500" spans="1:11" ht="27.75" customHeight="1">
      <c r="A500" s="41">
        <v>497</v>
      </c>
      <c r="B500" s="66"/>
      <c r="C500" s="66"/>
      <c r="D500" s="48"/>
      <c r="E500" s="48"/>
      <c r="F500" s="49"/>
      <c r="G500" s="66"/>
      <c r="H500" s="67"/>
      <c r="I500" s="67"/>
      <c r="J500" s="67"/>
      <c r="K500" s="44"/>
    </row>
    <row r="501" spans="1:11" ht="27.75" customHeight="1">
      <c r="A501" s="41">
        <v>498</v>
      </c>
      <c r="B501" s="66"/>
      <c r="C501" s="66"/>
      <c r="D501" s="48"/>
      <c r="E501" s="48"/>
      <c r="F501" s="49"/>
      <c r="G501" s="66"/>
      <c r="H501" s="67"/>
      <c r="I501" s="67"/>
      <c r="J501" s="67"/>
      <c r="K501" s="44"/>
    </row>
    <row r="502" spans="1:11" ht="27.75" customHeight="1">
      <c r="A502" s="41">
        <v>499</v>
      </c>
      <c r="B502" s="66"/>
      <c r="C502" s="66"/>
      <c r="D502" s="48"/>
      <c r="E502" s="48"/>
      <c r="F502" s="49"/>
      <c r="G502" s="66"/>
      <c r="H502" s="67"/>
      <c r="I502" s="67"/>
      <c r="J502" s="67"/>
      <c r="K502" s="44"/>
    </row>
    <row r="503" spans="1:11" ht="27.75" customHeight="1">
      <c r="A503" s="41">
        <v>500</v>
      </c>
      <c r="B503" s="66"/>
      <c r="C503" s="66"/>
      <c r="D503" s="48"/>
      <c r="E503" s="48"/>
      <c r="F503" s="49"/>
      <c r="G503" s="66"/>
      <c r="H503" s="67"/>
      <c r="I503" s="67"/>
      <c r="J503" s="67"/>
      <c r="K503" s="44"/>
    </row>
    <row r="504" spans="1:11" ht="27.75" customHeight="1">
      <c r="A504" s="41">
        <v>501</v>
      </c>
      <c r="B504" s="66"/>
      <c r="C504" s="66"/>
      <c r="D504" s="48"/>
      <c r="E504" s="48"/>
      <c r="F504" s="49"/>
      <c r="G504" s="66"/>
      <c r="H504" s="67"/>
      <c r="I504" s="67"/>
      <c r="J504" s="67"/>
      <c r="K504" s="44"/>
    </row>
    <row r="505" spans="1:11" ht="27.75" customHeight="1">
      <c r="A505" s="41">
        <v>502</v>
      </c>
      <c r="B505" s="66"/>
      <c r="C505" s="66"/>
      <c r="D505" s="48"/>
      <c r="E505" s="48"/>
      <c r="F505" s="49"/>
      <c r="G505" s="66"/>
      <c r="H505" s="67"/>
      <c r="I505" s="67"/>
      <c r="J505" s="67"/>
      <c r="K505" s="44"/>
    </row>
    <row r="506" spans="1:11" ht="27.75" customHeight="1">
      <c r="A506" s="41">
        <v>503</v>
      </c>
      <c r="B506" s="66"/>
      <c r="C506" s="66"/>
      <c r="D506" s="48"/>
      <c r="E506" s="48"/>
      <c r="F506" s="49"/>
      <c r="G506" s="66"/>
      <c r="H506" s="67"/>
      <c r="I506" s="67"/>
      <c r="J506" s="67"/>
      <c r="K506" s="44"/>
    </row>
    <row r="507" spans="1:11" ht="27.75" customHeight="1">
      <c r="A507" s="41">
        <v>504</v>
      </c>
      <c r="B507" s="66"/>
      <c r="C507" s="66"/>
      <c r="D507" s="48"/>
      <c r="E507" s="48"/>
      <c r="F507" s="49"/>
      <c r="G507" s="66"/>
      <c r="H507" s="67"/>
      <c r="I507" s="67"/>
      <c r="J507" s="67"/>
      <c r="K507" s="44"/>
    </row>
    <row r="508" spans="1:11" ht="27.75" customHeight="1">
      <c r="A508" s="41">
        <v>505</v>
      </c>
      <c r="B508" s="66"/>
      <c r="C508" s="66"/>
      <c r="D508" s="48"/>
      <c r="E508" s="48"/>
      <c r="F508" s="49"/>
      <c r="G508" s="66"/>
      <c r="H508" s="67"/>
      <c r="I508" s="67"/>
      <c r="J508" s="67"/>
      <c r="K508" s="44"/>
    </row>
    <row r="509" spans="1:11" ht="27.75" customHeight="1">
      <c r="A509" s="41">
        <v>506</v>
      </c>
      <c r="B509" s="66"/>
      <c r="C509" s="66"/>
      <c r="D509" s="48"/>
      <c r="E509" s="48"/>
      <c r="F509" s="49"/>
      <c r="G509" s="66"/>
      <c r="H509" s="67"/>
      <c r="I509" s="67"/>
      <c r="J509" s="67"/>
      <c r="K509" s="44"/>
    </row>
    <row r="510" spans="1:11" ht="27.75" customHeight="1">
      <c r="A510" s="41">
        <v>507</v>
      </c>
      <c r="B510" s="66"/>
      <c r="C510" s="66"/>
      <c r="D510" s="48"/>
      <c r="E510" s="48"/>
      <c r="F510" s="49"/>
      <c r="G510" s="66"/>
      <c r="H510" s="67"/>
      <c r="I510" s="67"/>
      <c r="J510" s="67"/>
      <c r="K510" s="44"/>
    </row>
    <row r="511" spans="1:11" ht="27.75" customHeight="1">
      <c r="A511" s="41">
        <v>508</v>
      </c>
      <c r="B511" s="66"/>
      <c r="C511" s="66"/>
      <c r="D511" s="48"/>
      <c r="E511" s="48"/>
      <c r="F511" s="49"/>
      <c r="G511" s="66"/>
      <c r="H511" s="67"/>
      <c r="I511" s="67"/>
      <c r="J511" s="67"/>
      <c r="K511" s="44"/>
    </row>
    <row r="512" spans="1:11" ht="27.75" customHeight="1">
      <c r="A512" s="41">
        <v>509</v>
      </c>
      <c r="B512" s="66"/>
      <c r="C512" s="66"/>
      <c r="D512" s="48"/>
      <c r="E512" s="48"/>
      <c r="F512" s="49"/>
      <c r="G512" s="66"/>
      <c r="H512" s="67"/>
      <c r="I512" s="67"/>
      <c r="J512" s="67"/>
      <c r="K512" s="44"/>
    </row>
    <row r="513" spans="1:11" ht="27.75" customHeight="1">
      <c r="A513" s="41">
        <v>510</v>
      </c>
      <c r="B513" s="66"/>
      <c r="C513" s="66"/>
      <c r="D513" s="48"/>
      <c r="E513" s="48"/>
      <c r="F513" s="49"/>
      <c r="G513" s="66"/>
      <c r="H513" s="67"/>
      <c r="I513" s="67"/>
      <c r="J513" s="67"/>
      <c r="K513" s="44"/>
    </row>
    <row r="514" spans="1:11" ht="27.75" customHeight="1">
      <c r="A514" s="41">
        <v>511</v>
      </c>
      <c r="B514" s="66"/>
      <c r="C514" s="66"/>
      <c r="D514" s="48"/>
      <c r="E514" s="48"/>
      <c r="F514" s="49"/>
      <c r="G514" s="66"/>
      <c r="H514" s="67"/>
      <c r="I514" s="67"/>
      <c r="J514" s="67"/>
      <c r="K514" s="44"/>
    </row>
    <row r="515" spans="1:11" ht="27.75" customHeight="1">
      <c r="A515" s="41">
        <v>512</v>
      </c>
      <c r="B515" s="66"/>
      <c r="C515" s="66"/>
      <c r="D515" s="48"/>
      <c r="E515" s="48"/>
      <c r="F515" s="49"/>
      <c r="G515" s="66"/>
      <c r="H515" s="67"/>
      <c r="I515" s="67"/>
      <c r="J515" s="67"/>
      <c r="K515" s="44"/>
    </row>
    <row r="516" spans="1:11" ht="27.75" customHeight="1">
      <c r="A516" s="41">
        <v>513</v>
      </c>
      <c r="B516" s="66"/>
      <c r="C516" s="66"/>
      <c r="D516" s="48"/>
      <c r="E516" s="48"/>
      <c r="F516" s="49"/>
      <c r="G516" s="66"/>
      <c r="H516" s="67"/>
      <c r="I516" s="67"/>
      <c r="J516" s="67"/>
      <c r="K516" s="44"/>
    </row>
    <row r="517" spans="1:11" ht="27.75" customHeight="1">
      <c r="A517" s="41">
        <v>514</v>
      </c>
      <c r="B517" s="66"/>
      <c r="C517" s="66"/>
      <c r="D517" s="48"/>
      <c r="E517" s="48"/>
      <c r="F517" s="49"/>
      <c r="G517" s="66"/>
      <c r="H517" s="67"/>
      <c r="I517" s="67"/>
      <c r="J517" s="67"/>
      <c r="K517" s="44"/>
    </row>
    <row r="518" spans="1:11" ht="27.75" customHeight="1">
      <c r="A518" s="41">
        <v>515</v>
      </c>
      <c r="B518" s="66"/>
      <c r="C518" s="66"/>
      <c r="D518" s="48"/>
      <c r="E518" s="48"/>
      <c r="F518" s="49"/>
      <c r="G518" s="66"/>
      <c r="H518" s="67"/>
      <c r="I518" s="67"/>
      <c r="J518" s="67"/>
      <c r="K518" s="44"/>
    </row>
    <row r="519" spans="1:11" ht="27.75" customHeight="1">
      <c r="A519" s="41">
        <v>516</v>
      </c>
      <c r="B519" s="66"/>
      <c r="C519" s="66"/>
      <c r="D519" s="48"/>
      <c r="E519" s="48"/>
      <c r="F519" s="49"/>
      <c r="G519" s="66"/>
      <c r="H519" s="67"/>
      <c r="I519" s="67"/>
      <c r="J519" s="67"/>
      <c r="K519" s="44"/>
    </row>
    <row r="520" spans="1:11" ht="27.75" customHeight="1">
      <c r="A520" s="41">
        <v>517</v>
      </c>
      <c r="B520" s="66"/>
      <c r="C520" s="66"/>
      <c r="D520" s="48"/>
      <c r="E520" s="48"/>
      <c r="F520" s="49"/>
      <c r="G520" s="66"/>
      <c r="H520" s="67"/>
      <c r="I520" s="67"/>
      <c r="J520" s="67"/>
      <c r="K520" s="44"/>
    </row>
    <row r="521" spans="1:11" ht="27.75" customHeight="1">
      <c r="A521" s="41">
        <v>518</v>
      </c>
      <c r="B521" s="66"/>
      <c r="C521" s="66"/>
      <c r="D521" s="48"/>
      <c r="E521" s="48"/>
      <c r="F521" s="49"/>
      <c r="G521" s="66"/>
      <c r="H521" s="67"/>
      <c r="I521" s="67"/>
      <c r="J521" s="67"/>
      <c r="K521" s="44"/>
    </row>
    <row r="522" spans="1:11" ht="27.75" customHeight="1">
      <c r="A522" s="41">
        <v>519</v>
      </c>
      <c r="B522" s="66"/>
      <c r="C522" s="66"/>
      <c r="D522" s="48"/>
      <c r="E522" s="48"/>
      <c r="F522" s="49"/>
      <c r="G522" s="66"/>
      <c r="H522" s="67"/>
      <c r="I522" s="67"/>
      <c r="J522" s="67"/>
      <c r="K522" s="44"/>
    </row>
    <row r="523" spans="1:11" ht="27.75" customHeight="1">
      <c r="A523" s="41">
        <v>520</v>
      </c>
      <c r="B523" s="66"/>
      <c r="C523" s="66"/>
      <c r="D523" s="48"/>
      <c r="E523" s="48"/>
      <c r="F523" s="49"/>
      <c r="G523" s="66"/>
      <c r="H523" s="67"/>
      <c r="I523" s="67"/>
      <c r="J523" s="67"/>
      <c r="K523" s="44"/>
    </row>
    <row r="524" spans="1:11" ht="27.75" customHeight="1">
      <c r="A524" s="41">
        <v>521</v>
      </c>
      <c r="B524" s="66"/>
      <c r="C524" s="66"/>
      <c r="D524" s="48"/>
      <c r="E524" s="48"/>
      <c r="F524" s="49"/>
      <c r="G524" s="66"/>
      <c r="H524" s="67"/>
      <c r="I524" s="67"/>
      <c r="J524" s="67"/>
      <c r="K524" s="44"/>
    </row>
    <row r="525" spans="1:11" ht="27.75" customHeight="1">
      <c r="A525" s="41">
        <v>522</v>
      </c>
      <c r="B525" s="66"/>
      <c r="C525" s="66"/>
      <c r="D525" s="48"/>
      <c r="E525" s="48"/>
      <c r="F525" s="49"/>
      <c r="G525" s="66"/>
      <c r="H525" s="67"/>
      <c r="I525" s="67"/>
      <c r="J525" s="67"/>
      <c r="K525" s="44"/>
    </row>
    <row r="526" spans="1:11" ht="27.75" customHeight="1">
      <c r="A526" s="41">
        <v>523</v>
      </c>
      <c r="B526" s="66"/>
      <c r="C526" s="66"/>
      <c r="D526" s="48"/>
      <c r="E526" s="48"/>
      <c r="F526" s="49"/>
      <c r="G526" s="66"/>
      <c r="H526" s="67"/>
      <c r="I526" s="67"/>
      <c r="J526" s="67"/>
      <c r="K526" s="44"/>
    </row>
    <row r="527" spans="1:11" ht="27.75" customHeight="1">
      <c r="A527" s="41">
        <v>524</v>
      </c>
      <c r="B527" s="66"/>
      <c r="C527" s="66"/>
      <c r="D527" s="48"/>
      <c r="E527" s="48"/>
      <c r="F527" s="49"/>
      <c r="G527" s="66"/>
      <c r="H527" s="67"/>
      <c r="I527" s="67"/>
      <c r="J527" s="67"/>
      <c r="K527" s="44"/>
    </row>
    <row r="528" spans="1:11" ht="27.75" customHeight="1">
      <c r="A528" s="41">
        <v>525</v>
      </c>
      <c r="B528" s="66"/>
      <c r="C528" s="66"/>
      <c r="D528" s="48"/>
      <c r="E528" s="48"/>
      <c r="F528" s="49"/>
      <c r="G528" s="66"/>
      <c r="H528" s="67"/>
      <c r="I528" s="67"/>
      <c r="J528" s="67"/>
      <c r="K528" s="44"/>
    </row>
    <row r="529" spans="1:11" ht="27.75" customHeight="1">
      <c r="A529" s="41">
        <v>526</v>
      </c>
      <c r="B529" s="66"/>
      <c r="C529" s="66"/>
      <c r="D529" s="48"/>
      <c r="E529" s="48"/>
      <c r="F529" s="49"/>
      <c r="G529" s="66"/>
      <c r="H529" s="67"/>
      <c r="I529" s="67"/>
      <c r="J529" s="67"/>
      <c r="K529" s="44"/>
    </row>
    <row r="530" spans="1:11" ht="27.75" customHeight="1">
      <c r="A530" s="41">
        <v>527</v>
      </c>
      <c r="B530" s="66"/>
      <c r="C530" s="66"/>
      <c r="D530" s="48"/>
      <c r="E530" s="48"/>
      <c r="F530" s="49"/>
      <c r="G530" s="66"/>
      <c r="H530" s="67"/>
      <c r="I530" s="67"/>
      <c r="J530" s="67"/>
      <c r="K530" s="44"/>
    </row>
    <row r="531" spans="1:11" ht="27.75" customHeight="1">
      <c r="A531" s="41">
        <v>528</v>
      </c>
      <c r="B531" s="66"/>
      <c r="C531" s="66"/>
      <c r="D531" s="48"/>
      <c r="E531" s="48"/>
      <c r="F531" s="49"/>
      <c r="G531" s="66"/>
      <c r="H531" s="67"/>
      <c r="I531" s="67"/>
      <c r="J531" s="67"/>
      <c r="K531" s="44"/>
    </row>
    <row r="532" spans="1:11" ht="27.75" customHeight="1">
      <c r="A532" s="41">
        <v>529</v>
      </c>
      <c r="B532" s="66"/>
      <c r="C532" s="66"/>
      <c r="D532" s="48"/>
      <c r="E532" s="48"/>
      <c r="F532" s="49"/>
      <c r="G532" s="66"/>
      <c r="H532" s="67"/>
      <c r="I532" s="67"/>
      <c r="J532" s="67"/>
      <c r="K532" s="44"/>
    </row>
    <row r="533" spans="1:11" ht="27.75" customHeight="1">
      <c r="A533" s="41">
        <v>530</v>
      </c>
      <c r="B533" s="66"/>
      <c r="C533" s="66"/>
      <c r="D533" s="48"/>
      <c r="E533" s="48"/>
      <c r="F533" s="49"/>
      <c r="G533" s="66"/>
      <c r="H533" s="67"/>
      <c r="I533" s="67"/>
      <c r="J533" s="67"/>
      <c r="K533" s="44"/>
    </row>
    <row r="534" spans="1:11" ht="27.75" customHeight="1">
      <c r="A534" s="41">
        <v>531</v>
      </c>
      <c r="B534" s="66"/>
      <c r="C534" s="66"/>
      <c r="D534" s="48"/>
      <c r="E534" s="48"/>
      <c r="F534" s="49"/>
      <c r="G534" s="66"/>
      <c r="H534" s="67"/>
      <c r="I534" s="67"/>
      <c r="J534" s="67"/>
      <c r="K534" s="44"/>
    </row>
    <row r="535" spans="1:11" ht="27.75" customHeight="1">
      <c r="A535" s="41">
        <v>532</v>
      </c>
      <c r="B535" s="66"/>
      <c r="C535" s="66"/>
      <c r="D535" s="48"/>
      <c r="E535" s="48"/>
      <c r="F535" s="49"/>
      <c r="G535" s="66"/>
      <c r="H535" s="67"/>
      <c r="I535" s="67"/>
      <c r="J535" s="67"/>
      <c r="K535" s="44"/>
    </row>
    <row r="536" spans="1:11" ht="27.75" customHeight="1">
      <c r="A536" s="41">
        <v>533</v>
      </c>
      <c r="B536" s="66"/>
      <c r="C536" s="66"/>
      <c r="D536" s="48"/>
      <c r="E536" s="48"/>
      <c r="F536" s="49"/>
      <c r="G536" s="66"/>
      <c r="H536" s="67"/>
      <c r="I536" s="67"/>
      <c r="J536" s="67"/>
      <c r="K536" s="44"/>
    </row>
    <row r="537" spans="1:11" ht="27.75" customHeight="1">
      <c r="A537" s="41">
        <v>534</v>
      </c>
      <c r="B537" s="66"/>
      <c r="C537" s="66"/>
      <c r="D537" s="48"/>
      <c r="E537" s="48"/>
      <c r="F537" s="49"/>
      <c r="G537" s="66"/>
      <c r="H537" s="67"/>
      <c r="I537" s="67"/>
      <c r="J537" s="67"/>
      <c r="K537" s="44"/>
    </row>
    <row r="538" spans="1:11" ht="27.75" customHeight="1">
      <c r="A538" s="41">
        <v>535</v>
      </c>
      <c r="B538" s="66"/>
      <c r="C538" s="66"/>
      <c r="D538" s="48"/>
      <c r="E538" s="48"/>
      <c r="F538" s="49"/>
      <c r="G538" s="66"/>
      <c r="H538" s="67"/>
      <c r="I538" s="67"/>
      <c r="J538" s="67"/>
      <c r="K538" s="44"/>
    </row>
    <row r="539" spans="1:11" ht="27.75" customHeight="1">
      <c r="A539" s="41">
        <v>536</v>
      </c>
      <c r="B539" s="66"/>
      <c r="C539" s="66"/>
      <c r="D539" s="48"/>
      <c r="E539" s="48"/>
      <c r="F539" s="49"/>
      <c r="G539" s="66"/>
      <c r="H539" s="67"/>
      <c r="I539" s="67"/>
      <c r="J539" s="67"/>
      <c r="K539" s="44"/>
    </row>
    <row r="540" spans="1:11" ht="27.75" customHeight="1">
      <c r="A540" s="41">
        <v>537</v>
      </c>
      <c r="B540" s="66"/>
      <c r="C540" s="66"/>
      <c r="D540" s="48"/>
      <c r="E540" s="48"/>
      <c r="F540" s="49"/>
      <c r="G540" s="66"/>
      <c r="H540" s="67"/>
      <c r="I540" s="67"/>
      <c r="J540" s="67"/>
      <c r="K540" s="44"/>
    </row>
    <row r="541" spans="1:11" ht="27.75" customHeight="1">
      <c r="A541" s="41">
        <v>538</v>
      </c>
      <c r="B541" s="66"/>
      <c r="C541" s="66"/>
      <c r="D541" s="48"/>
      <c r="E541" s="48"/>
      <c r="F541" s="49"/>
      <c r="G541" s="66"/>
      <c r="H541" s="67"/>
      <c r="I541" s="67"/>
      <c r="J541" s="67"/>
      <c r="K541" s="44"/>
    </row>
    <row r="542" spans="1:11" ht="27.75" customHeight="1">
      <c r="A542" s="41">
        <v>539</v>
      </c>
      <c r="B542" s="66"/>
      <c r="C542" s="66"/>
      <c r="D542" s="48"/>
      <c r="E542" s="48"/>
      <c r="F542" s="49"/>
      <c r="G542" s="66"/>
      <c r="H542" s="67"/>
      <c r="I542" s="67"/>
      <c r="J542" s="67"/>
      <c r="K542" s="44"/>
    </row>
    <row r="543" spans="1:11" ht="27.75" customHeight="1">
      <c r="A543" s="41">
        <v>540</v>
      </c>
      <c r="B543" s="66"/>
      <c r="C543" s="66"/>
      <c r="D543" s="48"/>
      <c r="E543" s="48"/>
      <c r="F543" s="49"/>
      <c r="G543" s="66"/>
      <c r="H543" s="67"/>
      <c r="I543" s="67"/>
      <c r="J543" s="67"/>
      <c r="K543" s="44"/>
    </row>
    <row r="544" spans="1:11" ht="27.75" customHeight="1">
      <c r="A544" s="41">
        <v>541</v>
      </c>
      <c r="B544" s="66"/>
      <c r="C544" s="66"/>
      <c r="D544" s="48"/>
      <c r="E544" s="48"/>
      <c r="F544" s="49"/>
      <c r="G544" s="66"/>
      <c r="H544" s="67"/>
      <c r="I544" s="67"/>
      <c r="J544" s="67"/>
      <c r="K544" s="44"/>
    </row>
    <row r="545" spans="1:11" ht="27.75" customHeight="1">
      <c r="A545" s="41">
        <v>542</v>
      </c>
      <c r="B545" s="66"/>
      <c r="C545" s="66"/>
      <c r="D545" s="48"/>
      <c r="E545" s="48"/>
      <c r="F545" s="49"/>
      <c r="G545" s="66"/>
      <c r="H545" s="67"/>
      <c r="I545" s="67"/>
      <c r="J545" s="67"/>
      <c r="K545" s="44"/>
    </row>
    <row r="546" spans="1:11" ht="27.75" customHeight="1">
      <c r="A546" s="41">
        <v>543</v>
      </c>
      <c r="B546" s="66"/>
      <c r="C546" s="66"/>
      <c r="D546" s="48"/>
      <c r="E546" s="48"/>
      <c r="F546" s="49"/>
      <c r="G546" s="66"/>
      <c r="H546" s="67"/>
      <c r="I546" s="67"/>
      <c r="J546" s="67"/>
      <c r="K546" s="44"/>
    </row>
    <row r="547" spans="1:11" ht="27.75" customHeight="1">
      <c r="A547" s="41">
        <v>544</v>
      </c>
      <c r="B547" s="66"/>
      <c r="C547" s="66"/>
      <c r="D547" s="48"/>
      <c r="E547" s="48"/>
      <c r="F547" s="49"/>
      <c r="G547" s="66"/>
      <c r="H547" s="67"/>
      <c r="I547" s="67"/>
      <c r="J547" s="67"/>
      <c r="K547" s="44"/>
    </row>
    <row r="548" spans="1:11" ht="27.75" customHeight="1">
      <c r="A548" s="41">
        <v>545</v>
      </c>
      <c r="B548" s="66"/>
      <c r="C548" s="66"/>
      <c r="D548" s="48"/>
      <c r="E548" s="48"/>
      <c r="F548" s="49"/>
      <c r="G548" s="66"/>
      <c r="H548" s="67"/>
      <c r="I548" s="67"/>
      <c r="J548" s="67"/>
      <c r="K548" s="44"/>
    </row>
    <row r="549" spans="1:11" ht="27.75" customHeight="1">
      <c r="A549" s="41">
        <v>546</v>
      </c>
      <c r="B549" s="66"/>
      <c r="C549" s="66"/>
      <c r="D549" s="48"/>
      <c r="E549" s="48"/>
      <c r="F549" s="49"/>
      <c r="G549" s="66"/>
      <c r="H549" s="67"/>
      <c r="I549" s="67"/>
      <c r="J549" s="67"/>
      <c r="K549" s="44"/>
    </row>
    <row r="550" spans="1:11" ht="27.75" customHeight="1">
      <c r="A550" s="41">
        <v>547</v>
      </c>
      <c r="B550" s="66"/>
      <c r="C550" s="66"/>
      <c r="D550" s="48"/>
      <c r="E550" s="48"/>
      <c r="F550" s="49"/>
      <c r="G550" s="66"/>
      <c r="H550" s="67"/>
      <c r="I550" s="67"/>
      <c r="J550" s="67"/>
      <c r="K550" s="44"/>
    </row>
    <row r="551" spans="1:11" ht="27.75" customHeight="1">
      <c r="A551" s="41">
        <v>548</v>
      </c>
      <c r="B551" s="66"/>
      <c r="C551" s="66"/>
      <c r="D551" s="48"/>
      <c r="E551" s="48"/>
      <c r="F551" s="49"/>
      <c r="G551" s="66"/>
      <c r="H551" s="67"/>
      <c r="I551" s="67"/>
      <c r="J551" s="67"/>
      <c r="K551" s="44"/>
    </row>
    <row r="552" spans="1:11" ht="27.75" customHeight="1">
      <c r="A552" s="41">
        <v>549</v>
      </c>
      <c r="B552" s="66"/>
      <c r="C552" s="66"/>
      <c r="D552" s="48"/>
      <c r="E552" s="48"/>
      <c r="F552" s="49"/>
      <c r="G552" s="66"/>
      <c r="H552" s="67"/>
      <c r="I552" s="67"/>
      <c r="J552" s="67"/>
      <c r="K552" s="44"/>
    </row>
    <row r="553" spans="1:11" ht="27.75" customHeight="1">
      <c r="A553" s="41">
        <v>550</v>
      </c>
      <c r="B553" s="66"/>
      <c r="C553" s="66"/>
      <c r="D553" s="48"/>
      <c r="E553" s="48"/>
      <c r="F553" s="49"/>
      <c r="G553" s="66"/>
      <c r="H553" s="67"/>
      <c r="I553" s="67"/>
      <c r="J553" s="67"/>
      <c r="K553" s="44"/>
    </row>
    <row r="554" spans="1:11" ht="27.75" customHeight="1">
      <c r="A554" s="41">
        <v>551</v>
      </c>
      <c r="B554" s="66"/>
      <c r="C554" s="66"/>
      <c r="D554" s="48"/>
      <c r="E554" s="48"/>
      <c r="F554" s="49"/>
      <c r="G554" s="66"/>
      <c r="H554" s="67"/>
      <c r="I554" s="67"/>
      <c r="J554" s="67"/>
      <c r="K554" s="44"/>
    </row>
    <row r="555" spans="1:11" ht="27.75" customHeight="1">
      <c r="A555" s="41">
        <v>552</v>
      </c>
      <c r="B555" s="66"/>
      <c r="C555" s="66"/>
      <c r="D555" s="48"/>
      <c r="E555" s="48"/>
      <c r="F555" s="49"/>
      <c r="G555" s="66"/>
      <c r="H555" s="67"/>
      <c r="I555" s="67"/>
      <c r="J555" s="67"/>
      <c r="K555" s="44"/>
    </row>
    <row r="556" spans="1:11" ht="27.75" customHeight="1">
      <c r="A556" s="41">
        <v>553</v>
      </c>
      <c r="B556" s="66"/>
      <c r="C556" s="66"/>
      <c r="D556" s="48"/>
      <c r="E556" s="48"/>
      <c r="F556" s="49"/>
      <c r="G556" s="66"/>
      <c r="H556" s="67"/>
      <c r="I556" s="67"/>
      <c r="J556" s="67"/>
      <c r="K556" s="44"/>
    </row>
    <row r="557" spans="1:11" ht="27.75" customHeight="1">
      <c r="A557" s="41">
        <v>554</v>
      </c>
      <c r="B557" s="66"/>
      <c r="C557" s="66"/>
      <c r="D557" s="48"/>
      <c r="E557" s="48"/>
      <c r="F557" s="49"/>
      <c r="G557" s="66"/>
      <c r="H557" s="67"/>
      <c r="I557" s="67"/>
      <c r="J557" s="67"/>
      <c r="K557" s="44"/>
    </row>
    <row r="558" spans="1:11" ht="27.75" customHeight="1">
      <c r="A558" s="41">
        <v>555</v>
      </c>
      <c r="B558" s="66"/>
      <c r="C558" s="66"/>
      <c r="D558" s="48"/>
      <c r="E558" s="48"/>
      <c r="F558" s="49"/>
      <c r="G558" s="66"/>
      <c r="H558" s="67"/>
      <c r="I558" s="67"/>
      <c r="J558" s="67"/>
      <c r="K558" s="44"/>
    </row>
    <row r="559" spans="1:11" ht="27.75" customHeight="1">
      <c r="A559" s="41">
        <v>556</v>
      </c>
      <c r="B559" s="66"/>
      <c r="C559" s="66"/>
      <c r="D559" s="48"/>
      <c r="E559" s="48"/>
      <c r="F559" s="49"/>
      <c r="G559" s="66"/>
      <c r="H559" s="67"/>
      <c r="I559" s="67"/>
      <c r="J559" s="67"/>
      <c r="K559" s="44"/>
    </row>
    <row r="560" spans="1:11" ht="27.75" customHeight="1">
      <c r="A560" s="41">
        <v>557</v>
      </c>
      <c r="B560" s="66"/>
      <c r="C560" s="66"/>
      <c r="D560" s="48"/>
      <c r="E560" s="48"/>
      <c r="F560" s="49"/>
      <c r="G560" s="66"/>
      <c r="H560" s="67"/>
      <c r="I560" s="67"/>
      <c r="J560" s="67"/>
      <c r="K560" s="44"/>
    </row>
    <row r="561" spans="1:11" ht="27.75" customHeight="1">
      <c r="A561" s="41">
        <v>558</v>
      </c>
      <c r="B561" s="66"/>
      <c r="C561" s="66"/>
      <c r="D561" s="48"/>
      <c r="E561" s="48"/>
      <c r="F561" s="49"/>
      <c r="G561" s="66"/>
      <c r="H561" s="67"/>
      <c r="I561" s="67"/>
      <c r="J561" s="67"/>
      <c r="K561" s="44"/>
    </row>
    <row r="562" spans="1:11" ht="27.75" customHeight="1">
      <c r="A562" s="41">
        <v>559</v>
      </c>
      <c r="B562" s="66"/>
      <c r="C562" s="66"/>
      <c r="D562" s="48"/>
      <c r="E562" s="48"/>
      <c r="F562" s="49"/>
      <c r="G562" s="66"/>
      <c r="H562" s="67"/>
      <c r="I562" s="67"/>
      <c r="J562" s="67"/>
      <c r="K562" s="44"/>
    </row>
    <row r="563" spans="1:11" ht="27.75" customHeight="1">
      <c r="A563" s="41">
        <v>560</v>
      </c>
      <c r="B563" s="66"/>
      <c r="C563" s="66"/>
      <c r="D563" s="48"/>
      <c r="E563" s="48"/>
      <c r="F563" s="49"/>
      <c r="G563" s="66"/>
      <c r="H563" s="67"/>
      <c r="I563" s="67"/>
      <c r="J563" s="67"/>
      <c r="K563" s="44"/>
    </row>
    <row r="564" spans="1:11" ht="27.75" customHeight="1">
      <c r="A564" s="41">
        <v>561</v>
      </c>
      <c r="B564" s="66"/>
      <c r="C564" s="66"/>
      <c r="D564" s="48"/>
      <c r="E564" s="48"/>
      <c r="F564" s="49"/>
      <c r="G564" s="66"/>
      <c r="H564" s="67"/>
      <c r="I564" s="67"/>
      <c r="J564" s="67"/>
      <c r="K564" s="44"/>
    </row>
    <row r="565" spans="1:11" ht="27.75" customHeight="1">
      <c r="A565" s="41">
        <v>562</v>
      </c>
      <c r="B565" s="66"/>
      <c r="C565" s="66"/>
      <c r="D565" s="48"/>
      <c r="E565" s="48"/>
      <c r="F565" s="49"/>
      <c r="G565" s="66"/>
      <c r="H565" s="67"/>
      <c r="I565" s="67"/>
      <c r="J565" s="67"/>
      <c r="K565" s="44"/>
    </row>
    <row r="566" spans="1:11" ht="27.75" customHeight="1">
      <c r="A566" s="41">
        <v>563</v>
      </c>
      <c r="B566" s="66"/>
      <c r="C566" s="66"/>
      <c r="D566" s="48"/>
      <c r="E566" s="48"/>
      <c r="F566" s="49"/>
      <c r="G566" s="66"/>
      <c r="H566" s="67"/>
      <c r="I566" s="67"/>
      <c r="J566" s="67"/>
      <c r="K566" s="44"/>
    </row>
    <row r="567" spans="1:11" ht="27.75" customHeight="1">
      <c r="A567" s="41">
        <v>564</v>
      </c>
      <c r="B567" s="66"/>
      <c r="C567" s="66"/>
      <c r="D567" s="48"/>
      <c r="E567" s="48"/>
      <c r="F567" s="49"/>
      <c r="G567" s="66"/>
      <c r="H567" s="67"/>
      <c r="I567" s="67"/>
      <c r="J567" s="67"/>
      <c r="K567" s="44"/>
    </row>
    <row r="568" spans="1:11" ht="27.75" customHeight="1">
      <c r="A568" s="41">
        <v>565</v>
      </c>
      <c r="B568" s="66"/>
      <c r="C568" s="66"/>
      <c r="D568" s="48"/>
      <c r="E568" s="48"/>
      <c r="F568" s="49"/>
      <c r="G568" s="66"/>
      <c r="H568" s="67"/>
      <c r="I568" s="67"/>
      <c r="J568" s="67"/>
      <c r="K568" s="44"/>
    </row>
    <row r="569" spans="1:11" ht="27.75" customHeight="1">
      <c r="A569" s="41">
        <v>566</v>
      </c>
      <c r="B569" s="66"/>
      <c r="C569" s="66"/>
      <c r="D569" s="48"/>
      <c r="E569" s="48"/>
      <c r="F569" s="49"/>
      <c r="G569" s="66"/>
      <c r="H569" s="67"/>
      <c r="I569" s="67"/>
      <c r="J569" s="67"/>
      <c r="K569" s="44"/>
    </row>
    <row r="570" spans="1:11" ht="27.75" customHeight="1">
      <c r="A570" s="41">
        <v>567</v>
      </c>
      <c r="B570" s="66"/>
      <c r="C570" s="66"/>
      <c r="D570" s="48"/>
      <c r="E570" s="48"/>
      <c r="F570" s="49"/>
      <c r="G570" s="66"/>
      <c r="H570" s="67"/>
      <c r="I570" s="67"/>
      <c r="J570" s="67"/>
      <c r="K570" s="44"/>
    </row>
    <row r="571" spans="1:11" ht="27.75" customHeight="1">
      <c r="A571" s="41">
        <v>568</v>
      </c>
      <c r="B571" s="66"/>
      <c r="C571" s="66"/>
      <c r="D571" s="48"/>
      <c r="E571" s="48"/>
      <c r="F571" s="49"/>
      <c r="G571" s="66"/>
      <c r="H571" s="67"/>
      <c r="I571" s="67"/>
      <c r="J571" s="67"/>
      <c r="K571" s="44"/>
    </row>
    <row r="572" spans="1:11" ht="27.75" customHeight="1">
      <c r="A572" s="41">
        <v>569</v>
      </c>
      <c r="B572" s="66"/>
      <c r="C572" s="66"/>
      <c r="D572" s="48"/>
      <c r="E572" s="48"/>
      <c r="F572" s="49"/>
      <c r="G572" s="66"/>
      <c r="H572" s="67"/>
      <c r="I572" s="67"/>
      <c r="J572" s="67"/>
      <c r="K572" s="44"/>
    </row>
    <row r="573" spans="1:11" ht="27.75" customHeight="1">
      <c r="A573" s="41">
        <v>570</v>
      </c>
      <c r="B573" s="66"/>
      <c r="C573" s="66"/>
      <c r="D573" s="48"/>
      <c r="E573" s="48"/>
      <c r="F573" s="49"/>
      <c r="G573" s="66"/>
      <c r="H573" s="67"/>
      <c r="I573" s="67"/>
      <c r="J573" s="67"/>
      <c r="K573" s="44"/>
    </row>
    <row r="574" spans="1:11" ht="27.75" customHeight="1">
      <c r="A574" s="41">
        <v>571</v>
      </c>
      <c r="B574" s="66"/>
      <c r="C574" s="66"/>
      <c r="D574" s="48"/>
      <c r="E574" s="48"/>
      <c r="F574" s="49"/>
      <c r="G574" s="66"/>
      <c r="H574" s="67"/>
      <c r="I574" s="67"/>
      <c r="J574" s="67"/>
      <c r="K574" s="44"/>
    </row>
    <row r="575" spans="1:11" ht="27.75" customHeight="1">
      <c r="A575" s="41">
        <v>572</v>
      </c>
      <c r="B575" s="66"/>
      <c r="C575" s="66"/>
      <c r="D575" s="48"/>
      <c r="E575" s="48"/>
      <c r="F575" s="49"/>
      <c r="G575" s="66"/>
      <c r="H575" s="67"/>
      <c r="I575" s="67"/>
      <c r="J575" s="67"/>
      <c r="K575" s="44"/>
    </row>
    <row r="576" spans="1:11" ht="27.75" customHeight="1">
      <c r="A576" s="41">
        <v>573</v>
      </c>
      <c r="B576" s="66"/>
      <c r="C576" s="66"/>
      <c r="D576" s="48"/>
      <c r="E576" s="48"/>
      <c r="F576" s="49"/>
      <c r="G576" s="66"/>
      <c r="H576" s="67"/>
      <c r="I576" s="67"/>
      <c r="J576" s="67"/>
      <c r="K576" s="44"/>
    </row>
    <row r="577" spans="1:11" ht="27.75" customHeight="1">
      <c r="A577" s="41">
        <v>574</v>
      </c>
      <c r="B577" s="66"/>
      <c r="C577" s="66"/>
      <c r="D577" s="48"/>
      <c r="E577" s="48"/>
      <c r="F577" s="49"/>
      <c r="G577" s="66"/>
      <c r="H577" s="67"/>
      <c r="I577" s="67"/>
      <c r="J577" s="67"/>
      <c r="K577" s="44"/>
    </row>
    <row r="578" spans="1:11" ht="27.75" customHeight="1">
      <c r="A578" s="41">
        <v>575</v>
      </c>
      <c r="B578" s="66"/>
      <c r="C578" s="66"/>
      <c r="D578" s="48"/>
      <c r="E578" s="48"/>
      <c r="F578" s="49"/>
      <c r="G578" s="66"/>
      <c r="H578" s="67"/>
      <c r="I578" s="67"/>
      <c r="J578" s="67"/>
      <c r="K578" s="44"/>
    </row>
    <row r="579" spans="1:11" ht="27.75" customHeight="1">
      <c r="A579" s="41">
        <v>576</v>
      </c>
      <c r="B579" s="66"/>
      <c r="C579" s="66"/>
      <c r="D579" s="48"/>
      <c r="E579" s="48"/>
      <c r="F579" s="49"/>
      <c r="G579" s="66"/>
      <c r="H579" s="67"/>
      <c r="I579" s="67"/>
      <c r="J579" s="67"/>
      <c r="K579" s="44"/>
    </row>
    <row r="580" spans="1:11" ht="27.75" customHeight="1">
      <c r="A580" s="41">
        <v>577</v>
      </c>
      <c r="B580" s="66"/>
      <c r="C580" s="66"/>
      <c r="D580" s="48"/>
      <c r="E580" s="48"/>
      <c r="F580" s="49"/>
      <c r="G580" s="66"/>
      <c r="H580" s="67"/>
      <c r="I580" s="67"/>
      <c r="J580" s="67"/>
      <c r="K580" s="44"/>
    </row>
    <row r="581" spans="1:11" ht="27.75" customHeight="1">
      <c r="A581" s="41">
        <v>578</v>
      </c>
      <c r="B581" s="66"/>
      <c r="C581" s="66"/>
      <c r="D581" s="48"/>
      <c r="E581" s="48"/>
      <c r="F581" s="49"/>
      <c r="G581" s="66"/>
      <c r="H581" s="67"/>
      <c r="I581" s="67"/>
      <c r="J581" s="67"/>
      <c r="K581" s="44"/>
    </row>
    <row r="582" spans="1:11" ht="27.75" customHeight="1">
      <c r="A582" s="41">
        <v>579</v>
      </c>
      <c r="B582" s="66"/>
      <c r="C582" s="66"/>
      <c r="D582" s="48"/>
      <c r="E582" s="48"/>
      <c r="F582" s="49"/>
      <c r="G582" s="66"/>
      <c r="H582" s="67"/>
      <c r="I582" s="67"/>
      <c r="J582" s="67"/>
      <c r="K582" s="44"/>
    </row>
    <row r="583" spans="1:11" ht="27.75" customHeight="1">
      <c r="A583" s="41">
        <v>580</v>
      </c>
      <c r="B583" s="66"/>
      <c r="C583" s="66"/>
      <c r="D583" s="48"/>
      <c r="E583" s="48"/>
      <c r="F583" s="49"/>
      <c r="G583" s="66"/>
      <c r="H583" s="67"/>
      <c r="I583" s="67"/>
      <c r="J583" s="67"/>
      <c r="K583" s="44"/>
    </row>
    <row r="584" spans="1:11" ht="27.75" customHeight="1">
      <c r="A584" s="41">
        <v>581</v>
      </c>
      <c r="B584" s="66"/>
      <c r="C584" s="66"/>
      <c r="D584" s="48"/>
      <c r="E584" s="48"/>
      <c r="F584" s="49"/>
      <c r="G584" s="66"/>
      <c r="H584" s="67"/>
      <c r="I584" s="67"/>
      <c r="J584" s="67"/>
      <c r="K584" s="44"/>
    </row>
    <row r="585" spans="1:11" ht="27.75" customHeight="1">
      <c r="A585" s="41">
        <v>582</v>
      </c>
      <c r="B585" s="66"/>
      <c r="C585" s="66"/>
      <c r="D585" s="48"/>
      <c r="E585" s="48"/>
      <c r="F585" s="49"/>
      <c r="G585" s="66"/>
      <c r="H585" s="67"/>
      <c r="I585" s="67"/>
      <c r="J585" s="67"/>
      <c r="K585" s="44"/>
    </row>
    <row r="586" spans="1:11" ht="27.75" customHeight="1">
      <c r="A586" s="41">
        <v>583</v>
      </c>
      <c r="B586" s="66"/>
      <c r="C586" s="66"/>
      <c r="D586" s="48"/>
      <c r="E586" s="48"/>
      <c r="F586" s="49"/>
      <c r="G586" s="66"/>
      <c r="H586" s="67"/>
      <c r="I586" s="67"/>
      <c r="J586" s="67"/>
      <c r="K586" s="44"/>
    </row>
    <row r="587" spans="1:11" ht="27.75" customHeight="1">
      <c r="A587" s="41">
        <v>584</v>
      </c>
      <c r="B587" s="66"/>
      <c r="C587" s="66"/>
      <c r="D587" s="48"/>
      <c r="E587" s="48"/>
      <c r="F587" s="49"/>
      <c r="G587" s="66"/>
      <c r="H587" s="67"/>
      <c r="I587" s="67"/>
      <c r="J587" s="67"/>
      <c r="K587" s="44"/>
    </row>
    <row r="588" spans="1:11" ht="27.75" customHeight="1">
      <c r="A588" s="41">
        <v>585</v>
      </c>
      <c r="B588" s="66"/>
      <c r="C588" s="66"/>
      <c r="D588" s="48"/>
      <c r="E588" s="48"/>
      <c r="F588" s="49"/>
      <c r="G588" s="66"/>
      <c r="H588" s="67"/>
      <c r="I588" s="67"/>
      <c r="J588" s="67"/>
      <c r="K588" s="44"/>
    </row>
    <row r="589" spans="1:11" ht="27.75" customHeight="1">
      <c r="A589" s="41">
        <v>586</v>
      </c>
      <c r="B589" s="66"/>
      <c r="C589" s="66"/>
      <c r="D589" s="48"/>
      <c r="E589" s="48"/>
      <c r="F589" s="49"/>
      <c r="G589" s="66"/>
      <c r="H589" s="67"/>
      <c r="I589" s="67"/>
      <c r="J589" s="67"/>
      <c r="K589" s="44"/>
    </row>
    <row r="590" spans="1:11" ht="27.75" customHeight="1">
      <c r="A590" s="41">
        <v>587</v>
      </c>
      <c r="B590" s="66"/>
      <c r="C590" s="66"/>
      <c r="D590" s="48"/>
      <c r="E590" s="48"/>
      <c r="F590" s="49"/>
      <c r="G590" s="66"/>
      <c r="H590" s="67"/>
      <c r="I590" s="67"/>
      <c r="J590" s="67"/>
      <c r="K590" s="44"/>
    </row>
    <row r="591" spans="1:11" ht="27.75" customHeight="1">
      <c r="A591" s="41">
        <v>588</v>
      </c>
      <c r="B591" s="66"/>
      <c r="C591" s="66"/>
      <c r="D591" s="48"/>
      <c r="E591" s="48"/>
      <c r="F591" s="49"/>
      <c r="G591" s="66"/>
      <c r="H591" s="67"/>
      <c r="I591" s="67"/>
      <c r="J591" s="67"/>
      <c r="K591" s="44"/>
    </row>
    <row r="592" spans="1:11" ht="27.75" customHeight="1">
      <c r="A592" s="41">
        <v>589</v>
      </c>
      <c r="B592" s="66"/>
      <c r="C592" s="66"/>
      <c r="D592" s="48"/>
      <c r="E592" s="48"/>
      <c r="F592" s="49"/>
      <c r="G592" s="66"/>
      <c r="H592" s="67"/>
      <c r="I592" s="67"/>
      <c r="J592" s="67"/>
      <c r="K592" s="44"/>
    </row>
    <row r="593" spans="1:11" ht="27.75" customHeight="1">
      <c r="A593" s="41">
        <v>590</v>
      </c>
      <c r="B593" s="66"/>
      <c r="C593" s="66"/>
      <c r="D593" s="48"/>
      <c r="E593" s="48"/>
      <c r="F593" s="49"/>
      <c r="G593" s="66"/>
      <c r="H593" s="67"/>
      <c r="I593" s="67"/>
      <c r="J593" s="67"/>
      <c r="K593" s="44"/>
    </row>
    <row r="594" spans="1:11" ht="27.75" customHeight="1">
      <c r="A594" s="41">
        <v>591</v>
      </c>
      <c r="B594" s="66"/>
      <c r="C594" s="66"/>
      <c r="D594" s="48"/>
      <c r="E594" s="48"/>
      <c r="F594" s="49"/>
      <c r="G594" s="66"/>
      <c r="H594" s="67"/>
      <c r="I594" s="67"/>
      <c r="J594" s="67"/>
      <c r="K594" s="44"/>
    </row>
    <row r="595" spans="1:11" ht="27.75" customHeight="1">
      <c r="A595" s="41">
        <v>592</v>
      </c>
      <c r="B595" s="66"/>
      <c r="C595" s="66"/>
      <c r="D595" s="48"/>
      <c r="E595" s="48"/>
      <c r="F595" s="49"/>
      <c r="G595" s="66"/>
      <c r="H595" s="67"/>
      <c r="I595" s="67"/>
      <c r="J595" s="67"/>
      <c r="K595" s="44"/>
    </row>
    <row r="596" spans="1:11" ht="27.75" customHeight="1">
      <c r="A596" s="41">
        <v>593</v>
      </c>
      <c r="B596" s="66"/>
      <c r="C596" s="66"/>
      <c r="D596" s="48"/>
      <c r="E596" s="48"/>
      <c r="F596" s="49"/>
      <c r="G596" s="66"/>
      <c r="H596" s="67"/>
      <c r="I596" s="67"/>
      <c r="J596" s="67"/>
      <c r="K596" s="44"/>
    </row>
    <row r="597" spans="1:11" ht="27.75" customHeight="1">
      <c r="A597" s="41">
        <v>594</v>
      </c>
      <c r="B597" s="66"/>
      <c r="C597" s="66"/>
      <c r="D597" s="48"/>
      <c r="E597" s="48"/>
      <c r="F597" s="49"/>
      <c r="G597" s="66"/>
      <c r="H597" s="67"/>
      <c r="I597" s="67"/>
      <c r="J597" s="67"/>
      <c r="K597" s="44"/>
    </row>
    <row r="598" spans="1:11" ht="27.75" customHeight="1">
      <c r="A598" s="41">
        <v>595</v>
      </c>
      <c r="B598" s="66"/>
      <c r="C598" s="66"/>
      <c r="D598" s="48"/>
      <c r="E598" s="48"/>
      <c r="F598" s="49"/>
      <c r="G598" s="66"/>
      <c r="H598" s="67"/>
      <c r="I598" s="67"/>
      <c r="J598" s="67"/>
      <c r="K598" s="44"/>
    </row>
    <row r="599" spans="1:11" ht="27.75" customHeight="1">
      <c r="A599" s="41">
        <v>596</v>
      </c>
      <c r="B599" s="66"/>
      <c r="C599" s="66"/>
      <c r="D599" s="48"/>
      <c r="E599" s="48"/>
      <c r="F599" s="49"/>
      <c r="G599" s="66"/>
      <c r="H599" s="67"/>
      <c r="I599" s="67"/>
      <c r="J599" s="67"/>
      <c r="K599" s="44"/>
    </row>
    <row r="600" spans="1:11" ht="27.75" customHeight="1">
      <c r="A600" s="41">
        <v>597</v>
      </c>
      <c r="B600" s="66"/>
      <c r="C600" s="66"/>
      <c r="D600" s="48"/>
      <c r="E600" s="48"/>
      <c r="F600" s="49"/>
      <c r="G600" s="66"/>
      <c r="H600" s="67"/>
      <c r="I600" s="67"/>
      <c r="J600" s="67"/>
      <c r="K600" s="44"/>
    </row>
    <row r="601" spans="1:11" ht="27.75" customHeight="1">
      <c r="A601" s="41">
        <v>598</v>
      </c>
      <c r="B601" s="66"/>
      <c r="C601" s="66"/>
      <c r="D601" s="48"/>
      <c r="E601" s="48"/>
      <c r="F601" s="49"/>
      <c r="G601" s="66"/>
      <c r="H601" s="67"/>
      <c r="I601" s="67"/>
      <c r="J601" s="67"/>
      <c r="K601" s="44"/>
    </row>
    <row r="602" spans="1:11" ht="27.75" customHeight="1">
      <c r="A602" s="41">
        <v>599</v>
      </c>
      <c r="B602" s="66"/>
      <c r="C602" s="66"/>
      <c r="D602" s="48"/>
      <c r="E602" s="48"/>
      <c r="F602" s="49"/>
      <c r="G602" s="66"/>
      <c r="H602" s="67"/>
      <c r="I602" s="67"/>
      <c r="J602" s="67"/>
      <c r="K602" s="44"/>
    </row>
    <row r="603" spans="1:11" ht="27.75" customHeight="1" thickBot="1">
      <c r="A603" s="74">
        <v>600</v>
      </c>
      <c r="B603" s="66"/>
      <c r="C603" s="66"/>
      <c r="D603" s="48"/>
      <c r="E603" s="48"/>
      <c r="F603" s="49"/>
      <c r="G603" s="66"/>
      <c r="H603" s="67"/>
      <c r="I603" s="67"/>
      <c r="J603" s="67"/>
      <c r="K603" s="44"/>
    </row>
    <row r="604" spans="1:11" s="54" customFormat="1" ht="27.75" customHeight="1">
      <c r="A604" s="50"/>
      <c r="B604" s="51"/>
      <c r="C604" s="51"/>
      <c r="D604" s="51">
        <f>SUBTOTAL(103,D4:D603)</f>
        <v>199</v>
      </c>
      <c r="E604" s="51"/>
      <c r="F604" s="51">
        <f>SUBTOTAL(9,F4:F603)</f>
        <v>432</v>
      </c>
      <c r="G604" s="51"/>
      <c r="H604" s="56"/>
      <c r="I604" s="56"/>
      <c r="J604" s="56"/>
      <c r="K604" s="50"/>
    </row>
    <row r="605" spans="1:11" ht="27.75" customHeight="1"/>
    <row r="606" spans="1:11" ht="27.75" customHeight="1">
      <c r="D606" s="57" t="s">
        <v>22</v>
      </c>
      <c r="E606" s="58">
        <f>D604</f>
        <v>199</v>
      </c>
      <c r="F606" s="59"/>
    </row>
    <row r="607" spans="1:11" ht="27.75" customHeight="1">
      <c r="D607" s="60" t="s">
        <v>23</v>
      </c>
      <c r="E607" s="61">
        <f>F604</f>
        <v>432</v>
      </c>
      <c r="F607" s="62"/>
    </row>
    <row r="608" spans="1:11" ht="27.75" customHeight="1">
      <c r="D608" s="60" t="s">
        <v>24</v>
      </c>
      <c r="E608" s="61" t="e">
        <f>#REF!</f>
        <v>#REF!</v>
      </c>
      <c r="F608" s="62"/>
    </row>
    <row r="609" spans="3:10" s="52" customFormat="1" ht="27.75" customHeight="1">
      <c r="D609" s="60" t="s">
        <v>25</v>
      </c>
      <c r="E609" s="61" t="e">
        <f>$E606-$E608</f>
        <v>#REF!</v>
      </c>
      <c r="F609" s="62"/>
      <c r="H609" s="56"/>
      <c r="I609" s="56"/>
      <c r="J609" s="56"/>
    </row>
    <row r="610" spans="3:10" s="52" customFormat="1" ht="27.75" customHeight="1">
      <c r="D610" s="60" t="s">
        <v>26</v>
      </c>
      <c r="E610" s="61" t="e">
        <f>#REF!</f>
        <v>#REF!</v>
      </c>
      <c r="F610" s="62"/>
      <c r="H610" s="56"/>
      <c r="I610" s="56"/>
      <c r="J610" s="56"/>
    </row>
    <row r="611" spans="3:10" s="52" customFormat="1" ht="27.75" customHeight="1">
      <c r="D611" s="60" t="s">
        <v>27</v>
      </c>
      <c r="E611" s="61" t="e">
        <f>($E609/$E606)*100</f>
        <v>#REF!</v>
      </c>
      <c r="F611" s="62" t="e">
        <f>IF(E611&gt;=90,"ผ่าน","ไม่ผ่าน")</f>
        <v>#REF!</v>
      </c>
      <c r="H611" s="56"/>
      <c r="I611" s="56"/>
      <c r="J611" s="56"/>
    </row>
    <row r="612" spans="3:10" s="52" customFormat="1" ht="27.75" customHeight="1">
      <c r="D612" s="63" t="s">
        <v>28</v>
      </c>
      <c r="E612" s="64" t="e">
        <f>($E610/$E607)*100</f>
        <v>#REF!</v>
      </c>
      <c r="F612" s="65" t="e">
        <f>IF(E612&lt;=5,"ผ่าน","ไม่ผ่าน")</f>
        <v>#REF!</v>
      </c>
      <c r="H612" s="56"/>
      <c r="I612" s="56"/>
      <c r="J612" s="56"/>
    </row>
    <row r="613" spans="3:10" s="52" customFormat="1">
      <c r="D613" s="55"/>
      <c r="E613" s="55"/>
      <c r="H613" s="56"/>
      <c r="I613" s="56"/>
      <c r="J613" s="56"/>
    </row>
    <row r="616" spans="3:10" s="52" customFormat="1">
      <c r="C616" s="52" t="s">
        <v>45</v>
      </c>
      <c r="D616" s="55">
        <f>SUBTOTAL(103,D4:D603)</f>
        <v>199</v>
      </c>
      <c r="E616" s="55"/>
      <c r="F616" s="52">
        <f>SUBTOTAL(9,F4:F603)</f>
        <v>432</v>
      </c>
      <c r="H616" s="56"/>
      <c r="I616" s="56"/>
      <c r="J616" s="56"/>
    </row>
    <row r="617" spans="3:10" s="52" customFormat="1">
      <c r="D617" s="55"/>
      <c r="E617" s="55"/>
      <c r="H617" s="56"/>
      <c r="I617" s="56"/>
      <c r="J617" s="56"/>
    </row>
    <row r="618" spans="3:10" s="52" customFormat="1">
      <c r="D618" s="55"/>
      <c r="E618" s="55" t="s">
        <v>47</v>
      </c>
      <c r="H618" s="56"/>
      <c r="I618" s="56"/>
      <c r="J618" s="56"/>
    </row>
    <row r="652" spans="8:10">
      <c r="H652" s="77"/>
      <c r="I652" s="77"/>
      <c r="J652" s="77"/>
    </row>
    <row r="704" spans="8:10">
      <c r="H704" s="53"/>
      <c r="I704" s="53"/>
      <c r="J704" s="53"/>
    </row>
  </sheetData>
  <autoFilter ref="A3:K612" xr:uid="{00000000-0009-0000-0000-000000000000}">
    <sortState xmlns:xlrd2="http://schemas.microsoft.com/office/spreadsheetml/2017/richdata2" ref="A105:K107">
      <sortCondition ref="J3:J612"/>
    </sortState>
  </autoFilter>
  <mergeCells count="10">
    <mergeCell ref="A1:K1"/>
    <mergeCell ref="A2:A3"/>
    <mergeCell ref="B2:B3"/>
    <mergeCell ref="D2:D3"/>
    <mergeCell ref="E2:E3"/>
    <mergeCell ref="F2:F3"/>
    <mergeCell ref="G2:G3"/>
    <mergeCell ref="K2:K3"/>
    <mergeCell ref="C2:C3"/>
    <mergeCell ref="H2:J2"/>
  </mergeCells>
  <phoneticPr fontId="4" type="noConversion"/>
  <conditionalFormatting sqref="A2:H2">
    <cfRule type="containsText" dxfId="28" priority="1" operator="containsText" text="ทันกำหนด">
      <formula>NOT(ISERROR(SEARCH("ทันกำหนด",A2)))</formula>
    </cfRule>
    <cfRule type="containsText" dxfId="27" priority="2" operator="containsText" text="เกินกำหนด">
      <formula>NOT(ISERROR(SEARCH("เกินกำหนด",A2)))</formula>
    </cfRule>
    <cfRule type="containsText" dxfId="26" priority="3" operator="containsText" text="เกินกำหนด">
      <formula>NOT(ISERROR(SEARCH("เกินกำหนด",A2)))</formula>
    </cfRule>
    <cfRule type="containsText" dxfId="25" priority="4" operator="containsText" text="เกินกำหนด">
      <formula>NOT(ISERROR(SEARCH("เกินกำหนด",A2)))</formula>
    </cfRule>
  </conditionalFormatting>
  <conditionalFormatting sqref="F606:F612">
    <cfRule type="containsText" dxfId="24" priority="94" operator="containsText" text="ผ่าน">
      <formula>NOT(ISERROR(SEARCH("ผ่าน",F606)))</formula>
    </cfRule>
  </conditionalFormatting>
  <conditionalFormatting sqref="H4:J4 H5:I601 J5:J603">
    <cfRule type="containsText" dxfId="23" priority="36" operator="containsText" text="ไม่ครบ">
      <formula>NOT(ISERROR(SEARCH("ไม่ครบ",H4)))</formula>
    </cfRule>
  </conditionalFormatting>
  <conditionalFormatting sqref="H4:J4 H5:I602 J5:J603">
    <cfRule type="containsText" dxfId="22" priority="35" operator="containsText" text="ไม่ครบ">
      <formula>NOT(ISERROR(SEARCH("ไม่ครบ",H4)))</formula>
    </cfRule>
  </conditionalFormatting>
  <conditionalFormatting sqref="H604:J613 H602:I603">
    <cfRule type="containsText" dxfId="21" priority="32" operator="containsText" text="ไม่ครบ">
      <formula>NOT(ISERROR(SEARCH("ไม่ครบ",H602)))</formula>
    </cfRule>
  </conditionalFormatting>
  <conditionalFormatting sqref="H603:I603">
    <cfRule type="containsText" dxfId="20" priority="31" operator="containsText" text="ไม่ครบ">
      <formula>NOT(ISERROR(SEARCH("ไม่ครบ",H603)))</formula>
    </cfRule>
  </conditionalFormatting>
  <conditionalFormatting sqref="H604:J613">
    <cfRule type="containsText" dxfId="19" priority="48" operator="containsText" text="ไม่ครบ">
      <formula>NOT(ISERROR(SEARCH("ไม่ครบ",H604)))</formula>
    </cfRule>
  </conditionalFormatting>
  <conditionalFormatting sqref="H614:J640">
    <cfRule type="containsText" dxfId="18" priority="27" operator="containsText" text="ไม่ครบ">
      <formula>NOT(ISERROR(SEARCH("ไม่ครบ",H614)))</formula>
    </cfRule>
    <cfRule type="containsText" dxfId="17" priority="28" operator="containsText" text="ไม่ครบ">
      <formula>NOT(ISERROR(SEARCH("ไม่ครบ",H614)))</formula>
    </cfRule>
  </conditionalFormatting>
  <conditionalFormatting sqref="H636:J650">
    <cfRule type="containsText" dxfId="16" priority="29" operator="containsText" text="ไม่ครบ">
      <formula>NOT(ISERROR(SEARCH("ไม่ครบ",H636)))</formula>
    </cfRule>
    <cfRule type="containsText" dxfId="15" priority="30" operator="containsText" text="ไม่ครบ">
      <formula>NOT(ISERROR(SEARCH("ไม่ครบ",H636)))</formula>
    </cfRule>
  </conditionalFormatting>
  <conditionalFormatting sqref="H651:J712">
    <cfRule type="containsText" dxfId="14" priority="25" operator="containsText" text="ไม่ครบ">
      <formula>NOT(ISERROR(SEARCH("ไม่ครบ",H651)))</formula>
    </cfRule>
    <cfRule type="containsText" dxfId="13" priority="26" operator="containsText" text="ไม่ครบ">
      <formula>NOT(ISERROR(SEARCH("ไม่ครบ",H651)))</formula>
    </cfRule>
  </conditionalFormatting>
  <conditionalFormatting sqref="K2">
    <cfRule type="containsText" dxfId="12" priority="91" operator="containsText" text="งานด่วน">
      <formula>NOT(ISERROR(SEARCH("งานด่วน",K2)))</formula>
    </cfRule>
    <cfRule type="containsText" dxfId="11" priority="92" operator="containsText" text="งานด่วน">
      <formula>NOT(ISERROR(SEARCH("งานด่วน",K2)))</formula>
    </cfRule>
  </conditionalFormatting>
  <conditionalFormatting sqref="K4:K1048576">
    <cfRule type="containsText" dxfId="10" priority="45" operator="containsText" text="งานด่วน">
      <formula>NOT(ISERROR(SEARCH("งานด่วน",K4)))</formula>
    </cfRule>
    <cfRule type="containsText" dxfId="9" priority="46" operator="containsText" text="งานด่วน">
      <formula>NOT(ISERROR(SEARCH("งานด่วน",K4)))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C8BD64-BB58-4712-91EB-B10E502C3CB9}">
          <x14:formula1>
            <xm:f>Sheet2!$E$1:$E$6</xm:f>
          </x14:formula1>
          <xm:sqref>J604:J703</xm:sqref>
        </x14:dataValidation>
        <x14:dataValidation type="list" allowBlank="1" showInputMessage="1" showErrorMessage="1" xr:uid="{1DAE4FFC-83B4-42E2-8B4E-D839C12C73B6}">
          <x14:formula1>
            <xm:f>Sheet2!$D$1:$D$5</xm:f>
          </x14:formula1>
          <xm:sqref>H4:I703</xm:sqref>
        </x14:dataValidation>
        <x14:dataValidation type="list" allowBlank="1" showInputMessage="1" showErrorMessage="1" xr:uid="{9A9C1314-9859-4C73-BF8A-C57C2039BDBE}">
          <x14:formula1>
            <xm:f>Sheet2!$E$1:$E$7</xm:f>
          </x14:formula1>
          <xm:sqref>J4:J603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S644"/>
  <sheetViews>
    <sheetView zoomScale="71" zoomScaleNormal="71" workbookViewId="0">
      <pane ySplit="2" topLeftCell="A3" activePane="bottomLeft" state="frozen"/>
      <selection pane="bottomLeft" activeCell="B3" sqref="B3"/>
    </sheetView>
  </sheetViews>
  <sheetFormatPr defaultRowHeight="27.75"/>
  <cols>
    <col min="1" max="1" width="13" style="9" bestFit="1" customWidth="1"/>
    <col min="2" max="2" width="13.140625" style="9" customWidth="1"/>
    <col min="3" max="3" width="35.42578125" style="9" bestFit="1" customWidth="1"/>
    <col min="4" max="4" width="61.140625" style="10" bestFit="1" customWidth="1"/>
    <col min="5" max="5" width="18.140625" style="9" bestFit="1" customWidth="1"/>
    <col min="6" max="8" width="12.85546875" style="9" customWidth="1"/>
    <col min="9" max="9" width="17.140625" style="9" customWidth="1"/>
    <col min="10" max="10" width="21.42578125" style="9" customWidth="1"/>
    <col min="11" max="11" width="24" style="9" customWidth="1"/>
    <col min="12" max="12" width="16.28515625" style="9" customWidth="1"/>
    <col min="13" max="14" width="14" style="9" customWidth="1"/>
    <col min="15" max="18" width="15.42578125" style="9" customWidth="1"/>
    <col min="19" max="19" width="36.28515625" style="9" customWidth="1"/>
  </cols>
  <sheetData>
    <row r="1" spans="1:19" ht="103.5" thickBot="1">
      <c r="A1" s="93" t="s">
        <v>7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</row>
    <row r="2" spans="1:19" ht="29.25">
      <c r="A2" s="2" t="s">
        <v>4</v>
      </c>
      <c r="B2" s="24" t="s">
        <v>8</v>
      </c>
      <c r="C2" s="24" t="s">
        <v>0</v>
      </c>
      <c r="D2" s="24" t="s">
        <v>9</v>
      </c>
      <c r="E2" s="24" t="s">
        <v>6</v>
      </c>
      <c r="F2" s="24" t="s">
        <v>10</v>
      </c>
      <c r="G2" s="24" t="s">
        <v>11</v>
      </c>
      <c r="H2" s="24" t="s">
        <v>12</v>
      </c>
      <c r="I2" s="24" t="s">
        <v>2</v>
      </c>
      <c r="J2" s="24" t="s">
        <v>13</v>
      </c>
      <c r="K2" s="24" t="s">
        <v>14</v>
      </c>
      <c r="L2" s="24" t="s">
        <v>15</v>
      </c>
      <c r="M2" s="24" t="s">
        <v>3</v>
      </c>
      <c r="N2" s="24" t="s">
        <v>16</v>
      </c>
      <c r="O2" s="24" t="s">
        <v>17</v>
      </c>
      <c r="P2" s="25" t="s">
        <v>18</v>
      </c>
      <c r="Q2" s="25" t="s">
        <v>19</v>
      </c>
      <c r="R2" s="25" t="s">
        <v>20</v>
      </c>
      <c r="S2" s="26" t="s">
        <v>1</v>
      </c>
    </row>
    <row r="3" spans="1:19" ht="27.75" customHeight="1">
      <c r="A3" s="3">
        <v>1</v>
      </c>
      <c r="B3" s="27">
        <v>12</v>
      </c>
      <c r="C3" s="31"/>
      <c r="D3" s="30"/>
      <c r="E3" s="31"/>
      <c r="F3" s="31"/>
      <c r="G3" s="31">
        <f t="shared" ref="G3:G66" si="0">$E3-$F3</f>
        <v>0</v>
      </c>
      <c r="H3" s="31" t="str">
        <f t="shared" ref="H3:H66" si="1">IF($G3=0,"ครบ","ไม่ครบ")</f>
        <v>ครบ</v>
      </c>
      <c r="I3" s="31"/>
      <c r="J3" s="27" t="e">
        <f>VLOOKUP(I3,Sheet2!$B$1:$C$62,2,FALSE)</f>
        <v>#N/A</v>
      </c>
      <c r="K3" s="27" t="e">
        <f>VLOOKUP(J3,Sheet2!$C$1:$D$61,2,FALSE)</f>
        <v>#N/A</v>
      </c>
      <c r="L3" s="27"/>
      <c r="M3" s="27"/>
      <c r="N3" s="27"/>
      <c r="O3" s="27"/>
      <c r="P3" s="28"/>
      <c r="Q3" s="15" t="str">
        <f t="shared" ref="Q3:Q66" si="2">IF($N3&gt;$M3,"เกินกำหนด","ทันกำหนด")</f>
        <v>ทันกำหนด</v>
      </c>
      <c r="R3" s="6"/>
      <c r="S3" s="7"/>
    </row>
    <row r="4" spans="1:19" ht="27.75" customHeight="1">
      <c r="A4" s="3">
        <v>2</v>
      </c>
      <c r="B4" s="27"/>
      <c r="C4" s="31"/>
      <c r="D4" s="30"/>
      <c r="E4" s="31"/>
      <c r="F4" s="31"/>
      <c r="G4" s="31">
        <f t="shared" si="0"/>
        <v>0</v>
      </c>
      <c r="H4" s="31" t="str">
        <f t="shared" si="1"/>
        <v>ครบ</v>
      </c>
      <c r="I4" s="31"/>
      <c r="J4" s="27" t="e">
        <f>VLOOKUP(I4,Sheet2!$B$1:$C$62,2,FALSE)</f>
        <v>#N/A</v>
      </c>
      <c r="K4" s="27" t="e">
        <f>VLOOKUP(J4,Sheet2!$C$1:$D$61,2,FALSE)</f>
        <v>#N/A</v>
      </c>
      <c r="L4" s="27"/>
      <c r="M4" s="27"/>
      <c r="N4" s="27"/>
      <c r="O4" s="27"/>
      <c r="P4" s="28"/>
      <c r="Q4" s="15" t="str">
        <f t="shared" si="2"/>
        <v>ทันกำหนด</v>
      </c>
      <c r="R4" s="6"/>
      <c r="S4" s="7"/>
    </row>
    <row r="5" spans="1:19" ht="27.75" customHeight="1">
      <c r="A5" s="3">
        <v>3</v>
      </c>
      <c r="B5" s="27"/>
      <c r="C5" s="31"/>
      <c r="D5" s="30"/>
      <c r="E5" s="31"/>
      <c r="F5" s="31"/>
      <c r="G5" s="31">
        <f t="shared" si="0"/>
        <v>0</v>
      </c>
      <c r="H5" s="31" t="str">
        <f t="shared" si="1"/>
        <v>ครบ</v>
      </c>
      <c r="I5" s="31"/>
      <c r="J5" s="27" t="e">
        <f>VLOOKUP(I5,Sheet2!$B$1:$C$62,2,FALSE)</f>
        <v>#N/A</v>
      </c>
      <c r="K5" s="27" t="e">
        <f>VLOOKUP(J5,Sheet2!$C$1:$D$61,2,FALSE)</f>
        <v>#N/A</v>
      </c>
      <c r="L5" s="27"/>
      <c r="M5" s="27"/>
      <c r="N5" s="27"/>
      <c r="O5" s="27"/>
      <c r="P5" s="28"/>
      <c r="Q5" s="15" t="str">
        <f t="shared" si="2"/>
        <v>ทันกำหนด</v>
      </c>
      <c r="R5" s="6"/>
      <c r="S5" s="7"/>
    </row>
    <row r="6" spans="1:19" ht="27.75" customHeight="1">
      <c r="A6" s="3">
        <v>4</v>
      </c>
      <c r="B6" s="27"/>
      <c r="C6" s="31"/>
      <c r="D6" s="30"/>
      <c r="E6" s="31"/>
      <c r="F6" s="31"/>
      <c r="G6" s="31">
        <f t="shared" si="0"/>
        <v>0</v>
      </c>
      <c r="H6" s="31" t="str">
        <f t="shared" si="1"/>
        <v>ครบ</v>
      </c>
      <c r="I6" s="31"/>
      <c r="J6" s="27" t="e">
        <f>VLOOKUP(I6,Sheet2!$B$1:$C$62,2,FALSE)</f>
        <v>#N/A</v>
      </c>
      <c r="K6" s="27" t="e">
        <f>VLOOKUP(J6,Sheet2!$C$1:$D$61,2,FALSE)</f>
        <v>#N/A</v>
      </c>
      <c r="L6" s="27"/>
      <c r="M6" s="27"/>
      <c r="N6" s="27"/>
      <c r="O6" s="27"/>
      <c r="P6" s="28"/>
      <c r="Q6" s="15" t="str">
        <f t="shared" si="2"/>
        <v>ทันกำหนด</v>
      </c>
      <c r="R6" s="6"/>
      <c r="S6" s="7"/>
    </row>
    <row r="7" spans="1:19" ht="27.75" customHeight="1">
      <c r="A7" s="3">
        <v>5</v>
      </c>
      <c r="B7" s="27"/>
      <c r="C7" s="31"/>
      <c r="D7" s="30"/>
      <c r="E7" s="31"/>
      <c r="F7" s="31"/>
      <c r="G7" s="31">
        <f t="shared" si="0"/>
        <v>0</v>
      </c>
      <c r="H7" s="31" t="str">
        <f t="shared" si="1"/>
        <v>ครบ</v>
      </c>
      <c r="I7" s="31"/>
      <c r="J7" s="27" t="e">
        <f>VLOOKUP(I7,Sheet2!$B$1:$C$62,2,FALSE)</f>
        <v>#N/A</v>
      </c>
      <c r="K7" s="27" t="e">
        <f>VLOOKUP(J7,Sheet2!$C$1:$D$61,2,FALSE)</f>
        <v>#N/A</v>
      </c>
      <c r="L7" s="27"/>
      <c r="M7" s="27"/>
      <c r="N7" s="27"/>
      <c r="O7" s="27"/>
      <c r="P7" s="28"/>
      <c r="Q7" s="15" t="str">
        <f t="shared" si="2"/>
        <v>ทันกำหนด</v>
      </c>
      <c r="R7" s="6"/>
      <c r="S7" s="7"/>
    </row>
    <row r="8" spans="1:19" ht="27.75" customHeight="1">
      <c r="A8" s="3">
        <v>6</v>
      </c>
      <c r="B8" s="27"/>
      <c r="C8" s="29"/>
      <c r="D8" s="30"/>
      <c r="E8" s="31"/>
      <c r="F8" s="31"/>
      <c r="G8" s="31">
        <f t="shared" si="0"/>
        <v>0</v>
      </c>
      <c r="H8" s="31" t="str">
        <f t="shared" si="1"/>
        <v>ครบ</v>
      </c>
      <c r="I8" s="31"/>
      <c r="J8" s="27" t="e">
        <f>VLOOKUP(I8,Sheet2!$B$1:$C$62,2,FALSE)</f>
        <v>#N/A</v>
      </c>
      <c r="K8" s="27" t="e">
        <f>VLOOKUP(J8,Sheet2!$C$1:$D$61,2,FALSE)</f>
        <v>#N/A</v>
      </c>
      <c r="L8" s="31"/>
      <c r="M8" s="27"/>
      <c r="N8" s="27"/>
      <c r="O8" s="27"/>
      <c r="P8" s="28"/>
      <c r="Q8" s="15" t="str">
        <f t="shared" si="2"/>
        <v>ทันกำหนด</v>
      </c>
      <c r="R8" s="6"/>
      <c r="S8" s="7"/>
    </row>
    <row r="9" spans="1:19" ht="27.75" customHeight="1">
      <c r="A9" s="3">
        <v>7</v>
      </c>
      <c r="B9" s="27"/>
      <c r="C9" s="29"/>
      <c r="D9" s="30"/>
      <c r="E9" s="31"/>
      <c r="F9" s="31"/>
      <c r="G9" s="31">
        <f t="shared" si="0"/>
        <v>0</v>
      </c>
      <c r="H9" s="31" t="str">
        <f t="shared" si="1"/>
        <v>ครบ</v>
      </c>
      <c r="I9" s="31"/>
      <c r="J9" s="27" t="e">
        <f>VLOOKUP(I9,Sheet2!$B$1:$C$62,2,FALSE)</f>
        <v>#N/A</v>
      </c>
      <c r="K9" s="27" t="e">
        <f>VLOOKUP(J9,Sheet2!$C$1:$D$61,2,FALSE)</f>
        <v>#N/A</v>
      </c>
      <c r="L9" s="31"/>
      <c r="M9" s="27"/>
      <c r="N9" s="27"/>
      <c r="O9" s="27"/>
      <c r="P9" s="28"/>
      <c r="Q9" s="15" t="str">
        <f t="shared" si="2"/>
        <v>ทันกำหนด</v>
      </c>
      <c r="R9" s="6"/>
      <c r="S9" s="7"/>
    </row>
    <row r="10" spans="1:19" ht="27.75" customHeight="1">
      <c r="A10" s="3">
        <v>8</v>
      </c>
      <c r="B10" s="27"/>
      <c r="C10" s="29"/>
      <c r="D10" s="30"/>
      <c r="E10" s="31"/>
      <c r="F10" s="31"/>
      <c r="G10" s="31">
        <f t="shared" si="0"/>
        <v>0</v>
      </c>
      <c r="H10" s="31" t="str">
        <f t="shared" si="1"/>
        <v>ครบ</v>
      </c>
      <c r="I10" s="31"/>
      <c r="J10" s="27" t="e">
        <f>VLOOKUP(I10,Sheet2!$B$1:$C$62,2,FALSE)</f>
        <v>#N/A</v>
      </c>
      <c r="K10" s="27" t="e">
        <f>VLOOKUP(J10,Sheet2!$C$1:$D$61,2,FALSE)</f>
        <v>#N/A</v>
      </c>
      <c r="L10" s="31"/>
      <c r="M10" s="27"/>
      <c r="N10" s="27"/>
      <c r="O10" s="27"/>
      <c r="P10" s="28"/>
      <c r="Q10" s="15" t="str">
        <f t="shared" si="2"/>
        <v>ทันกำหนด</v>
      </c>
      <c r="R10" s="6"/>
      <c r="S10" s="7"/>
    </row>
    <row r="11" spans="1:19" ht="27.75" customHeight="1">
      <c r="A11" s="3">
        <v>9</v>
      </c>
      <c r="B11" s="27"/>
      <c r="C11" s="29"/>
      <c r="D11" s="30"/>
      <c r="E11" s="31"/>
      <c r="F11" s="31"/>
      <c r="G11" s="31">
        <f t="shared" si="0"/>
        <v>0</v>
      </c>
      <c r="H11" s="31" t="str">
        <f t="shared" si="1"/>
        <v>ครบ</v>
      </c>
      <c r="I11" s="31"/>
      <c r="J11" s="27" t="e">
        <f>VLOOKUP(I11,Sheet2!$B$1:$C$62,2,FALSE)</f>
        <v>#N/A</v>
      </c>
      <c r="K11" s="27" t="e">
        <f>VLOOKUP(J11,Sheet2!$C$1:$D$61,2,FALSE)</f>
        <v>#N/A</v>
      </c>
      <c r="L11" s="31"/>
      <c r="M11" s="27"/>
      <c r="N11" s="27"/>
      <c r="O11" s="27"/>
      <c r="P11" s="28"/>
      <c r="Q11" s="15" t="str">
        <f t="shared" si="2"/>
        <v>ทันกำหนด</v>
      </c>
      <c r="R11" s="6"/>
      <c r="S11" s="7"/>
    </row>
    <row r="12" spans="1:19">
      <c r="A12" s="3">
        <v>10</v>
      </c>
      <c r="B12" s="27"/>
      <c r="C12" s="29"/>
      <c r="D12" s="30"/>
      <c r="E12" s="31"/>
      <c r="F12" s="31"/>
      <c r="G12" s="31">
        <f t="shared" si="0"/>
        <v>0</v>
      </c>
      <c r="H12" s="31" t="str">
        <f t="shared" si="1"/>
        <v>ครบ</v>
      </c>
      <c r="I12" s="31"/>
      <c r="J12" s="27" t="e">
        <f>VLOOKUP(I12,Sheet2!$B$1:$C$62,2,FALSE)</f>
        <v>#N/A</v>
      </c>
      <c r="K12" s="27" t="e">
        <f>VLOOKUP(J12,Sheet2!$C$1:$D$61,2,FALSE)</f>
        <v>#N/A</v>
      </c>
      <c r="L12" s="31"/>
      <c r="M12" s="27"/>
      <c r="N12" s="27"/>
      <c r="O12" s="27"/>
      <c r="P12" s="28"/>
      <c r="Q12" s="15" t="str">
        <f t="shared" si="2"/>
        <v>ทันกำหนด</v>
      </c>
      <c r="R12" s="6"/>
      <c r="S12" s="7"/>
    </row>
    <row r="13" spans="1:19">
      <c r="A13" s="3">
        <v>11</v>
      </c>
      <c r="B13" s="27"/>
      <c r="C13" s="29"/>
      <c r="D13" s="30"/>
      <c r="E13" s="31"/>
      <c r="F13" s="31"/>
      <c r="G13" s="31">
        <f t="shared" si="0"/>
        <v>0</v>
      </c>
      <c r="H13" s="31" t="str">
        <f t="shared" si="1"/>
        <v>ครบ</v>
      </c>
      <c r="I13" s="31"/>
      <c r="J13" s="27" t="e">
        <f>VLOOKUP(I13,Sheet2!$B$1:$C$62,2,FALSE)</f>
        <v>#N/A</v>
      </c>
      <c r="K13" s="27" t="e">
        <f>VLOOKUP(J13,Sheet2!$C$1:$D$61,2,FALSE)</f>
        <v>#N/A</v>
      </c>
      <c r="L13" s="31"/>
      <c r="M13" s="27"/>
      <c r="N13" s="27"/>
      <c r="O13" s="27"/>
      <c r="P13" s="28"/>
      <c r="Q13" s="15" t="str">
        <f t="shared" si="2"/>
        <v>ทันกำหนด</v>
      </c>
      <c r="R13" s="6"/>
      <c r="S13" s="7"/>
    </row>
    <row r="14" spans="1:19">
      <c r="A14" s="3">
        <v>12</v>
      </c>
      <c r="B14" s="27"/>
      <c r="C14" s="29"/>
      <c r="D14" s="30"/>
      <c r="E14" s="31"/>
      <c r="F14" s="31"/>
      <c r="G14" s="31">
        <f t="shared" si="0"/>
        <v>0</v>
      </c>
      <c r="H14" s="31" t="str">
        <f t="shared" si="1"/>
        <v>ครบ</v>
      </c>
      <c r="I14" s="31"/>
      <c r="J14" s="27" t="e">
        <f>VLOOKUP(I14,Sheet2!$B$1:$C$62,2,FALSE)</f>
        <v>#N/A</v>
      </c>
      <c r="K14" s="27" t="e">
        <f>VLOOKUP(J14,Sheet2!$C$1:$D$61,2,FALSE)</f>
        <v>#N/A</v>
      </c>
      <c r="L14" s="31"/>
      <c r="M14" s="27"/>
      <c r="N14" s="27"/>
      <c r="O14" s="27"/>
      <c r="P14" s="28"/>
      <c r="Q14" s="15" t="str">
        <f t="shared" si="2"/>
        <v>ทันกำหนด</v>
      </c>
      <c r="R14" s="6"/>
      <c r="S14" s="7"/>
    </row>
    <row r="15" spans="1:19">
      <c r="A15" s="3">
        <v>13</v>
      </c>
      <c r="B15" s="27"/>
      <c r="C15" s="29"/>
      <c r="D15" s="30"/>
      <c r="E15" s="31"/>
      <c r="F15" s="31"/>
      <c r="G15" s="31">
        <f t="shared" si="0"/>
        <v>0</v>
      </c>
      <c r="H15" s="31" t="str">
        <f t="shared" si="1"/>
        <v>ครบ</v>
      </c>
      <c r="I15" s="31"/>
      <c r="J15" s="27" t="e">
        <f>VLOOKUP(I15,Sheet2!$B$1:$C$62,2,FALSE)</f>
        <v>#N/A</v>
      </c>
      <c r="K15" s="27" t="e">
        <f>VLOOKUP(J15,Sheet2!$C$1:$D$61,2,FALSE)</f>
        <v>#N/A</v>
      </c>
      <c r="L15" s="31"/>
      <c r="M15" s="27"/>
      <c r="N15" s="27"/>
      <c r="O15" s="27"/>
      <c r="P15" s="28"/>
      <c r="Q15" s="15" t="str">
        <f t="shared" si="2"/>
        <v>ทันกำหนด</v>
      </c>
      <c r="R15" s="6"/>
      <c r="S15" s="7"/>
    </row>
    <row r="16" spans="1:19">
      <c r="A16" s="3">
        <v>14</v>
      </c>
      <c r="B16" s="27"/>
      <c r="C16" s="29"/>
      <c r="D16" s="30"/>
      <c r="E16" s="31"/>
      <c r="F16" s="31"/>
      <c r="G16" s="31">
        <f t="shared" si="0"/>
        <v>0</v>
      </c>
      <c r="H16" s="31" t="str">
        <f t="shared" si="1"/>
        <v>ครบ</v>
      </c>
      <c r="I16" s="31"/>
      <c r="J16" s="27" t="e">
        <f>VLOOKUP(I16,Sheet2!$B$1:$C$62,2,FALSE)</f>
        <v>#N/A</v>
      </c>
      <c r="K16" s="27" t="e">
        <f>VLOOKUP(J16,Sheet2!$C$1:$D$61,2,FALSE)</f>
        <v>#N/A</v>
      </c>
      <c r="L16" s="31"/>
      <c r="M16" s="27"/>
      <c r="N16" s="27"/>
      <c r="O16" s="27"/>
      <c r="P16" s="28"/>
      <c r="Q16" s="15" t="str">
        <f t="shared" si="2"/>
        <v>ทันกำหนด</v>
      </c>
      <c r="R16" s="6"/>
      <c r="S16" s="7"/>
    </row>
    <row r="17" spans="1:19">
      <c r="A17" s="3">
        <v>15</v>
      </c>
      <c r="B17" s="27"/>
      <c r="C17" s="29"/>
      <c r="D17" s="30"/>
      <c r="E17" s="31"/>
      <c r="F17" s="31"/>
      <c r="G17" s="31">
        <f t="shared" si="0"/>
        <v>0</v>
      </c>
      <c r="H17" s="31" t="str">
        <f t="shared" si="1"/>
        <v>ครบ</v>
      </c>
      <c r="I17" s="31"/>
      <c r="J17" s="27" t="e">
        <f>VLOOKUP(I17,Sheet2!$B$1:$C$62,2,FALSE)</f>
        <v>#N/A</v>
      </c>
      <c r="K17" s="27" t="e">
        <f>VLOOKUP(J17,Sheet2!$C$1:$D$61,2,FALSE)</f>
        <v>#N/A</v>
      </c>
      <c r="L17" s="31"/>
      <c r="M17" s="27"/>
      <c r="N17" s="27"/>
      <c r="O17" s="27"/>
      <c r="P17" s="28"/>
      <c r="Q17" s="15" t="str">
        <f t="shared" si="2"/>
        <v>ทันกำหนด</v>
      </c>
      <c r="R17" s="6"/>
      <c r="S17" s="7"/>
    </row>
    <row r="18" spans="1:19">
      <c r="A18" s="3">
        <v>16</v>
      </c>
      <c r="B18" s="27"/>
      <c r="C18" s="29"/>
      <c r="D18" s="30"/>
      <c r="E18" s="31"/>
      <c r="F18" s="31"/>
      <c r="G18" s="31">
        <f t="shared" si="0"/>
        <v>0</v>
      </c>
      <c r="H18" s="31" t="str">
        <f t="shared" si="1"/>
        <v>ครบ</v>
      </c>
      <c r="I18" s="31"/>
      <c r="J18" s="27" t="e">
        <f>VLOOKUP(I18,Sheet2!$B$1:$C$62,2,FALSE)</f>
        <v>#N/A</v>
      </c>
      <c r="K18" s="27" t="e">
        <f>VLOOKUP(J18,Sheet2!$C$1:$D$61,2,FALSE)</f>
        <v>#N/A</v>
      </c>
      <c r="L18" s="31"/>
      <c r="M18" s="27"/>
      <c r="N18" s="27"/>
      <c r="O18" s="27"/>
      <c r="P18" s="28"/>
      <c r="Q18" s="15" t="str">
        <f t="shared" si="2"/>
        <v>ทันกำหนด</v>
      </c>
      <c r="R18" s="6"/>
      <c r="S18" s="7"/>
    </row>
    <row r="19" spans="1:19" ht="27.75" customHeight="1">
      <c r="A19" s="3">
        <v>17</v>
      </c>
      <c r="B19" s="27"/>
      <c r="C19" s="29"/>
      <c r="D19" s="30"/>
      <c r="E19" s="31"/>
      <c r="F19" s="31"/>
      <c r="G19" s="31">
        <f t="shared" si="0"/>
        <v>0</v>
      </c>
      <c r="H19" s="31" t="str">
        <f t="shared" si="1"/>
        <v>ครบ</v>
      </c>
      <c r="I19" s="31"/>
      <c r="J19" s="27" t="e">
        <f>VLOOKUP(I19,Sheet2!$B$1:$C$62,2,FALSE)</f>
        <v>#N/A</v>
      </c>
      <c r="K19" s="27" t="e">
        <f>VLOOKUP(J19,Sheet2!$C$1:$D$61,2,FALSE)</f>
        <v>#N/A</v>
      </c>
      <c r="L19" s="31"/>
      <c r="M19" s="27"/>
      <c r="N19" s="27"/>
      <c r="O19" s="27"/>
      <c r="P19" s="28"/>
      <c r="Q19" s="15" t="str">
        <f t="shared" si="2"/>
        <v>ทันกำหนด</v>
      </c>
      <c r="R19" s="6"/>
      <c r="S19" s="7"/>
    </row>
    <row r="20" spans="1:19" ht="27.75" customHeight="1">
      <c r="A20" s="3">
        <v>18</v>
      </c>
      <c r="B20" s="27"/>
      <c r="C20" s="29"/>
      <c r="D20" s="30"/>
      <c r="E20" s="31"/>
      <c r="F20" s="31"/>
      <c r="G20" s="31">
        <f t="shared" si="0"/>
        <v>0</v>
      </c>
      <c r="H20" s="31" t="str">
        <f t="shared" si="1"/>
        <v>ครบ</v>
      </c>
      <c r="I20" s="31"/>
      <c r="J20" s="27" t="e">
        <f>VLOOKUP(I20,Sheet2!$B$1:$C$62,2,FALSE)</f>
        <v>#N/A</v>
      </c>
      <c r="K20" s="27" t="e">
        <f>VLOOKUP(J20,Sheet2!$C$1:$D$61,2,FALSE)</f>
        <v>#N/A</v>
      </c>
      <c r="L20" s="31"/>
      <c r="M20" s="27"/>
      <c r="N20" s="27"/>
      <c r="O20" s="27"/>
      <c r="P20" s="28"/>
      <c r="Q20" s="15" t="str">
        <f t="shared" si="2"/>
        <v>ทันกำหนด</v>
      </c>
      <c r="R20" s="6"/>
      <c r="S20" s="7"/>
    </row>
    <row r="21" spans="1:19" ht="27.75" customHeight="1">
      <c r="A21" s="3">
        <v>19</v>
      </c>
      <c r="B21" s="27"/>
      <c r="C21" s="29"/>
      <c r="D21" s="30"/>
      <c r="E21" s="31"/>
      <c r="F21" s="31"/>
      <c r="G21" s="31">
        <f t="shared" si="0"/>
        <v>0</v>
      </c>
      <c r="H21" s="31" t="str">
        <f t="shared" si="1"/>
        <v>ครบ</v>
      </c>
      <c r="I21" s="31"/>
      <c r="J21" s="27" t="e">
        <f>VLOOKUP(I21,Sheet2!$B$1:$C$62,2,FALSE)</f>
        <v>#N/A</v>
      </c>
      <c r="K21" s="27" t="e">
        <f>VLOOKUP(J21,Sheet2!$C$1:$D$61,2,FALSE)</f>
        <v>#N/A</v>
      </c>
      <c r="L21" s="31"/>
      <c r="M21" s="27"/>
      <c r="N21" s="27"/>
      <c r="O21" s="27"/>
      <c r="P21" s="28"/>
      <c r="Q21" s="15" t="str">
        <f t="shared" si="2"/>
        <v>ทันกำหนด</v>
      </c>
      <c r="R21" s="6"/>
      <c r="S21" s="7"/>
    </row>
    <row r="22" spans="1:19" ht="27.75" customHeight="1">
      <c r="A22" s="3">
        <v>20</v>
      </c>
      <c r="B22" s="27"/>
      <c r="C22" s="29"/>
      <c r="D22" s="30"/>
      <c r="E22" s="31"/>
      <c r="F22" s="31"/>
      <c r="G22" s="31">
        <f t="shared" si="0"/>
        <v>0</v>
      </c>
      <c r="H22" s="31" t="str">
        <f t="shared" si="1"/>
        <v>ครบ</v>
      </c>
      <c r="I22" s="31"/>
      <c r="J22" s="27" t="e">
        <f>VLOOKUP(I22,Sheet2!$B$1:$C$62,2,FALSE)</f>
        <v>#N/A</v>
      </c>
      <c r="K22" s="27" t="e">
        <f>VLOOKUP(J22,Sheet2!$C$1:$D$61,2,FALSE)</f>
        <v>#N/A</v>
      </c>
      <c r="L22" s="31"/>
      <c r="M22" s="27"/>
      <c r="N22" s="27"/>
      <c r="O22" s="27"/>
      <c r="P22" s="28"/>
      <c r="Q22" s="15" t="str">
        <f t="shared" si="2"/>
        <v>ทันกำหนด</v>
      </c>
      <c r="R22" s="6"/>
      <c r="S22" s="7"/>
    </row>
    <row r="23" spans="1:19" ht="27.75" customHeight="1">
      <c r="A23" s="3">
        <v>21</v>
      </c>
      <c r="B23" s="27"/>
      <c r="C23" s="29"/>
      <c r="D23" s="30"/>
      <c r="E23" s="31"/>
      <c r="F23" s="31"/>
      <c r="G23" s="31">
        <f t="shared" si="0"/>
        <v>0</v>
      </c>
      <c r="H23" s="31" t="str">
        <f t="shared" si="1"/>
        <v>ครบ</v>
      </c>
      <c r="I23" s="31"/>
      <c r="J23" s="27" t="e">
        <f>VLOOKUP(I23,Sheet2!$B$1:$C$62,2,FALSE)</f>
        <v>#N/A</v>
      </c>
      <c r="K23" s="27" t="e">
        <f>VLOOKUP(J23,Sheet2!$C$1:$D$61,2,FALSE)</f>
        <v>#N/A</v>
      </c>
      <c r="L23" s="31"/>
      <c r="M23" s="27"/>
      <c r="N23" s="27"/>
      <c r="O23" s="27"/>
      <c r="P23" s="28"/>
      <c r="Q23" s="15" t="str">
        <f t="shared" si="2"/>
        <v>ทันกำหนด</v>
      </c>
      <c r="R23" s="6"/>
      <c r="S23" s="7"/>
    </row>
    <row r="24" spans="1:19" ht="27.75" customHeight="1">
      <c r="A24" s="3">
        <v>22</v>
      </c>
      <c r="B24" s="27"/>
      <c r="C24" s="29"/>
      <c r="D24" s="30"/>
      <c r="E24" s="31"/>
      <c r="F24" s="31"/>
      <c r="G24" s="31">
        <f t="shared" si="0"/>
        <v>0</v>
      </c>
      <c r="H24" s="31" t="str">
        <f t="shared" si="1"/>
        <v>ครบ</v>
      </c>
      <c r="I24" s="31"/>
      <c r="J24" s="27" t="e">
        <f>VLOOKUP(I24,Sheet2!$B$1:$C$62,2,FALSE)</f>
        <v>#N/A</v>
      </c>
      <c r="K24" s="27" t="e">
        <f>VLOOKUP(J24,Sheet2!$C$1:$D$61,2,FALSE)</f>
        <v>#N/A</v>
      </c>
      <c r="L24" s="31"/>
      <c r="M24" s="27"/>
      <c r="N24" s="27"/>
      <c r="O24" s="27"/>
      <c r="P24" s="28"/>
      <c r="Q24" s="15" t="str">
        <f t="shared" si="2"/>
        <v>ทันกำหนด</v>
      </c>
      <c r="R24" s="6"/>
      <c r="S24" s="7"/>
    </row>
    <row r="25" spans="1:19" ht="27.75" customHeight="1">
      <c r="A25" s="3">
        <v>23</v>
      </c>
      <c r="B25" s="27"/>
      <c r="C25" s="29"/>
      <c r="D25" s="30"/>
      <c r="E25" s="31"/>
      <c r="F25" s="31"/>
      <c r="G25" s="31">
        <f t="shared" si="0"/>
        <v>0</v>
      </c>
      <c r="H25" s="31" t="str">
        <f t="shared" si="1"/>
        <v>ครบ</v>
      </c>
      <c r="I25" s="31"/>
      <c r="J25" s="27" t="e">
        <f>VLOOKUP(I25,Sheet2!$B$1:$C$62,2,FALSE)</f>
        <v>#N/A</v>
      </c>
      <c r="K25" s="27" t="e">
        <f>VLOOKUP(J25,Sheet2!$C$1:$D$61,2,FALSE)</f>
        <v>#N/A</v>
      </c>
      <c r="L25" s="31"/>
      <c r="M25" s="27"/>
      <c r="N25" s="27"/>
      <c r="O25" s="27"/>
      <c r="P25" s="28"/>
      <c r="Q25" s="15" t="str">
        <f t="shared" si="2"/>
        <v>ทันกำหนด</v>
      </c>
      <c r="R25" s="6"/>
      <c r="S25" s="7"/>
    </row>
    <row r="26" spans="1:19" ht="27.75" customHeight="1">
      <c r="A26" s="3">
        <v>24</v>
      </c>
      <c r="B26" s="27"/>
      <c r="C26" s="29"/>
      <c r="D26" s="30"/>
      <c r="E26" s="31"/>
      <c r="F26" s="31"/>
      <c r="G26" s="31">
        <f t="shared" si="0"/>
        <v>0</v>
      </c>
      <c r="H26" s="31" t="str">
        <f t="shared" si="1"/>
        <v>ครบ</v>
      </c>
      <c r="I26" s="31"/>
      <c r="J26" s="27" t="e">
        <f>VLOOKUP(I26,Sheet2!$B$1:$C$62,2,FALSE)</f>
        <v>#N/A</v>
      </c>
      <c r="K26" s="27" t="e">
        <f>VLOOKUP(J26,Sheet2!$C$1:$D$61,2,FALSE)</f>
        <v>#N/A</v>
      </c>
      <c r="L26" s="31"/>
      <c r="M26" s="27"/>
      <c r="N26" s="27"/>
      <c r="O26" s="27"/>
      <c r="P26" s="28"/>
      <c r="Q26" s="15" t="str">
        <f t="shared" si="2"/>
        <v>ทันกำหนด</v>
      </c>
      <c r="R26" s="6"/>
      <c r="S26" s="7"/>
    </row>
    <row r="27" spans="1:19" ht="27.75" customHeight="1">
      <c r="A27" s="3">
        <v>25</v>
      </c>
      <c r="B27" s="27"/>
      <c r="C27" s="29"/>
      <c r="D27" s="30"/>
      <c r="E27" s="31"/>
      <c r="F27" s="31"/>
      <c r="G27" s="31">
        <f t="shared" si="0"/>
        <v>0</v>
      </c>
      <c r="H27" s="31" t="str">
        <f t="shared" si="1"/>
        <v>ครบ</v>
      </c>
      <c r="I27" s="31"/>
      <c r="J27" s="27" t="e">
        <f>VLOOKUP(I27,Sheet2!$B$1:$C$62,2,FALSE)</f>
        <v>#N/A</v>
      </c>
      <c r="K27" s="27" t="e">
        <f>VLOOKUP(J27,Sheet2!$C$1:$D$61,2,FALSE)</f>
        <v>#N/A</v>
      </c>
      <c r="L27" s="31"/>
      <c r="M27" s="27"/>
      <c r="N27" s="27"/>
      <c r="O27" s="31"/>
      <c r="P27" s="28"/>
      <c r="Q27" s="15" t="str">
        <f t="shared" si="2"/>
        <v>ทันกำหนด</v>
      </c>
      <c r="R27" s="6"/>
      <c r="S27" s="7"/>
    </row>
    <row r="28" spans="1:19" ht="27.75" customHeight="1">
      <c r="A28" s="3">
        <v>26</v>
      </c>
      <c r="B28" s="27"/>
      <c r="C28" s="29"/>
      <c r="D28" s="30"/>
      <c r="E28" s="31"/>
      <c r="F28" s="31"/>
      <c r="G28" s="31">
        <f t="shared" si="0"/>
        <v>0</v>
      </c>
      <c r="H28" s="31" t="str">
        <f t="shared" si="1"/>
        <v>ครบ</v>
      </c>
      <c r="I28" s="31"/>
      <c r="J28" s="27" t="e">
        <f>VLOOKUP(I28,Sheet2!$B$1:$C$62,2,FALSE)</f>
        <v>#N/A</v>
      </c>
      <c r="K28" s="27" t="e">
        <f>VLOOKUP(J28,Sheet2!$C$1:$D$61,2,FALSE)</f>
        <v>#N/A</v>
      </c>
      <c r="L28" s="31"/>
      <c r="M28" s="27"/>
      <c r="N28" s="27"/>
      <c r="O28" s="31"/>
      <c r="P28" s="28"/>
      <c r="Q28" s="15" t="str">
        <f t="shared" si="2"/>
        <v>ทันกำหนด</v>
      </c>
      <c r="R28" s="6"/>
      <c r="S28" s="7"/>
    </row>
    <row r="29" spans="1:19" ht="27.75" customHeight="1">
      <c r="A29" s="3">
        <v>27</v>
      </c>
      <c r="B29" s="27"/>
      <c r="C29" s="29"/>
      <c r="D29" s="30"/>
      <c r="E29" s="31"/>
      <c r="F29" s="31"/>
      <c r="G29" s="31">
        <f t="shared" si="0"/>
        <v>0</v>
      </c>
      <c r="H29" s="31" t="str">
        <f t="shared" si="1"/>
        <v>ครบ</v>
      </c>
      <c r="I29" s="31"/>
      <c r="J29" s="27" t="e">
        <f>VLOOKUP(I29,Sheet2!$B$1:$C$62,2,FALSE)</f>
        <v>#N/A</v>
      </c>
      <c r="K29" s="27" t="e">
        <f>VLOOKUP(J29,Sheet2!$C$1:$D$61,2,FALSE)</f>
        <v>#N/A</v>
      </c>
      <c r="L29" s="31"/>
      <c r="M29" s="27"/>
      <c r="N29" s="27"/>
      <c r="O29" s="27"/>
      <c r="P29" s="28"/>
      <c r="Q29" s="15" t="str">
        <f t="shared" si="2"/>
        <v>ทันกำหนด</v>
      </c>
      <c r="R29" s="6"/>
      <c r="S29" s="7"/>
    </row>
    <row r="30" spans="1:19" ht="27.75" customHeight="1">
      <c r="A30" s="3">
        <v>28</v>
      </c>
      <c r="B30" s="27"/>
      <c r="C30" s="37"/>
      <c r="D30" s="30"/>
      <c r="E30" s="31"/>
      <c r="F30" s="31"/>
      <c r="G30" s="31">
        <f t="shared" si="0"/>
        <v>0</v>
      </c>
      <c r="H30" s="31" t="str">
        <f t="shared" si="1"/>
        <v>ครบ</v>
      </c>
      <c r="I30" s="31"/>
      <c r="J30" s="27" t="e">
        <f>VLOOKUP(I30,Sheet2!$B$1:$C$62,2,FALSE)</f>
        <v>#N/A</v>
      </c>
      <c r="K30" s="27" t="e">
        <f>VLOOKUP(J30,Sheet2!$C$1:$D$61,2,FALSE)</f>
        <v>#N/A</v>
      </c>
      <c r="L30" s="31"/>
      <c r="M30" s="27"/>
      <c r="N30" s="27"/>
      <c r="O30" s="27"/>
      <c r="P30" s="28"/>
      <c r="Q30" s="15" t="str">
        <f t="shared" si="2"/>
        <v>ทันกำหนด</v>
      </c>
      <c r="R30" s="6"/>
      <c r="S30" s="7"/>
    </row>
    <row r="31" spans="1:19" ht="27.75" customHeight="1">
      <c r="A31" s="3">
        <v>29</v>
      </c>
      <c r="B31" s="27"/>
      <c r="C31" s="29"/>
      <c r="D31" s="30"/>
      <c r="E31" s="31"/>
      <c r="F31" s="31"/>
      <c r="G31" s="31">
        <f t="shared" si="0"/>
        <v>0</v>
      </c>
      <c r="H31" s="31" t="str">
        <f t="shared" si="1"/>
        <v>ครบ</v>
      </c>
      <c r="I31" s="31"/>
      <c r="J31" s="27" t="e">
        <f>VLOOKUP(I31,Sheet2!$B$1:$C$62,2,FALSE)</f>
        <v>#N/A</v>
      </c>
      <c r="K31" s="27" t="e">
        <f>VLOOKUP(J31,Sheet2!$C$1:$D$61,2,FALSE)</f>
        <v>#N/A</v>
      </c>
      <c r="L31" s="31"/>
      <c r="M31" s="27"/>
      <c r="N31" s="27"/>
      <c r="O31" s="27"/>
      <c r="P31" s="28"/>
      <c r="Q31" s="15" t="str">
        <f t="shared" si="2"/>
        <v>ทันกำหนด</v>
      </c>
      <c r="R31" s="6"/>
      <c r="S31" s="7"/>
    </row>
    <row r="32" spans="1:19" ht="27.75" customHeight="1">
      <c r="A32" s="3">
        <v>30</v>
      </c>
      <c r="B32" s="27"/>
      <c r="C32" s="29"/>
      <c r="D32" s="30"/>
      <c r="E32" s="31"/>
      <c r="F32" s="31"/>
      <c r="G32" s="31">
        <f t="shared" si="0"/>
        <v>0</v>
      </c>
      <c r="H32" s="31" t="str">
        <f t="shared" si="1"/>
        <v>ครบ</v>
      </c>
      <c r="I32" s="31"/>
      <c r="J32" s="27" t="e">
        <f>VLOOKUP(I32,Sheet2!$B$1:$C$62,2,FALSE)</f>
        <v>#N/A</v>
      </c>
      <c r="K32" s="27" t="e">
        <f>VLOOKUP(J32,Sheet2!$C$1:$D$61,2,FALSE)</f>
        <v>#N/A</v>
      </c>
      <c r="L32" s="31"/>
      <c r="M32" s="27"/>
      <c r="N32" s="27"/>
      <c r="O32" s="27"/>
      <c r="P32" s="28"/>
      <c r="Q32" s="15" t="str">
        <f t="shared" si="2"/>
        <v>ทันกำหนด</v>
      </c>
      <c r="R32" s="6"/>
      <c r="S32" s="7"/>
    </row>
    <row r="33" spans="1:19" ht="27.75" customHeight="1">
      <c r="A33" s="3">
        <v>31</v>
      </c>
      <c r="B33" s="27"/>
      <c r="C33" s="29"/>
      <c r="D33" s="30"/>
      <c r="E33" s="31"/>
      <c r="F33" s="31"/>
      <c r="G33" s="31">
        <f t="shared" si="0"/>
        <v>0</v>
      </c>
      <c r="H33" s="31" t="str">
        <f t="shared" si="1"/>
        <v>ครบ</v>
      </c>
      <c r="I33" s="31"/>
      <c r="J33" s="27" t="e">
        <f>VLOOKUP(I33,Sheet2!$B$1:$C$62,2,FALSE)</f>
        <v>#N/A</v>
      </c>
      <c r="K33" s="27" t="e">
        <f>VLOOKUP(J33,Sheet2!$C$1:$D$61,2,FALSE)</f>
        <v>#N/A</v>
      </c>
      <c r="L33" s="31"/>
      <c r="M33" s="27"/>
      <c r="N33" s="27"/>
      <c r="O33" s="27"/>
      <c r="P33" s="28"/>
      <c r="Q33" s="15" t="str">
        <f t="shared" si="2"/>
        <v>ทันกำหนด</v>
      </c>
      <c r="R33" s="6"/>
      <c r="S33" s="7"/>
    </row>
    <row r="34" spans="1:19" ht="27.75" customHeight="1">
      <c r="A34" s="3">
        <v>32</v>
      </c>
      <c r="B34" s="27"/>
      <c r="C34" s="29"/>
      <c r="D34" s="30"/>
      <c r="E34" s="31"/>
      <c r="F34" s="31"/>
      <c r="G34" s="31">
        <f t="shared" si="0"/>
        <v>0</v>
      </c>
      <c r="H34" s="31" t="str">
        <f t="shared" si="1"/>
        <v>ครบ</v>
      </c>
      <c r="I34" s="31"/>
      <c r="J34" s="27" t="e">
        <f>VLOOKUP(I34,Sheet2!$B$1:$C$62,2,FALSE)</f>
        <v>#N/A</v>
      </c>
      <c r="K34" s="27" t="e">
        <f>VLOOKUP(J34,Sheet2!$C$1:$D$61,2,FALSE)</f>
        <v>#N/A</v>
      </c>
      <c r="L34" s="31"/>
      <c r="M34" s="27"/>
      <c r="N34" s="27"/>
      <c r="O34" s="27"/>
      <c r="P34" s="28"/>
      <c r="Q34" s="15" t="str">
        <f t="shared" si="2"/>
        <v>ทันกำหนด</v>
      </c>
      <c r="R34" s="6"/>
      <c r="S34" s="7"/>
    </row>
    <row r="35" spans="1:19" ht="27.75" customHeight="1">
      <c r="A35" s="3">
        <v>33</v>
      </c>
      <c r="B35" s="27"/>
      <c r="C35" s="29"/>
      <c r="D35" s="30"/>
      <c r="E35" s="31"/>
      <c r="F35" s="31"/>
      <c r="G35" s="31">
        <f t="shared" si="0"/>
        <v>0</v>
      </c>
      <c r="H35" s="31" t="str">
        <f t="shared" si="1"/>
        <v>ครบ</v>
      </c>
      <c r="I35" s="31"/>
      <c r="J35" s="27" t="e">
        <f>VLOOKUP(I35,Sheet2!$B$1:$C$62,2,FALSE)</f>
        <v>#N/A</v>
      </c>
      <c r="K35" s="27" t="e">
        <f>VLOOKUP(J35,Sheet2!$C$1:$D$61,2,FALSE)</f>
        <v>#N/A</v>
      </c>
      <c r="L35" s="31"/>
      <c r="M35" s="27"/>
      <c r="N35" s="27"/>
      <c r="O35" s="27"/>
      <c r="P35" s="28"/>
      <c r="Q35" s="15" t="str">
        <f t="shared" si="2"/>
        <v>ทันกำหนด</v>
      </c>
      <c r="R35" s="6"/>
      <c r="S35" s="7"/>
    </row>
    <row r="36" spans="1:19" ht="27.75" customHeight="1">
      <c r="A36" s="3">
        <v>34</v>
      </c>
      <c r="B36" s="27"/>
      <c r="C36" s="29"/>
      <c r="D36" s="30"/>
      <c r="E36" s="31"/>
      <c r="F36" s="31"/>
      <c r="G36" s="31">
        <f t="shared" si="0"/>
        <v>0</v>
      </c>
      <c r="H36" s="31" t="str">
        <f t="shared" si="1"/>
        <v>ครบ</v>
      </c>
      <c r="I36" s="31"/>
      <c r="J36" s="27" t="e">
        <f>VLOOKUP(I36,Sheet2!$B$1:$C$62,2,FALSE)</f>
        <v>#N/A</v>
      </c>
      <c r="K36" s="27" t="e">
        <f>VLOOKUP(J36,Sheet2!$C$1:$D$61,2,FALSE)</f>
        <v>#N/A</v>
      </c>
      <c r="L36" s="31"/>
      <c r="M36" s="27"/>
      <c r="N36" s="27"/>
      <c r="O36" s="27"/>
      <c r="P36" s="28"/>
      <c r="Q36" s="15" t="str">
        <f t="shared" si="2"/>
        <v>ทันกำหนด</v>
      </c>
      <c r="R36" s="6"/>
      <c r="S36" s="7"/>
    </row>
    <row r="37" spans="1:19" ht="27.75" customHeight="1">
      <c r="A37" s="3">
        <v>35</v>
      </c>
      <c r="B37" s="27"/>
      <c r="C37" s="29"/>
      <c r="D37" s="30"/>
      <c r="E37" s="31"/>
      <c r="F37" s="31"/>
      <c r="G37" s="31">
        <f t="shared" si="0"/>
        <v>0</v>
      </c>
      <c r="H37" s="31" t="str">
        <f t="shared" si="1"/>
        <v>ครบ</v>
      </c>
      <c r="I37" s="31"/>
      <c r="J37" s="27" t="e">
        <f>VLOOKUP(I37,Sheet2!$B$1:$C$62,2,FALSE)</f>
        <v>#N/A</v>
      </c>
      <c r="K37" s="27" t="e">
        <f>VLOOKUP(J37,Sheet2!$C$1:$D$61,2,FALSE)</f>
        <v>#N/A</v>
      </c>
      <c r="L37" s="31"/>
      <c r="M37" s="27"/>
      <c r="N37" s="27"/>
      <c r="O37" s="27"/>
      <c r="P37" s="28"/>
      <c r="Q37" s="15" t="str">
        <f t="shared" si="2"/>
        <v>ทันกำหนด</v>
      </c>
      <c r="R37" s="6"/>
      <c r="S37" s="7"/>
    </row>
    <row r="38" spans="1:19" ht="27.75" customHeight="1">
      <c r="A38" s="3">
        <v>36</v>
      </c>
      <c r="B38" s="27"/>
      <c r="C38" s="29"/>
      <c r="D38" s="30"/>
      <c r="E38" s="31"/>
      <c r="F38" s="31"/>
      <c r="G38" s="31">
        <f t="shared" si="0"/>
        <v>0</v>
      </c>
      <c r="H38" s="31" t="str">
        <f t="shared" si="1"/>
        <v>ครบ</v>
      </c>
      <c r="I38" s="31"/>
      <c r="J38" s="27" t="e">
        <f>VLOOKUP(I38,Sheet2!$B$1:$C$62,2,FALSE)</f>
        <v>#N/A</v>
      </c>
      <c r="K38" s="27" t="e">
        <f>VLOOKUP(J38,Sheet2!$C$1:$D$61,2,FALSE)</f>
        <v>#N/A</v>
      </c>
      <c r="L38" s="31"/>
      <c r="M38" s="27"/>
      <c r="N38" s="27"/>
      <c r="O38" s="27"/>
      <c r="P38" s="28"/>
      <c r="Q38" s="15" t="str">
        <f t="shared" si="2"/>
        <v>ทันกำหนด</v>
      </c>
      <c r="R38" s="6"/>
      <c r="S38" s="7"/>
    </row>
    <row r="39" spans="1:19" ht="27.75" customHeight="1">
      <c r="A39" s="3">
        <v>37</v>
      </c>
      <c r="B39" s="27"/>
      <c r="C39" s="29"/>
      <c r="D39" s="30"/>
      <c r="E39" s="31"/>
      <c r="F39" s="31"/>
      <c r="G39" s="31">
        <f t="shared" si="0"/>
        <v>0</v>
      </c>
      <c r="H39" s="31" t="str">
        <f t="shared" si="1"/>
        <v>ครบ</v>
      </c>
      <c r="I39" s="31"/>
      <c r="J39" s="27" t="e">
        <f>VLOOKUP(I39,Sheet2!$B$1:$C$62,2,FALSE)</f>
        <v>#N/A</v>
      </c>
      <c r="K39" s="27" t="e">
        <f>VLOOKUP(J39,Sheet2!$C$1:$D$61,2,FALSE)</f>
        <v>#N/A</v>
      </c>
      <c r="L39" s="31"/>
      <c r="M39" s="27"/>
      <c r="N39" s="27"/>
      <c r="O39" s="27"/>
      <c r="P39" s="28"/>
      <c r="Q39" s="15" t="str">
        <f t="shared" si="2"/>
        <v>ทันกำหนด</v>
      </c>
      <c r="R39" s="6"/>
      <c r="S39" s="7"/>
    </row>
    <row r="40" spans="1:19" ht="27.75" customHeight="1">
      <c r="A40" s="3">
        <v>38</v>
      </c>
      <c r="B40" s="27"/>
      <c r="C40" s="29"/>
      <c r="D40" s="30"/>
      <c r="E40" s="31"/>
      <c r="F40" s="31"/>
      <c r="G40" s="31">
        <f t="shared" si="0"/>
        <v>0</v>
      </c>
      <c r="H40" s="31" t="str">
        <f t="shared" si="1"/>
        <v>ครบ</v>
      </c>
      <c r="I40" s="31"/>
      <c r="J40" s="27" t="e">
        <f>VLOOKUP(I40,Sheet2!$B$1:$C$62,2,FALSE)</f>
        <v>#N/A</v>
      </c>
      <c r="K40" s="27" t="e">
        <f>VLOOKUP(J40,Sheet2!$C$1:$D$61,2,FALSE)</f>
        <v>#N/A</v>
      </c>
      <c r="L40" s="31"/>
      <c r="M40" s="27"/>
      <c r="N40" s="27"/>
      <c r="O40" s="27"/>
      <c r="P40" s="28"/>
      <c r="Q40" s="15" t="str">
        <f t="shared" si="2"/>
        <v>ทันกำหนด</v>
      </c>
      <c r="R40" s="6">
        <v>1</v>
      </c>
      <c r="S40" s="7" t="s">
        <v>37</v>
      </c>
    </row>
    <row r="41" spans="1:19" ht="27.75" customHeight="1">
      <c r="A41" s="3">
        <v>39</v>
      </c>
      <c r="B41" s="27"/>
      <c r="C41" s="29"/>
      <c r="D41" s="30"/>
      <c r="E41" s="31"/>
      <c r="F41" s="31"/>
      <c r="G41" s="31">
        <f t="shared" si="0"/>
        <v>0</v>
      </c>
      <c r="H41" s="31" t="str">
        <f t="shared" si="1"/>
        <v>ครบ</v>
      </c>
      <c r="I41" s="31"/>
      <c r="J41" s="27" t="e">
        <f>VLOOKUP(I41,Sheet2!$B$1:$C$62,2,FALSE)</f>
        <v>#N/A</v>
      </c>
      <c r="K41" s="27" t="e">
        <f>VLOOKUP(J41,Sheet2!$C$1:$D$61,2,FALSE)</f>
        <v>#N/A</v>
      </c>
      <c r="L41" s="31"/>
      <c r="M41" s="27"/>
      <c r="N41" s="27"/>
      <c r="O41" s="27"/>
      <c r="P41" s="28"/>
      <c r="Q41" s="15" t="str">
        <f t="shared" si="2"/>
        <v>ทันกำหนด</v>
      </c>
      <c r="R41" s="6"/>
      <c r="S41" s="7"/>
    </row>
    <row r="42" spans="1:19" ht="27.75" customHeight="1">
      <c r="A42" s="3">
        <v>40</v>
      </c>
      <c r="B42" s="27"/>
      <c r="C42" s="29"/>
      <c r="D42" s="30"/>
      <c r="E42" s="31"/>
      <c r="F42" s="31"/>
      <c r="G42" s="31">
        <f t="shared" si="0"/>
        <v>0</v>
      </c>
      <c r="H42" s="31" t="str">
        <f t="shared" si="1"/>
        <v>ครบ</v>
      </c>
      <c r="I42" s="31"/>
      <c r="J42" s="27" t="e">
        <f>VLOOKUP(I42,Sheet2!$B$1:$C$62,2,FALSE)</f>
        <v>#N/A</v>
      </c>
      <c r="K42" s="27" t="e">
        <f>VLOOKUP(J42,Sheet2!$C$1:$D$61,2,FALSE)</f>
        <v>#N/A</v>
      </c>
      <c r="L42" s="31"/>
      <c r="M42" s="27"/>
      <c r="N42" s="27"/>
      <c r="O42" s="27"/>
      <c r="P42" s="28"/>
      <c r="Q42" s="15" t="str">
        <f t="shared" si="2"/>
        <v>ทันกำหนด</v>
      </c>
      <c r="R42" s="6"/>
      <c r="S42" s="7"/>
    </row>
    <row r="43" spans="1:19" ht="27.75" customHeight="1">
      <c r="A43" s="3">
        <v>41</v>
      </c>
      <c r="B43" s="27"/>
      <c r="C43" s="29"/>
      <c r="D43" s="30"/>
      <c r="E43" s="31"/>
      <c r="F43" s="31"/>
      <c r="G43" s="31">
        <f t="shared" si="0"/>
        <v>0</v>
      </c>
      <c r="H43" s="31" t="str">
        <f t="shared" si="1"/>
        <v>ครบ</v>
      </c>
      <c r="I43" s="31"/>
      <c r="J43" s="27" t="e">
        <f>VLOOKUP(I43,Sheet2!$B$1:$C$62,2,FALSE)</f>
        <v>#N/A</v>
      </c>
      <c r="K43" s="27" t="e">
        <f>VLOOKUP(J43,Sheet2!$C$1:$D$61,2,FALSE)</f>
        <v>#N/A</v>
      </c>
      <c r="L43" s="31"/>
      <c r="M43" s="27"/>
      <c r="N43" s="27"/>
      <c r="O43" s="27"/>
      <c r="P43" s="28"/>
      <c r="Q43" s="15" t="str">
        <f t="shared" si="2"/>
        <v>ทันกำหนด</v>
      </c>
      <c r="R43" s="6"/>
      <c r="S43" s="7"/>
    </row>
    <row r="44" spans="1:19" ht="27.75" customHeight="1">
      <c r="A44" s="3">
        <v>42</v>
      </c>
      <c r="B44" s="27"/>
      <c r="C44" s="29"/>
      <c r="D44" s="30"/>
      <c r="E44" s="31"/>
      <c r="F44" s="31"/>
      <c r="G44" s="31">
        <f t="shared" si="0"/>
        <v>0</v>
      </c>
      <c r="H44" s="31" t="str">
        <f t="shared" si="1"/>
        <v>ครบ</v>
      </c>
      <c r="I44" s="31"/>
      <c r="J44" s="27" t="e">
        <f>VLOOKUP(I44,Sheet2!$B$1:$C$62,2,FALSE)</f>
        <v>#N/A</v>
      </c>
      <c r="K44" s="27" t="e">
        <f>VLOOKUP(J44,Sheet2!$C$1:$D$61,2,FALSE)</f>
        <v>#N/A</v>
      </c>
      <c r="L44" s="31"/>
      <c r="M44" s="27"/>
      <c r="N44" s="27"/>
      <c r="O44" s="27"/>
      <c r="P44" s="28"/>
      <c r="Q44" s="15" t="str">
        <f t="shared" si="2"/>
        <v>ทันกำหนด</v>
      </c>
      <c r="R44" s="6"/>
      <c r="S44" s="7"/>
    </row>
    <row r="45" spans="1:19" ht="27.75" customHeight="1">
      <c r="A45" s="3">
        <v>43</v>
      </c>
      <c r="B45" s="27"/>
      <c r="C45" s="29"/>
      <c r="D45" s="30"/>
      <c r="E45" s="31"/>
      <c r="F45" s="31"/>
      <c r="G45" s="31">
        <f t="shared" si="0"/>
        <v>0</v>
      </c>
      <c r="H45" s="31" t="str">
        <f t="shared" si="1"/>
        <v>ครบ</v>
      </c>
      <c r="I45" s="31"/>
      <c r="J45" s="27" t="e">
        <f>VLOOKUP(I45,Sheet2!$B$1:$C$62,2,FALSE)</f>
        <v>#N/A</v>
      </c>
      <c r="K45" s="27" t="e">
        <f>VLOOKUP(J45,Sheet2!$C$1:$D$61,2,FALSE)</f>
        <v>#N/A</v>
      </c>
      <c r="L45" s="27"/>
      <c r="M45" s="27"/>
      <c r="N45" s="27"/>
      <c r="O45" s="27"/>
      <c r="P45" s="28"/>
      <c r="Q45" s="15" t="str">
        <f t="shared" si="2"/>
        <v>ทันกำหนด</v>
      </c>
      <c r="R45" s="6"/>
      <c r="S45" s="7"/>
    </row>
    <row r="46" spans="1:19" ht="27.75" customHeight="1">
      <c r="A46" s="3">
        <v>44</v>
      </c>
      <c r="B46" s="27"/>
      <c r="C46" s="29"/>
      <c r="D46" s="30"/>
      <c r="E46" s="31"/>
      <c r="F46" s="31"/>
      <c r="G46" s="31">
        <f t="shared" si="0"/>
        <v>0</v>
      </c>
      <c r="H46" s="31" t="str">
        <f t="shared" si="1"/>
        <v>ครบ</v>
      </c>
      <c r="I46" s="31"/>
      <c r="J46" s="27" t="e">
        <f>VLOOKUP(I46,Sheet2!$B$1:$C$62,2,FALSE)</f>
        <v>#N/A</v>
      </c>
      <c r="K46" s="27" t="e">
        <f>VLOOKUP(J46,Sheet2!$C$1:$D$61,2,FALSE)</f>
        <v>#N/A</v>
      </c>
      <c r="L46" s="27"/>
      <c r="M46" s="27"/>
      <c r="N46" s="27"/>
      <c r="O46" s="27"/>
      <c r="P46" s="28"/>
      <c r="Q46" s="15" t="str">
        <f t="shared" si="2"/>
        <v>ทันกำหนด</v>
      </c>
      <c r="R46" s="6"/>
      <c r="S46" s="7"/>
    </row>
    <row r="47" spans="1:19" ht="27.75" customHeight="1">
      <c r="A47" s="3">
        <v>45</v>
      </c>
      <c r="B47" s="27"/>
      <c r="C47" s="29"/>
      <c r="D47" s="30"/>
      <c r="E47" s="31"/>
      <c r="F47" s="31"/>
      <c r="G47" s="31">
        <f t="shared" si="0"/>
        <v>0</v>
      </c>
      <c r="H47" s="31" t="str">
        <f t="shared" si="1"/>
        <v>ครบ</v>
      </c>
      <c r="I47" s="31"/>
      <c r="J47" s="27" t="e">
        <f>VLOOKUP(I47,Sheet2!$B$1:$C$62,2,FALSE)</f>
        <v>#N/A</v>
      </c>
      <c r="K47" s="27" t="e">
        <f>VLOOKUP(J47,Sheet2!$C$1:$D$61,2,FALSE)</f>
        <v>#N/A</v>
      </c>
      <c r="L47" s="27"/>
      <c r="M47" s="27"/>
      <c r="N47" s="27"/>
      <c r="O47" s="27"/>
      <c r="P47" s="28"/>
      <c r="Q47" s="15" t="str">
        <f t="shared" si="2"/>
        <v>ทันกำหนด</v>
      </c>
      <c r="R47" s="6"/>
      <c r="S47" s="7"/>
    </row>
    <row r="48" spans="1:19" ht="27.75" customHeight="1">
      <c r="A48" s="3">
        <v>46</v>
      </c>
      <c r="B48" s="27"/>
      <c r="C48" s="29"/>
      <c r="D48" s="30"/>
      <c r="E48" s="31"/>
      <c r="F48" s="31"/>
      <c r="G48" s="31">
        <f t="shared" si="0"/>
        <v>0</v>
      </c>
      <c r="H48" s="31" t="str">
        <f t="shared" si="1"/>
        <v>ครบ</v>
      </c>
      <c r="I48" s="31"/>
      <c r="J48" s="27" t="e">
        <f>VLOOKUP(I48,Sheet2!$B$1:$C$62,2,FALSE)</f>
        <v>#N/A</v>
      </c>
      <c r="K48" s="27" t="e">
        <f>VLOOKUP(J48,Sheet2!$C$1:$D$61,2,FALSE)</f>
        <v>#N/A</v>
      </c>
      <c r="L48" s="27"/>
      <c r="M48" s="27"/>
      <c r="N48" s="27"/>
      <c r="O48" s="27"/>
      <c r="P48" s="28"/>
      <c r="Q48" s="15" t="str">
        <f t="shared" si="2"/>
        <v>ทันกำหนด</v>
      </c>
      <c r="R48" s="6"/>
      <c r="S48" s="7"/>
    </row>
    <row r="49" spans="1:19" ht="27.75" customHeight="1">
      <c r="A49" s="3">
        <v>47</v>
      </c>
      <c r="B49" s="27"/>
      <c r="C49" s="29"/>
      <c r="D49" s="30"/>
      <c r="E49" s="31"/>
      <c r="F49" s="31"/>
      <c r="G49" s="31">
        <f t="shared" si="0"/>
        <v>0</v>
      </c>
      <c r="H49" s="31" t="str">
        <f t="shared" si="1"/>
        <v>ครบ</v>
      </c>
      <c r="I49" s="31"/>
      <c r="J49" s="27" t="e">
        <f>VLOOKUP(I49,Sheet2!$B$1:$C$62,2,FALSE)</f>
        <v>#N/A</v>
      </c>
      <c r="K49" s="27" t="e">
        <f>VLOOKUP(J49,Sheet2!$C$1:$D$61,2,FALSE)</f>
        <v>#N/A</v>
      </c>
      <c r="L49" s="27"/>
      <c r="M49" s="27"/>
      <c r="N49" s="27"/>
      <c r="O49" s="27"/>
      <c r="P49" s="28"/>
      <c r="Q49" s="15" t="str">
        <f t="shared" si="2"/>
        <v>ทันกำหนด</v>
      </c>
      <c r="R49" s="6"/>
      <c r="S49" s="7"/>
    </row>
    <row r="50" spans="1:19" ht="27.75" customHeight="1">
      <c r="A50" s="3">
        <v>48</v>
      </c>
      <c r="B50" s="27"/>
      <c r="C50" s="29"/>
      <c r="D50" s="30"/>
      <c r="E50" s="31"/>
      <c r="F50" s="31"/>
      <c r="G50" s="31">
        <f t="shared" si="0"/>
        <v>0</v>
      </c>
      <c r="H50" s="31" t="str">
        <f t="shared" si="1"/>
        <v>ครบ</v>
      </c>
      <c r="I50" s="31"/>
      <c r="J50" s="27" t="e">
        <f>VLOOKUP(I50,Sheet2!$B$1:$C$62,2,FALSE)</f>
        <v>#N/A</v>
      </c>
      <c r="K50" s="27" t="e">
        <f>VLOOKUP(J50,Sheet2!$C$1:$D$61,2,FALSE)</f>
        <v>#N/A</v>
      </c>
      <c r="L50" s="27"/>
      <c r="M50" s="27"/>
      <c r="N50" s="27"/>
      <c r="O50" s="27"/>
      <c r="P50" s="28"/>
      <c r="Q50" s="15" t="str">
        <f t="shared" si="2"/>
        <v>ทันกำหนด</v>
      </c>
      <c r="R50" s="6"/>
      <c r="S50" s="7"/>
    </row>
    <row r="51" spans="1:19" ht="27.75" customHeight="1">
      <c r="A51" s="3">
        <v>49</v>
      </c>
      <c r="B51" s="27"/>
      <c r="C51" s="29"/>
      <c r="D51" s="30"/>
      <c r="E51" s="31"/>
      <c r="F51" s="31"/>
      <c r="G51" s="31">
        <f t="shared" si="0"/>
        <v>0</v>
      </c>
      <c r="H51" s="31" t="str">
        <f t="shared" si="1"/>
        <v>ครบ</v>
      </c>
      <c r="I51" s="31"/>
      <c r="J51" s="27" t="e">
        <f>VLOOKUP(I51,Sheet2!$B$1:$C$62,2,FALSE)</f>
        <v>#N/A</v>
      </c>
      <c r="K51" s="27" t="e">
        <f>VLOOKUP(J51,Sheet2!$C$1:$D$61,2,FALSE)</f>
        <v>#N/A</v>
      </c>
      <c r="L51" s="27"/>
      <c r="M51" s="27"/>
      <c r="N51" s="27"/>
      <c r="O51" s="27"/>
      <c r="P51" s="28"/>
      <c r="Q51" s="15" t="str">
        <f t="shared" si="2"/>
        <v>ทันกำหนด</v>
      </c>
      <c r="R51" s="6"/>
      <c r="S51" s="7"/>
    </row>
    <row r="52" spans="1:19" ht="27.75" customHeight="1">
      <c r="A52" s="3">
        <v>50</v>
      </c>
      <c r="B52" s="27"/>
      <c r="C52" s="29"/>
      <c r="D52" s="30"/>
      <c r="E52" s="31"/>
      <c r="F52" s="31"/>
      <c r="G52" s="31">
        <f t="shared" si="0"/>
        <v>0</v>
      </c>
      <c r="H52" s="31" t="str">
        <f t="shared" si="1"/>
        <v>ครบ</v>
      </c>
      <c r="I52" s="31"/>
      <c r="J52" s="27" t="e">
        <f>VLOOKUP(I52,Sheet2!$B$1:$C$62,2,FALSE)</f>
        <v>#N/A</v>
      </c>
      <c r="K52" s="27" t="e">
        <f>VLOOKUP(J52,Sheet2!$C$1:$D$61,2,FALSE)</f>
        <v>#N/A</v>
      </c>
      <c r="L52" s="27"/>
      <c r="M52" s="27"/>
      <c r="N52" s="27"/>
      <c r="O52" s="27"/>
      <c r="P52" s="28"/>
      <c r="Q52" s="15" t="str">
        <f t="shared" si="2"/>
        <v>ทันกำหนด</v>
      </c>
      <c r="R52" s="6">
        <v>1</v>
      </c>
      <c r="S52" s="7" t="s">
        <v>37</v>
      </c>
    </row>
    <row r="53" spans="1:19" ht="27.75" customHeight="1">
      <c r="A53" s="3">
        <v>51</v>
      </c>
      <c r="B53" s="27"/>
      <c r="C53" s="29"/>
      <c r="D53" s="30"/>
      <c r="E53" s="31"/>
      <c r="F53" s="31"/>
      <c r="G53" s="31">
        <f t="shared" si="0"/>
        <v>0</v>
      </c>
      <c r="H53" s="31" t="str">
        <f t="shared" si="1"/>
        <v>ครบ</v>
      </c>
      <c r="I53" s="31"/>
      <c r="J53" s="27" t="e">
        <f>VLOOKUP(I53,Sheet2!$B$1:$C$62,2,FALSE)</f>
        <v>#N/A</v>
      </c>
      <c r="K53" s="27" t="e">
        <f>VLOOKUP(J53,Sheet2!$C$1:$D$61,2,FALSE)</f>
        <v>#N/A</v>
      </c>
      <c r="L53" s="27"/>
      <c r="M53" s="27"/>
      <c r="N53" s="27"/>
      <c r="O53" s="27"/>
      <c r="P53" s="28"/>
      <c r="Q53" s="5" t="str">
        <f t="shared" si="2"/>
        <v>ทันกำหนด</v>
      </c>
      <c r="R53" s="6"/>
      <c r="S53" s="7"/>
    </row>
    <row r="54" spans="1:19" ht="27.75" customHeight="1">
      <c r="A54" s="3">
        <v>52</v>
      </c>
      <c r="B54" s="27"/>
      <c r="C54" s="29"/>
      <c r="D54" s="30"/>
      <c r="E54" s="31"/>
      <c r="F54" s="31"/>
      <c r="G54" s="31">
        <f t="shared" si="0"/>
        <v>0</v>
      </c>
      <c r="H54" s="31" t="str">
        <f t="shared" si="1"/>
        <v>ครบ</v>
      </c>
      <c r="I54" s="31"/>
      <c r="J54" s="27" t="e">
        <f>VLOOKUP(I54,Sheet2!$B$1:$C$62,2,FALSE)</f>
        <v>#N/A</v>
      </c>
      <c r="K54" s="27" t="e">
        <f>VLOOKUP(J54,Sheet2!$C$1:$D$61,2,FALSE)</f>
        <v>#N/A</v>
      </c>
      <c r="L54" s="27"/>
      <c r="M54" s="27"/>
      <c r="N54" s="27"/>
      <c r="O54" s="27"/>
      <c r="P54" s="28"/>
      <c r="Q54" s="5" t="str">
        <f t="shared" si="2"/>
        <v>ทันกำหนด</v>
      </c>
      <c r="R54" s="6"/>
      <c r="S54" s="7"/>
    </row>
    <row r="55" spans="1:19" ht="27.75" customHeight="1">
      <c r="A55" s="3">
        <v>53</v>
      </c>
      <c r="B55" s="27"/>
      <c r="C55" s="29"/>
      <c r="D55" s="30"/>
      <c r="E55" s="31"/>
      <c r="F55" s="31"/>
      <c r="G55" s="31">
        <f t="shared" si="0"/>
        <v>0</v>
      </c>
      <c r="H55" s="31" t="str">
        <f t="shared" si="1"/>
        <v>ครบ</v>
      </c>
      <c r="I55" s="31"/>
      <c r="J55" s="27" t="e">
        <f>VLOOKUP(I55,Sheet2!$B$1:$C$62,2,FALSE)</f>
        <v>#N/A</v>
      </c>
      <c r="K55" s="27" t="e">
        <f>VLOOKUP(J55,Sheet2!$C$1:$D$61,2,FALSE)</f>
        <v>#N/A</v>
      </c>
      <c r="L55" s="27"/>
      <c r="M55" s="27"/>
      <c r="N55" s="27"/>
      <c r="O55" s="27"/>
      <c r="P55" s="28"/>
      <c r="Q55" s="5" t="str">
        <f t="shared" si="2"/>
        <v>ทันกำหนด</v>
      </c>
      <c r="R55" s="6"/>
      <c r="S55" s="7"/>
    </row>
    <row r="56" spans="1:19" ht="27.75" customHeight="1">
      <c r="A56" s="3">
        <v>54</v>
      </c>
      <c r="B56" s="27"/>
      <c r="C56" s="29"/>
      <c r="D56" s="30"/>
      <c r="E56" s="31"/>
      <c r="F56" s="31"/>
      <c r="G56" s="31">
        <f t="shared" si="0"/>
        <v>0</v>
      </c>
      <c r="H56" s="31" t="str">
        <f t="shared" si="1"/>
        <v>ครบ</v>
      </c>
      <c r="I56" s="31"/>
      <c r="J56" s="27" t="e">
        <f>VLOOKUP(I56,Sheet2!$B$1:$C$62,2,FALSE)</f>
        <v>#N/A</v>
      </c>
      <c r="K56" s="27" t="e">
        <f>VLOOKUP(J56,Sheet2!$C$1:$D$61,2,FALSE)</f>
        <v>#N/A</v>
      </c>
      <c r="L56" s="27"/>
      <c r="M56" s="27"/>
      <c r="N56" s="27"/>
      <c r="O56" s="27"/>
      <c r="P56" s="28"/>
      <c r="Q56" s="5" t="str">
        <f t="shared" si="2"/>
        <v>ทันกำหนด</v>
      </c>
      <c r="R56" s="6"/>
      <c r="S56" s="7"/>
    </row>
    <row r="57" spans="1:19" ht="27.75" customHeight="1">
      <c r="A57" s="3">
        <v>55</v>
      </c>
      <c r="B57" s="27"/>
      <c r="C57" s="29"/>
      <c r="D57" s="30"/>
      <c r="E57" s="31"/>
      <c r="F57" s="31"/>
      <c r="G57" s="31">
        <f t="shared" si="0"/>
        <v>0</v>
      </c>
      <c r="H57" s="31" t="str">
        <f t="shared" si="1"/>
        <v>ครบ</v>
      </c>
      <c r="I57" s="31"/>
      <c r="J57" s="27" t="e">
        <f>VLOOKUP(I57,Sheet2!$B$1:$C$62,2,FALSE)</f>
        <v>#N/A</v>
      </c>
      <c r="K57" s="27" t="e">
        <f>VLOOKUP(J57,Sheet2!$C$1:$D$61,2,FALSE)</f>
        <v>#N/A</v>
      </c>
      <c r="L57" s="27"/>
      <c r="M57" s="27"/>
      <c r="N57" s="27"/>
      <c r="O57" s="27"/>
      <c r="P57" s="28"/>
      <c r="Q57" s="5" t="str">
        <f t="shared" si="2"/>
        <v>ทันกำหนด</v>
      </c>
      <c r="R57" s="6"/>
      <c r="S57" s="7"/>
    </row>
    <row r="58" spans="1:19" ht="27.75" customHeight="1">
      <c r="A58" s="3">
        <v>56</v>
      </c>
      <c r="B58" s="27"/>
      <c r="C58" s="29"/>
      <c r="D58" s="30"/>
      <c r="E58" s="31"/>
      <c r="F58" s="31"/>
      <c r="G58" s="31">
        <f t="shared" si="0"/>
        <v>0</v>
      </c>
      <c r="H58" s="31" t="str">
        <f t="shared" si="1"/>
        <v>ครบ</v>
      </c>
      <c r="I58" s="31"/>
      <c r="J58" s="27" t="e">
        <f>VLOOKUP(I58,Sheet2!$B$1:$C$62,2,FALSE)</f>
        <v>#N/A</v>
      </c>
      <c r="K58" s="27" t="e">
        <f>VLOOKUP(J58,Sheet2!$C$1:$D$61,2,FALSE)</f>
        <v>#N/A</v>
      </c>
      <c r="L58" s="27"/>
      <c r="M58" s="27"/>
      <c r="N58" s="27"/>
      <c r="O58" s="27"/>
      <c r="P58" s="28"/>
      <c r="Q58" s="5" t="str">
        <f t="shared" si="2"/>
        <v>ทันกำหนด</v>
      </c>
      <c r="R58" s="6"/>
      <c r="S58" s="7"/>
    </row>
    <row r="59" spans="1:19" ht="27.75" customHeight="1">
      <c r="A59" s="3">
        <v>57</v>
      </c>
      <c r="B59" s="27"/>
      <c r="C59" s="29"/>
      <c r="D59" s="30"/>
      <c r="E59" s="31"/>
      <c r="F59" s="31"/>
      <c r="G59" s="31">
        <f t="shared" si="0"/>
        <v>0</v>
      </c>
      <c r="H59" s="31" t="str">
        <f t="shared" si="1"/>
        <v>ครบ</v>
      </c>
      <c r="I59" s="31"/>
      <c r="J59" s="27" t="e">
        <f>VLOOKUP(I59,Sheet2!$B$1:$C$62,2,FALSE)</f>
        <v>#N/A</v>
      </c>
      <c r="K59" s="27" t="e">
        <f>VLOOKUP(J59,Sheet2!$C$1:$D$61,2,FALSE)</f>
        <v>#N/A</v>
      </c>
      <c r="L59" s="31"/>
      <c r="M59" s="27"/>
      <c r="N59" s="27"/>
      <c r="O59" s="27"/>
      <c r="P59" s="28"/>
      <c r="Q59" s="5" t="str">
        <f t="shared" si="2"/>
        <v>ทันกำหนด</v>
      </c>
      <c r="R59" s="6"/>
      <c r="S59" s="7"/>
    </row>
    <row r="60" spans="1:19" ht="27.75" customHeight="1">
      <c r="A60" s="3">
        <v>58</v>
      </c>
      <c r="B60" s="27"/>
      <c r="C60" s="29"/>
      <c r="D60" s="30"/>
      <c r="E60" s="31"/>
      <c r="F60" s="31"/>
      <c r="G60" s="31">
        <f t="shared" si="0"/>
        <v>0</v>
      </c>
      <c r="H60" s="31" t="str">
        <f t="shared" si="1"/>
        <v>ครบ</v>
      </c>
      <c r="I60" s="31"/>
      <c r="J60" s="27" t="e">
        <f>VLOOKUP(I60,Sheet2!$B$1:$C$62,2,FALSE)</f>
        <v>#N/A</v>
      </c>
      <c r="K60" s="27" t="e">
        <f>VLOOKUP(J60,Sheet2!$C$1:$D$61,2,FALSE)</f>
        <v>#N/A</v>
      </c>
      <c r="L60" s="31"/>
      <c r="M60" s="27"/>
      <c r="N60" s="27"/>
      <c r="O60" s="27"/>
      <c r="P60" s="28"/>
      <c r="Q60" s="5" t="str">
        <f t="shared" si="2"/>
        <v>ทันกำหนด</v>
      </c>
      <c r="R60" s="6"/>
      <c r="S60" s="7"/>
    </row>
    <row r="61" spans="1:19" ht="27.75" customHeight="1">
      <c r="A61" s="3">
        <v>59</v>
      </c>
      <c r="B61" s="27"/>
      <c r="C61" s="29"/>
      <c r="D61" s="30"/>
      <c r="E61" s="31"/>
      <c r="F61" s="31"/>
      <c r="G61" s="31">
        <f t="shared" si="0"/>
        <v>0</v>
      </c>
      <c r="H61" s="31" t="str">
        <f t="shared" si="1"/>
        <v>ครบ</v>
      </c>
      <c r="I61" s="31"/>
      <c r="J61" s="27" t="e">
        <f>VLOOKUP(I61,Sheet2!$B$1:$C$62,2,FALSE)</f>
        <v>#N/A</v>
      </c>
      <c r="K61" s="27" t="e">
        <f>VLOOKUP(J61,Sheet2!$C$1:$D$61,2,FALSE)</f>
        <v>#N/A</v>
      </c>
      <c r="L61" s="31"/>
      <c r="M61" s="27"/>
      <c r="N61" s="27"/>
      <c r="O61" s="27"/>
      <c r="P61" s="28"/>
      <c r="Q61" s="5" t="str">
        <f t="shared" si="2"/>
        <v>ทันกำหนด</v>
      </c>
      <c r="R61" s="6"/>
      <c r="S61" s="7"/>
    </row>
    <row r="62" spans="1:19" ht="27.75" customHeight="1">
      <c r="A62" s="3">
        <v>60</v>
      </c>
      <c r="B62" s="27"/>
      <c r="C62" s="29"/>
      <c r="D62" s="30"/>
      <c r="E62" s="31"/>
      <c r="F62" s="31"/>
      <c r="G62" s="31">
        <f t="shared" si="0"/>
        <v>0</v>
      </c>
      <c r="H62" s="31" t="str">
        <f t="shared" si="1"/>
        <v>ครบ</v>
      </c>
      <c r="I62" s="31"/>
      <c r="J62" s="27" t="e">
        <f>VLOOKUP(I62,Sheet2!$B$1:$C$62,2,FALSE)</f>
        <v>#N/A</v>
      </c>
      <c r="K62" s="27" t="e">
        <f>VLOOKUP(J62,Sheet2!$C$1:$D$61,2,FALSE)</f>
        <v>#N/A</v>
      </c>
      <c r="L62" s="31"/>
      <c r="M62" s="27"/>
      <c r="N62" s="27"/>
      <c r="O62" s="27"/>
      <c r="P62" s="28"/>
      <c r="Q62" s="5" t="str">
        <f t="shared" si="2"/>
        <v>ทันกำหนด</v>
      </c>
      <c r="R62" s="6"/>
      <c r="S62" s="7"/>
    </row>
    <row r="63" spans="1:19" ht="27.75" customHeight="1">
      <c r="A63" s="3">
        <v>61</v>
      </c>
      <c r="B63" s="27"/>
      <c r="C63" s="29"/>
      <c r="D63" s="30"/>
      <c r="E63" s="31"/>
      <c r="F63" s="31"/>
      <c r="G63" s="31">
        <f t="shared" si="0"/>
        <v>0</v>
      </c>
      <c r="H63" s="31" t="str">
        <f t="shared" si="1"/>
        <v>ครบ</v>
      </c>
      <c r="I63" s="31"/>
      <c r="J63" s="27" t="e">
        <f>VLOOKUP(I63,Sheet2!$B$1:$C$62,2,FALSE)</f>
        <v>#N/A</v>
      </c>
      <c r="K63" s="27" t="e">
        <f>VLOOKUP(J63,Sheet2!$C$1:$D$61,2,FALSE)</f>
        <v>#N/A</v>
      </c>
      <c r="L63" s="31"/>
      <c r="M63" s="27"/>
      <c r="N63" s="27"/>
      <c r="O63" s="27"/>
      <c r="P63" s="28"/>
      <c r="Q63" s="5" t="str">
        <f t="shared" si="2"/>
        <v>ทันกำหนด</v>
      </c>
      <c r="R63" s="6"/>
      <c r="S63" s="7"/>
    </row>
    <row r="64" spans="1:19" ht="27.75" customHeight="1">
      <c r="A64" s="3">
        <v>62</v>
      </c>
      <c r="B64" s="27"/>
      <c r="C64" s="29"/>
      <c r="D64" s="30"/>
      <c r="E64" s="31"/>
      <c r="F64" s="31"/>
      <c r="G64" s="31">
        <f t="shared" si="0"/>
        <v>0</v>
      </c>
      <c r="H64" s="31" t="str">
        <f t="shared" si="1"/>
        <v>ครบ</v>
      </c>
      <c r="I64" s="31"/>
      <c r="J64" s="27" t="e">
        <f>VLOOKUP(I64,Sheet2!$B$1:$C$62,2,FALSE)</f>
        <v>#N/A</v>
      </c>
      <c r="K64" s="27" t="e">
        <f>VLOOKUP(J64,Sheet2!$C$1:$D$61,2,FALSE)</f>
        <v>#N/A</v>
      </c>
      <c r="L64" s="31"/>
      <c r="M64" s="27"/>
      <c r="N64" s="27"/>
      <c r="O64" s="27"/>
      <c r="P64" s="28"/>
      <c r="Q64" s="5" t="str">
        <f t="shared" si="2"/>
        <v>ทันกำหนด</v>
      </c>
      <c r="R64" s="6"/>
      <c r="S64" s="7"/>
    </row>
    <row r="65" spans="1:19" ht="27.75" customHeight="1">
      <c r="A65" s="3">
        <v>63</v>
      </c>
      <c r="B65" s="27"/>
      <c r="C65" s="29"/>
      <c r="D65" s="30"/>
      <c r="E65" s="31"/>
      <c r="F65" s="31"/>
      <c r="G65" s="31">
        <f t="shared" si="0"/>
        <v>0</v>
      </c>
      <c r="H65" s="31" t="str">
        <f t="shared" si="1"/>
        <v>ครบ</v>
      </c>
      <c r="I65" s="31"/>
      <c r="J65" s="27" t="e">
        <f>VLOOKUP(I65,Sheet2!$B$1:$C$62,2,FALSE)</f>
        <v>#N/A</v>
      </c>
      <c r="K65" s="27" t="e">
        <f>VLOOKUP(J65,Sheet2!$C$1:$D$61,2,FALSE)</f>
        <v>#N/A</v>
      </c>
      <c r="L65" s="31"/>
      <c r="M65" s="27"/>
      <c r="N65" s="27"/>
      <c r="O65" s="27"/>
      <c r="P65" s="28"/>
      <c r="Q65" s="5" t="str">
        <f t="shared" si="2"/>
        <v>ทันกำหนด</v>
      </c>
      <c r="R65" s="6"/>
      <c r="S65" s="7"/>
    </row>
    <row r="66" spans="1:19" ht="27.75" customHeight="1">
      <c r="A66" s="3">
        <v>64</v>
      </c>
      <c r="B66" s="27"/>
      <c r="C66" s="29"/>
      <c r="D66" s="30"/>
      <c r="E66" s="31"/>
      <c r="F66" s="31"/>
      <c r="G66" s="31">
        <f t="shared" si="0"/>
        <v>0</v>
      </c>
      <c r="H66" s="31" t="str">
        <f t="shared" si="1"/>
        <v>ครบ</v>
      </c>
      <c r="I66" s="31"/>
      <c r="J66" s="27" t="e">
        <f>VLOOKUP(I66,Sheet2!$B$1:$C$62,2,FALSE)</f>
        <v>#N/A</v>
      </c>
      <c r="K66" s="27" t="e">
        <f>VLOOKUP(J66,Sheet2!$C$1:$D$61,2,FALSE)</f>
        <v>#N/A</v>
      </c>
      <c r="L66" s="31"/>
      <c r="M66" s="27"/>
      <c r="N66" s="27"/>
      <c r="O66" s="27"/>
      <c r="P66" s="28"/>
      <c r="Q66" s="5" t="str">
        <f t="shared" si="2"/>
        <v>ทันกำหนด</v>
      </c>
      <c r="R66" s="6"/>
      <c r="S66" s="7"/>
    </row>
    <row r="67" spans="1:19" ht="27.75" customHeight="1">
      <c r="A67" s="3">
        <v>65</v>
      </c>
      <c r="B67" s="27"/>
      <c r="C67" s="29"/>
      <c r="D67" s="30"/>
      <c r="E67" s="31"/>
      <c r="F67" s="31"/>
      <c r="G67" s="31">
        <f t="shared" ref="G67:G130" si="3">$E67-$F67</f>
        <v>0</v>
      </c>
      <c r="H67" s="31" t="str">
        <f t="shared" ref="H67:H130" si="4">IF($G67=0,"ครบ","ไม่ครบ")</f>
        <v>ครบ</v>
      </c>
      <c r="I67" s="31"/>
      <c r="J67" s="27" t="e">
        <f>VLOOKUP(I67,Sheet2!$B$1:$C$62,2,FALSE)</f>
        <v>#N/A</v>
      </c>
      <c r="K67" s="27" t="e">
        <f>VLOOKUP(J67,Sheet2!$C$1:$D$61,2,FALSE)</f>
        <v>#N/A</v>
      </c>
      <c r="L67" s="31"/>
      <c r="M67" s="27"/>
      <c r="N67" s="27"/>
      <c r="O67" s="27"/>
      <c r="P67" s="28"/>
      <c r="Q67" s="5" t="str">
        <f t="shared" ref="Q67:Q130" si="5">IF($N67&gt;$M67,"เกินกำหนด","ทันกำหนด")</f>
        <v>ทันกำหนด</v>
      </c>
      <c r="R67" s="6"/>
      <c r="S67" s="7"/>
    </row>
    <row r="68" spans="1:19" ht="27.75" customHeight="1">
      <c r="A68" s="3">
        <v>66</v>
      </c>
      <c r="B68" s="27"/>
      <c r="C68" s="29"/>
      <c r="D68" s="30"/>
      <c r="E68" s="31"/>
      <c r="F68" s="31"/>
      <c r="G68" s="31">
        <f t="shared" si="3"/>
        <v>0</v>
      </c>
      <c r="H68" s="31" t="str">
        <f t="shared" si="4"/>
        <v>ครบ</v>
      </c>
      <c r="I68" s="31"/>
      <c r="J68" s="27" t="e">
        <f>VLOOKUP(I68,Sheet2!$B$1:$C$62,2,FALSE)</f>
        <v>#N/A</v>
      </c>
      <c r="K68" s="27" t="e">
        <f>VLOOKUP(J68,Sheet2!$C$1:$D$61,2,FALSE)</f>
        <v>#N/A</v>
      </c>
      <c r="L68" s="31"/>
      <c r="M68" s="27"/>
      <c r="N68" s="27"/>
      <c r="O68" s="27"/>
      <c r="P68" s="28"/>
      <c r="Q68" s="5" t="str">
        <f t="shared" si="5"/>
        <v>ทันกำหนด</v>
      </c>
      <c r="R68" s="6"/>
      <c r="S68" s="7"/>
    </row>
    <row r="69" spans="1:19" ht="27.75" customHeight="1">
      <c r="A69" s="3">
        <v>67</v>
      </c>
      <c r="B69" s="27"/>
      <c r="C69" s="29"/>
      <c r="D69" s="30"/>
      <c r="E69" s="31"/>
      <c r="F69" s="31"/>
      <c r="G69" s="31">
        <f t="shared" si="3"/>
        <v>0</v>
      </c>
      <c r="H69" s="31" t="str">
        <f t="shared" si="4"/>
        <v>ครบ</v>
      </c>
      <c r="I69" s="31"/>
      <c r="J69" s="27" t="e">
        <f>VLOOKUP(I69,Sheet2!$B$1:$C$62,2,FALSE)</f>
        <v>#N/A</v>
      </c>
      <c r="K69" s="27" t="e">
        <f>VLOOKUP(J69,Sheet2!$C$1:$D$61,2,FALSE)</f>
        <v>#N/A</v>
      </c>
      <c r="L69" s="31"/>
      <c r="M69" s="27"/>
      <c r="N69" s="27"/>
      <c r="O69" s="27"/>
      <c r="P69" s="28"/>
      <c r="Q69" s="15" t="str">
        <f t="shared" si="5"/>
        <v>ทันกำหนด</v>
      </c>
      <c r="R69" s="6"/>
      <c r="S69" s="7"/>
    </row>
    <row r="70" spans="1:19" ht="27.75" customHeight="1">
      <c r="A70" s="3">
        <v>68</v>
      </c>
      <c r="B70" s="27"/>
      <c r="C70" s="29"/>
      <c r="D70" s="30"/>
      <c r="E70" s="31"/>
      <c r="F70" s="31"/>
      <c r="G70" s="31">
        <f t="shared" si="3"/>
        <v>0</v>
      </c>
      <c r="H70" s="31" t="str">
        <f t="shared" si="4"/>
        <v>ครบ</v>
      </c>
      <c r="I70" s="31"/>
      <c r="J70" s="27" t="e">
        <f>VLOOKUP(I70,Sheet2!$B$1:$C$62,2,FALSE)</f>
        <v>#N/A</v>
      </c>
      <c r="K70" s="27" t="e">
        <f>VLOOKUP(J70,Sheet2!$C$1:$D$61,2,FALSE)</f>
        <v>#N/A</v>
      </c>
      <c r="L70" s="31"/>
      <c r="M70" s="27"/>
      <c r="N70" s="27"/>
      <c r="O70" s="27"/>
      <c r="P70" s="28"/>
      <c r="Q70" s="15" t="str">
        <f t="shared" si="5"/>
        <v>ทันกำหนด</v>
      </c>
      <c r="R70" s="6"/>
      <c r="S70" s="7"/>
    </row>
    <row r="71" spans="1:19" ht="27.75" customHeight="1">
      <c r="A71" s="3">
        <v>69</v>
      </c>
      <c r="B71" s="27"/>
      <c r="C71" s="29"/>
      <c r="D71" s="30"/>
      <c r="E71" s="31"/>
      <c r="F71" s="31"/>
      <c r="G71" s="31">
        <f t="shared" si="3"/>
        <v>0</v>
      </c>
      <c r="H71" s="31" t="str">
        <f t="shared" si="4"/>
        <v>ครบ</v>
      </c>
      <c r="I71" s="31"/>
      <c r="J71" s="27" t="e">
        <f>VLOOKUP(I71,Sheet2!$B$1:$C$62,2,FALSE)</f>
        <v>#N/A</v>
      </c>
      <c r="K71" s="27" t="e">
        <f>VLOOKUP(J71,Sheet2!$C$1:$D$61,2,FALSE)</f>
        <v>#N/A</v>
      </c>
      <c r="L71" s="31"/>
      <c r="M71" s="27"/>
      <c r="N71" s="27"/>
      <c r="O71" s="27"/>
      <c r="P71" s="28"/>
      <c r="Q71" s="15" t="str">
        <f t="shared" si="5"/>
        <v>ทันกำหนด</v>
      </c>
      <c r="R71" s="6"/>
      <c r="S71" s="7"/>
    </row>
    <row r="72" spans="1:19" ht="27.75" customHeight="1">
      <c r="A72" s="3">
        <v>70</v>
      </c>
      <c r="B72" s="27"/>
      <c r="C72" s="29"/>
      <c r="D72" s="30"/>
      <c r="E72" s="31"/>
      <c r="F72" s="31"/>
      <c r="G72" s="31">
        <f t="shared" si="3"/>
        <v>0</v>
      </c>
      <c r="H72" s="31" t="str">
        <f t="shared" si="4"/>
        <v>ครบ</v>
      </c>
      <c r="I72" s="31"/>
      <c r="J72" s="27" t="e">
        <f>VLOOKUP(I72,Sheet2!$B$1:$C$62,2,FALSE)</f>
        <v>#N/A</v>
      </c>
      <c r="K72" s="27" t="e">
        <f>VLOOKUP(J72,Sheet2!$C$1:$D$61,2,FALSE)</f>
        <v>#N/A</v>
      </c>
      <c r="L72" s="31"/>
      <c r="M72" s="27"/>
      <c r="N72" s="27"/>
      <c r="O72" s="27"/>
      <c r="P72" s="28"/>
      <c r="Q72" s="5" t="str">
        <f t="shared" si="5"/>
        <v>ทันกำหนด</v>
      </c>
      <c r="R72" s="6"/>
      <c r="S72" s="7"/>
    </row>
    <row r="73" spans="1:19" ht="27.75" customHeight="1">
      <c r="A73" s="3">
        <v>71</v>
      </c>
      <c r="B73" s="27"/>
      <c r="C73" s="29"/>
      <c r="D73" s="30"/>
      <c r="E73" s="31"/>
      <c r="F73" s="31"/>
      <c r="G73" s="31">
        <f t="shared" si="3"/>
        <v>0</v>
      </c>
      <c r="H73" s="31" t="str">
        <f t="shared" si="4"/>
        <v>ครบ</v>
      </c>
      <c r="I73" s="31"/>
      <c r="J73" s="27" t="e">
        <f>VLOOKUP(I73,Sheet2!$B$1:$C$62,2,FALSE)</f>
        <v>#N/A</v>
      </c>
      <c r="K73" s="27" t="e">
        <f>VLOOKUP(J73,Sheet2!$C$1:$D$61,2,FALSE)</f>
        <v>#N/A</v>
      </c>
      <c r="L73" s="31"/>
      <c r="M73" s="27"/>
      <c r="N73" s="27"/>
      <c r="O73" s="27"/>
      <c r="P73" s="28"/>
      <c r="Q73" s="5" t="str">
        <f t="shared" si="5"/>
        <v>ทันกำหนด</v>
      </c>
      <c r="R73" s="6"/>
      <c r="S73" s="7"/>
    </row>
    <row r="74" spans="1:19" ht="27.75" customHeight="1">
      <c r="A74" s="3">
        <v>72</v>
      </c>
      <c r="B74" s="27"/>
      <c r="C74" s="29"/>
      <c r="D74" s="30"/>
      <c r="E74" s="31"/>
      <c r="F74" s="31"/>
      <c r="G74" s="31">
        <f t="shared" si="3"/>
        <v>0</v>
      </c>
      <c r="H74" s="31" t="str">
        <f t="shared" si="4"/>
        <v>ครบ</v>
      </c>
      <c r="I74" s="31"/>
      <c r="J74" s="27" t="e">
        <f>VLOOKUP(I74,Sheet2!$B$1:$C$62,2,FALSE)</f>
        <v>#N/A</v>
      </c>
      <c r="K74" s="27" t="e">
        <f>VLOOKUP(J74,Sheet2!$C$1:$D$61,2,FALSE)</f>
        <v>#N/A</v>
      </c>
      <c r="L74" s="31"/>
      <c r="M74" s="27"/>
      <c r="N74" s="27"/>
      <c r="O74" s="27"/>
      <c r="P74" s="28"/>
      <c r="Q74" s="5" t="str">
        <f t="shared" si="5"/>
        <v>ทันกำหนด</v>
      </c>
      <c r="R74" s="6"/>
      <c r="S74" s="7"/>
    </row>
    <row r="75" spans="1:19" ht="27.75" customHeight="1">
      <c r="A75" s="3">
        <v>73</v>
      </c>
      <c r="B75" s="27"/>
      <c r="C75" s="29"/>
      <c r="D75" s="30"/>
      <c r="E75" s="31"/>
      <c r="F75" s="31"/>
      <c r="G75" s="31">
        <f t="shared" si="3"/>
        <v>0</v>
      </c>
      <c r="H75" s="31" t="str">
        <f t="shared" si="4"/>
        <v>ครบ</v>
      </c>
      <c r="I75" s="31"/>
      <c r="J75" s="27" t="e">
        <f>VLOOKUP(I75,Sheet2!$B$1:$C$62,2,FALSE)</f>
        <v>#N/A</v>
      </c>
      <c r="K75" s="27" t="e">
        <f>VLOOKUP(J75,Sheet2!$C$1:$D$61,2,FALSE)</f>
        <v>#N/A</v>
      </c>
      <c r="L75" s="31"/>
      <c r="M75" s="27"/>
      <c r="N75" s="27"/>
      <c r="O75" s="27"/>
      <c r="P75" s="28"/>
      <c r="Q75" s="5" t="str">
        <f t="shared" si="5"/>
        <v>ทันกำหนด</v>
      </c>
      <c r="R75" s="6"/>
      <c r="S75" s="7"/>
    </row>
    <row r="76" spans="1:19" ht="27.75" customHeight="1">
      <c r="A76" s="3">
        <v>74</v>
      </c>
      <c r="B76" s="27"/>
      <c r="C76" s="29"/>
      <c r="D76" s="30"/>
      <c r="E76" s="31"/>
      <c r="F76" s="31"/>
      <c r="G76" s="31">
        <f t="shared" si="3"/>
        <v>0</v>
      </c>
      <c r="H76" s="31" t="str">
        <f t="shared" si="4"/>
        <v>ครบ</v>
      </c>
      <c r="I76" s="31"/>
      <c r="J76" s="27" t="e">
        <f>VLOOKUP(I76,Sheet2!$B$1:$C$62,2,FALSE)</f>
        <v>#N/A</v>
      </c>
      <c r="K76" s="27" t="e">
        <f>VLOOKUP(J76,Sheet2!$C$1:$D$61,2,FALSE)</f>
        <v>#N/A</v>
      </c>
      <c r="L76" s="31"/>
      <c r="M76" s="27"/>
      <c r="N76" s="27"/>
      <c r="O76" s="27"/>
      <c r="P76" s="28"/>
      <c r="Q76" s="5" t="str">
        <f t="shared" si="5"/>
        <v>ทันกำหนด</v>
      </c>
      <c r="R76" s="6"/>
      <c r="S76" s="7"/>
    </row>
    <row r="77" spans="1:19" ht="27.75" customHeight="1">
      <c r="A77" s="3">
        <v>75</v>
      </c>
      <c r="B77" s="27"/>
      <c r="C77" s="29"/>
      <c r="D77" s="30"/>
      <c r="E77" s="31"/>
      <c r="F77" s="31"/>
      <c r="G77" s="31">
        <f t="shared" si="3"/>
        <v>0</v>
      </c>
      <c r="H77" s="31" t="str">
        <f t="shared" si="4"/>
        <v>ครบ</v>
      </c>
      <c r="I77" s="31"/>
      <c r="J77" s="27" t="e">
        <f>VLOOKUP(I77,Sheet2!$B$1:$C$62,2,FALSE)</f>
        <v>#N/A</v>
      </c>
      <c r="K77" s="27" t="e">
        <f>VLOOKUP(J77,Sheet2!$C$1:$D$61,2,FALSE)</f>
        <v>#N/A</v>
      </c>
      <c r="L77" s="31"/>
      <c r="M77" s="27"/>
      <c r="N77" s="27"/>
      <c r="O77" s="27"/>
      <c r="P77" s="28"/>
      <c r="Q77" s="5" t="str">
        <f t="shared" si="5"/>
        <v>ทันกำหนด</v>
      </c>
      <c r="R77" s="6"/>
      <c r="S77" s="7"/>
    </row>
    <row r="78" spans="1:19" ht="27.75" customHeight="1">
      <c r="A78" s="3">
        <v>76</v>
      </c>
      <c r="B78" s="27"/>
      <c r="C78" s="29"/>
      <c r="D78" s="30"/>
      <c r="E78" s="31"/>
      <c r="F78" s="31"/>
      <c r="G78" s="31">
        <f t="shared" si="3"/>
        <v>0</v>
      </c>
      <c r="H78" s="31" t="str">
        <f t="shared" si="4"/>
        <v>ครบ</v>
      </c>
      <c r="I78" s="31"/>
      <c r="J78" s="27" t="e">
        <f>VLOOKUP(I78,Sheet2!$B$1:$C$62,2,FALSE)</f>
        <v>#N/A</v>
      </c>
      <c r="K78" s="27" t="e">
        <f>VLOOKUP(J78,Sheet2!$C$1:$D$61,2,FALSE)</f>
        <v>#N/A</v>
      </c>
      <c r="L78" s="31"/>
      <c r="M78" s="27"/>
      <c r="N78" s="27"/>
      <c r="O78" s="27"/>
      <c r="P78" s="28"/>
      <c r="Q78" s="5" t="str">
        <f t="shared" si="5"/>
        <v>ทันกำหนด</v>
      </c>
      <c r="R78" s="6"/>
      <c r="S78" s="7"/>
    </row>
    <row r="79" spans="1:19" ht="27.75" customHeight="1">
      <c r="A79" s="3">
        <v>77</v>
      </c>
      <c r="B79" s="27"/>
      <c r="C79" s="29"/>
      <c r="D79" s="30"/>
      <c r="E79" s="31"/>
      <c r="F79" s="31"/>
      <c r="G79" s="31">
        <f t="shared" si="3"/>
        <v>0</v>
      </c>
      <c r="H79" s="31" t="str">
        <f t="shared" si="4"/>
        <v>ครบ</v>
      </c>
      <c r="I79" s="31"/>
      <c r="J79" s="27" t="e">
        <f>VLOOKUP(I79,Sheet2!$B$1:$C$62,2,FALSE)</f>
        <v>#N/A</v>
      </c>
      <c r="K79" s="27" t="e">
        <f>VLOOKUP(J79,Sheet2!$C$1:$D$61,2,FALSE)</f>
        <v>#N/A</v>
      </c>
      <c r="L79" s="31"/>
      <c r="M79" s="27"/>
      <c r="N79" s="27"/>
      <c r="O79" s="27"/>
      <c r="P79" s="28"/>
      <c r="Q79" s="5" t="str">
        <f t="shared" si="5"/>
        <v>ทันกำหนด</v>
      </c>
      <c r="R79" s="6"/>
      <c r="S79" s="7"/>
    </row>
    <row r="80" spans="1:19" ht="27.75" customHeight="1">
      <c r="A80" s="3">
        <v>78</v>
      </c>
      <c r="B80" s="27"/>
      <c r="C80" s="29"/>
      <c r="D80" s="30"/>
      <c r="E80" s="31"/>
      <c r="F80" s="31"/>
      <c r="G80" s="31">
        <f t="shared" si="3"/>
        <v>0</v>
      </c>
      <c r="H80" s="31" t="str">
        <f t="shared" si="4"/>
        <v>ครบ</v>
      </c>
      <c r="I80" s="31"/>
      <c r="J80" s="27" t="e">
        <f>VLOOKUP(I80,Sheet2!$B$1:$C$62,2,FALSE)</f>
        <v>#N/A</v>
      </c>
      <c r="K80" s="27" t="e">
        <f>VLOOKUP(J80,Sheet2!$C$1:$D$61,2,FALSE)</f>
        <v>#N/A</v>
      </c>
      <c r="L80" s="31"/>
      <c r="M80" s="27"/>
      <c r="N80" s="27"/>
      <c r="O80" s="27"/>
      <c r="P80" s="28"/>
      <c r="Q80" s="5" t="str">
        <f t="shared" si="5"/>
        <v>ทันกำหนด</v>
      </c>
      <c r="R80" s="6"/>
      <c r="S80" s="7"/>
    </row>
    <row r="81" spans="1:19" ht="27.75" customHeight="1">
      <c r="A81" s="3">
        <v>79</v>
      </c>
      <c r="B81" s="27"/>
      <c r="C81" s="29"/>
      <c r="D81" s="30"/>
      <c r="E81" s="31"/>
      <c r="F81" s="31"/>
      <c r="G81" s="31">
        <f t="shared" si="3"/>
        <v>0</v>
      </c>
      <c r="H81" s="31" t="str">
        <f t="shared" si="4"/>
        <v>ครบ</v>
      </c>
      <c r="I81" s="31"/>
      <c r="J81" s="27" t="e">
        <f>VLOOKUP(I81,Sheet2!$B$1:$C$62,2,FALSE)</f>
        <v>#N/A</v>
      </c>
      <c r="K81" s="27" t="e">
        <f>VLOOKUP(J81,Sheet2!$C$1:$D$61,2,FALSE)</f>
        <v>#N/A</v>
      </c>
      <c r="L81" s="31"/>
      <c r="M81" s="27"/>
      <c r="N81" s="27"/>
      <c r="O81" s="27"/>
      <c r="P81" s="28"/>
      <c r="Q81" s="5" t="str">
        <f t="shared" si="5"/>
        <v>ทันกำหนด</v>
      </c>
      <c r="R81" s="6"/>
      <c r="S81" s="7"/>
    </row>
    <row r="82" spans="1:19" ht="27.75" customHeight="1">
      <c r="A82" s="3">
        <v>80</v>
      </c>
      <c r="B82" s="27"/>
      <c r="C82" s="29"/>
      <c r="D82" s="30"/>
      <c r="E82" s="31"/>
      <c r="F82" s="31"/>
      <c r="G82" s="31">
        <f t="shared" si="3"/>
        <v>0</v>
      </c>
      <c r="H82" s="31" t="str">
        <f t="shared" si="4"/>
        <v>ครบ</v>
      </c>
      <c r="I82" s="31"/>
      <c r="J82" s="27" t="e">
        <f>VLOOKUP(I82,Sheet2!$B$1:$C$62,2,FALSE)</f>
        <v>#N/A</v>
      </c>
      <c r="K82" s="27" t="e">
        <f>VLOOKUP(J82,Sheet2!$C$1:$D$61,2,FALSE)</f>
        <v>#N/A</v>
      </c>
      <c r="L82" s="31"/>
      <c r="M82" s="27"/>
      <c r="N82" s="27"/>
      <c r="O82" s="27"/>
      <c r="P82" s="28"/>
      <c r="Q82" s="5" t="str">
        <f t="shared" si="5"/>
        <v>ทันกำหนด</v>
      </c>
      <c r="R82" s="6"/>
      <c r="S82" s="7"/>
    </row>
    <row r="83" spans="1:19" ht="27.75" customHeight="1">
      <c r="A83" s="3">
        <v>81</v>
      </c>
      <c r="B83" s="27"/>
      <c r="C83" s="29"/>
      <c r="D83" s="30"/>
      <c r="E83" s="31"/>
      <c r="F83" s="31"/>
      <c r="G83" s="31">
        <f t="shared" si="3"/>
        <v>0</v>
      </c>
      <c r="H83" s="31" t="str">
        <f t="shared" si="4"/>
        <v>ครบ</v>
      </c>
      <c r="I83" s="31"/>
      <c r="J83" s="27" t="e">
        <f>VLOOKUP(I83,Sheet2!$B$1:$C$62,2,FALSE)</f>
        <v>#N/A</v>
      </c>
      <c r="K83" s="27" t="e">
        <f>VLOOKUP(J83,Sheet2!$C$1:$D$61,2,FALSE)</f>
        <v>#N/A</v>
      </c>
      <c r="L83" s="31"/>
      <c r="M83" s="27"/>
      <c r="N83" s="27"/>
      <c r="O83" s="27"/>
      <c r="P83" s="28"/>
      <c r="Q83" s="5" t="str">
        <f t="shared" si="5"/>
        <v>ทันกำหนด</v>
      </c>
      <c r="R83" s="6"/>
      <c r="S83" s="7"/>
    </row>
    <row r="84" spans="1:19" ht="27.75" customHeight="1">
      <c r="A84" s="3">
        <v>82</v>
      </c>
      <c r="B84" s="27"/>
      <c r="C84" s="29"/>
      <c r="D84" s="30"/>
      <c r="E84" s="31"/>
      <c r="F84" s="31"/>
      <c r="G84" s="31">
        <f t="shared" si="3"/>
        <v>0</v>
      </c>
      <c r="H84" s="31" t="str">
        <f t="shared" si="4"/>
        <v>ครบ</v>
      </c>
      <c r="I84" s="31"/>
      <c r="J84" s="27" t="e">
        <f>VLOOKUP(I84,Sheet2!$B$1:$C$62,2,FALSE)</f>
        <v>#N/A</v>
      </c>
      <c r="K84" s="27" t="e">
        <f>VLOOKUP(J84,Sheet2!$C$1:$D$61,2,FALSE)</f>
        <v>#N/A</v>
      </c>
      <c r="L84" s="31"/>
      <c r="M84" s="27"/>
      <c r="N84" s="27"/>
      <c r="O84" s="27"/>
      <c r="P84" s="28"/>
      <c r="Q84" s="5" t="str">
        <f t="shared" si="5"/>
        <v>ทันกำหนด</v>
      </c>
      <c r="R84" s="6"/>
      <c r="S84" s="7"/>
    </row>
    <row r="85" spans="1:19" ht="27.75" customHeight="1">
      <c r="A85" s="3">
        <v>83</v>
      </c>
      <c r="B85" s="27"/>
      <c r="C85" s="29"/>
      <c r="D85" s="30"/>
      <c r="E85" s="31"/>
      <c r="F85" s="31"/>
      <c r="G85" s="31">
        <f t="shared" si="3"/>
        <v>0</v>
      </c>
      <c r="H85" s="31" t="str">
        <f t="shared" si="4"/>
        <v>ครบ</v>
      </c>
      <c r="I85" s="31"/>
      <c r="J85" s="27" t="e">
        <f>VLOOKUP(I85,Sheet2!$B$1:$C$62,2,FALSE)</f>
        <v>#N/A</v>
      </c>
      <c r="K85" s="27" t="e">
        <f>VLOOKUP(J85,Sheet2!$C$1:$D$61,2,FALSE)</f>
        <v>#N/A</v>
      </c>
      <c r="L85" s="31"/>
      <c r="M85" s="27"/>
      <c r="N85" s="27"/>
      <c r="O85" s="27"/>
      <c r="P85" s="28"/>
      <c r="Q85" s="5" t="str">
        <f t="shared" si="5"/>
        <v>ทันกำหนด</v>
      </c>
      <c r="R85" s="6"/>
      <c r="S85" s="7"/>
    </row>
    <row r="86" spans="1:19" ht="27.75" customHeight="1">
      <c r="A86" s="3">
        <v>84</v>
      </c>
      <c r="B86" s="27"/>
      <c r="C86" s="29"/>
      <c r="D86" s="30"/>
      <c r="E86" s="31"/>
      <c r="F86" s="31"/>
      <c r="G86" s="31">
        <f t="shared" si="3"/>
        <v>0</v>
      </c>
      <c r="H86" s="31" t="str">
        <f t="shared" si="4"/>
        <v>ครบ</v>
      </c>
      <c r="I86" s="31"/>
      <c r="J86" s="27" t="e">
        <f>VLOOKUP(I86,Sheet2!$B$1:$C$62,2,FALSE)</f>
        <v>#N/A</v>
      </c>
      <c r="K86" s="27" t="e">
        <f>VLOOKUP(J86,Sheet2!$C$1:$D$61,2,FALSE)</f>
        <v>#N/A</v>
      </c>
      <c r="L86" s="31"/>
      <c r="M86" s="27"/>
      <c r="N86" s="27"/>
      <c r="O86" s="27"/>
      <c r="P86" s="28"/>
      <c r="Q86" s="5" t="str">
        <f t="shared" si="5"/>
        <v>ทันกำหนด</v>
      </c>
      <c r="R86" s="6">
        <v>4</v>
      </c>
      <c r="S86" s="7"/>
    </row>
    <row r="87" spans="1:19" ht="27.75" customHeight="1">
      <c r="A87" s="3">
        <v>85</v>
      </c>
      <c r="B87" s="27"/>
      <c r="C87" s="29"/>
      <c r="D87" s="30"/>
      <c r="E87" s="31"/>
      <c r="F87" s="31"/>
      <c r="G87" s="31">
        <f t="shared" si="3"/>
        <v>0</v>
      </c>
      <c r="H87" s="31" t="str">
        <f t="shared" si="4"/>
        <v>ครบ</v>
      </c>
      <c r="I87" s="31"/>
      <c r="J87" s="27" t="e">
        <f>VLOOKUP(I87,Sheet2!$B$1:$C$62,2,FALSE)</f>
        <v>#N/A</v>
      </c>
      <c r="K87" s="27" t="e">
        <f>VLOOKUP(J87,Sheet2!$C$1:$D$61,2,FALSE)</f>
        <v>#N/A</v>
      </c>
      <c r="L87" s="31"/>
      <c r="M87" s="27"/>
      <c r="N87" s="27"/>
      <c r="O87" s="27"/>
      <c r="P87" s="28"/>
      <c r="Q87" s="5" t="str">
        <f t="shared" si="5"/>
        <v>ทันกำหนด</v>
      </c>
      <c r="R87" s="6"/>
      <c r="S87" s="7"/>
    </row>
    <row r="88" spans="1:19" ht="27.75" customHeight="1">
      <c r="A88" s="3">
        <v>86</v>
      </c>
      <c r="B88" s="27"/>
      <c r="C88" s="29"/>
      <c r="D88" s="30"/>
      <c r="E88" s="31"/>
      <c r="F88" s="31"/>
      <c r="G88" s="31">
        <f t="shared" si="3"/>
        <v>0</v>
      </c>
      <c r="H88" s="31" t="str">
        <f t="shared" si="4"/>
        <v>ครบ</v>
      </c>
      <c r="I88" s="31"/>
      <c r="J88" s="27" t="e">
        <f>VLOOKUP(I88,Sheet2!$B$1:$C$62,2,FALSE)</f>
        <v>#N/A</v>
      </c>
      <c r="K88" s="27" t="e">
        <f>VLOOKUP(J88,Sheet2!$C$1:$D$61,2,FALSE)</f>
        <v>#N/A</v>
      </c>
      <c r="L88" s="31"/>
      <c r="M88" s="27"/>
      <c r="N88" s="27"/>
      <c r="O88" s="27"/>
      <c r="P88" s="28"/>
      <c r="Q88" s="5" t="str">
        <f t="shared" si="5"/>
        <v>ทันกำหนด</v>
      </c>
      <c r="R88" s="6"/>
      <c r="S88" s="7"/>
    </row>
    <row r="89" spans="1:19" ht="27.75" customHeight="1">
      <c r="A89" s="3">
        <v>87</v>
      </c>
      <c r="B89" s="27"/>
      <c r="C89" s="29"/>
      <c r="D89" s="30"/>
      <c r="E89" s="31"/>
      <c r="F89" s="31"/>
      <c r="G89" s="31">
        <f t="shared" si="3"/>
        <v>0</v>
      </c>
      <c r="H89" s="31" t="str">
        <f t="shared" si="4"/>
        <v>ครบ</v>
      </c>
      <c r="I89" s="31"/>
      <c r="J89" s="27" t="e">
        <f>VLOOKUP(I89,Sheet2!$B$1:$C$62,2,FALSE)</f>
        <v>#N/A</v>
      </c>
      <c r="K89" s="27" t="e">
        <f>VLOOKUP(J89,Sheet2!$C$1:$D$61,2,FALSE)</f>
        <v>#N/A</v>
      </c>
      <c r="L89" s="31"/>
      <c r="M89" s="27"/>
      <c r="N89" s="27"/>
      <c r="O89" s="27"/>
      <c r="P89" s="28"/>
      <c r="Q89" s="5" t="str">
        <f t="shared" si="5"/>
        <v>ทันกำหนด</v>
      </c>
      <c r="R89" s="6"/>
      <c r="S89" s="7"/>
    </row>
    <row r="90" spans="1:19" ht="27.75" customHeight="1">
      <c r="A90" s="3">
        <v>88</v>
      </c>
      <c r="B90" s="27"/>
      <c r="C90" s="29"/>
      <c r="D90" s="30"/>
      <c r="E90" s="31"/>
      <c r="F90" s="31"/>
      <c r="G90" s="31">
        <f t="shared" si="3"/>
        <v>0</v>
      </c>
      <c r="H90" s="31" t="str">
        <f t="shared" si="4"/>
        <v>ครบ</v>
      </c>
      <c r="I90" s="31"/>
      <c r="J90" s="27" t="e">
        <f>VLOOKUP(I90,Sheet2!$B$1:$C$62,2,FALSE)</f>
        <v>#N/A</v>
      </c>
      <c r="K90" s="27" t="e">
        <f>VLOOKUP(J90,Sheet2!$C$1:$D$61,2,FALSE)</f>
        <v>#N/A</v>
      </c>
      <c r="L90" s="31"/>
      <c r="M90" s="27"/>
      <c r="N90" s="27"/>
      <c r="O90" s="27"/>
      <c r="P90" s="28"/>
      <c r="Q90" s="5" t="str">
        <f t="shared" si="5"/>
        <v>ทันกำหนด</v>
      </c>
      <c r="R90" s="6"/>
      <c r="S90" s="7"/>
    </row>
    <row r="91" spans="1:19" ht="27.75" customHeight="1">
      <c r="A91" s="3">
        <v>89</v>
      </c>
      <c r="B91" s="27"/>
      <c r="C91" s="29"/>
      <c r="D91" s="30"/>
      <c r="E91" s="31"/>
      <c r="F91" s="31"/>
      <c r="G91" s="31">
        <f t="shared" si="3"/>
        <v>0</v>
      </c>
      <c r="H91" s="31" t="str">
        <f t="shared" si="4"/>
        <v>ครบ</v>
      </c>
      <c r="I91" s="31"/>
      <c r="J91" s="27" t="e">
        <f>VLOOKUP(I91,Sheet2!$B$1:$C$62,2,FALSE)</f>
        <v>#N/A</v>
      </c>
      <c r="K91" s="27" t="e">
        <f>VLOOKUP(J91,Sheet2!$C$1:$D$61,2,FALSE)</f>
        <v>#N/A</v>
      </c>
      <c r="L91" s="31"/>
      <c r="M91" s="27"/>
      <c r="N91" s="27"/>
      <c r="O91" s="27"/>
      <c r="P91" s="28"/>
      <c r="Q91" s="5" t="str">
        <f t="shared" si="5"/>
        <v>ทันกำหนด</v>
      </c>
      <c r="R91" s="6"/>
      <c r="S91" s="7"/>
    </row>
    <row r="92" spans="1:19" ht="27.75" customHeight="1">
      <c r="A92" s="3">
        <v>90</v>
      </c>
      <c r="B92" s="27"/>
      <c r="C92" s="29"/>
      <c r="D92" s="30"/>
      <c r="E92" s="31"/>
      <c r="F92" s="31"/>
      <c r="G92" s="31">
        <f t="shared" si="3"/>
        <v>0</v>
      </c>
      <c r="H92" s="31" t="str">
        <f t="shared" si="4"/>
        <v>ครบ</v>
      </c>
      <c r="I92" s="31"/>
      <c r="J92" s="27" t="e">
        <f>VLOOKUP(I92,Sheet2!$B$1:$C$62,2,FALSE)</f>
        <v>#N/A</v>
      </c>
      <c r="K92" s="27" t="e">
        <f>VLOOKUP(J92,Sheet2!$C$1:$D$61,2,FALSE)</f>
        <v>#N/A</v>
      </c>
      <c r="L92" s="31"/>
      <c r="M92" s="27"/>
      <c r="N92" s="27"/>
      <c r="O92" s="27"/>
      <c r="P92" s="28"/>
      <c r="Q92" s="5" t="str">
        <f t="shared" si="5"/>
        <v>ทันกำหนด</v>
      </c>
      <c r="R92" s="6"/>
      <c r="S92" s="7"/>
    </row>
    <row r="93" spans="1:19" ht="27.75" customHeight="1">
      <c r="A93" s="3">
        <v>91</v>
      </c>
      <c r="B93" s="27"/>
      <c r="C93" s="29"/>
      <c r="D93" s="30"/>
      <c r="E93" s="31"/>
      <c r="F93" s="31"/>
      <c r="G93" s="31">
        <f t="shared" si="3"/>
        <v>0</v>
      </c>
      <c r="H93" s="31" t="str">
        <f t="shared" si="4"/>
        <v>ครบ</v>
      </c>
      <c r="I93" s="31"/>
      <c r="J93" s="27" t="e">
        <f>VLOOKUP(I93,Sheet2!$B$1:$C$62,2,FALSE)</f>
        <v>#N/A</v>
      </c>
      <c r="K93" s="27" t="e">
        <f>VLOOKUP(J93,Sheet2!$C$1:$D$61,2,FALSE)</f>
        <v>#N/A</v>
      </c>
      <c r="L93" s="31"/>
      <c r="M93" s="27"/>
      <c r="N93" s="27"/>
      <c r="O93" s="27"/>
      <c r="P93" s="28"/>
      <c r="Q93" s="5" t="str">
        <f t="shared" si="5"/>
        <v>ทันกำหนด</v>
      </c>
      <c r="R93" s="6"/>
      <c r="S93" s="7"/>
    </row>
    <row r="94" spans="1:19" ht="27.75" customHeight="1">
      <c r="A94" s="3">
        <v>92</v>
      </c>
      <c r="B94" s="27"/>
      <c r="C94" s="29"/>
      <c r="D94" s="30"/>
      <c r="E94" s="31"/>
      <c r="F94" s="31"/>
      <c r="G94" s="31">
        <f t="shared" si="3"/>
        <v>0</v>
      </c>
      <c r="H94" s="31" t="str">
        <f t="shared" si="4"/>
        <v>ครบ</v>
      </c>
      <c r="I94" s="31"/>
      <c r="J94" s="27" t="e">
        <f>VLOOKUP(I94,Sheet2!$B$1:$C$62,2,FALSE)</f>
        <v>#N/A</v>
      </c>
      <c r="K94" s="27" t="e">
        <f>VLOOKUP(J94,Sheet2!$C$1:$D$61,2,FALSE)</f>
        <v>#N/A</v>
      </c>
      <c r="L94" s="31"/>
      <c r="M94" s="27"/>
      <c r="N94" s="27"/>
      <c r="O94" s="27"/>
      <c r="P94" s="28"/>
      <c r="Q94" s="5" t="str">
        <f t="shared" si="5"/>
        <v>ทันกำหนด</v>
      </c>
      <c r="R94" s="6"/>
      <c r="S94" s="7"/>
    </row>
    <row r="95" spans="1:19" ht="27.75" customHeight="1">
      <c r="A95" s="3">
        <v>93</v>
      </c>
      <c r="B95" s="27"/>
      <c r="C95" s="29"/>
      <c r="D95" s="30"/>
      <c r="E95" s="31"/>
      <c r="F95" s="31"/>
      <c r="G95" s="31">
        <f t="shared" si="3"/>
        <v>0</v>
      </c>
      <c r="H95" s="31" t="str">
        <f t="shared" si="4"/>
        <v>ครบ</v>
      </c>
      <c r="I95" s="31"/>
      <c r="J95" s="27" t="e">
        <f>VLOOKUP(I95,Sheet2!$B$1:$C$62,2,FALSE)</f>
        <v>#N/A</v>
      </c>
      <c r="K95" s="27" t="e">
        <f>VLOOKUP(J95,Sheet2!$C$1:$D$61,2,FALSE)</f>
        <v>#N/A</v>
      </c>
      <c r="L95" s="31"/>
      <c r="M95" s="27"/>
      <c r="N95" s="27"/>
      <c r="O95" s="27"/>
      <c r="P95" s="28"/>
      <c r="Q95" s="5" t="str">
        <f t="shared" si="5"/>
        <v>ทันกำหนด</v>
      </c>
      <c r="R95" s="6"/>
      <c r="S95" s="7"/>
    </row>
    <row r="96" spans="1:19" ht="27.75" customHeight="1">
      <c r="A96" s="3">
        <v>94</v>
      </c>
      <c r="B96" s="27"/>
      <c r="C96" s="29"/>
      <c r="D96" s="30"/>
      <c r="E96" s="31"/>
      <c r="F96" s="31"/>
      <c r="G96" s="31">
        <f t="shared" si="3"/>
        <v>0</v>
      </c>
      <c r="H96" s="31" t="str">
        <f t="shared" si="4"/>
        <v>ครบ</v>
      </c>
      <c r="I96" s="31"/>
      <c r="J96" s="27" t="e">
        <f>VLOOKUP(I96,Sheet2!$B$1:$C$62,2,FALSE)</f>
        <v>#N/A</v>
      </c>
      <c r="K96" s="27" t="e">
        <f>VLOOKUP(J96,Sheet2!$C$1:$D$61,2,FALSE)</f>
        <v>#N/A</v>
      </c>
      <c r="L96" s="31"/>
      <c r="M96" s="27"/>
      <c r="N96" s="27"/>
      <c r="O96" s="27"/>
      <c r="P96" s="28"/>
      <c r="Q96" s="5" t="str">
        <f t="shared" si="5"/>
        <v>ทันกำหนด</v>
      </c>
      <c r="R96" s="6"/>
      <c r="S96" s="7"/>
    </row>
    <row r="97" spans="1:19" ht="27.75" customHeight="1">
      <c r="A97" s="3">
        <v>95</v>
      </c>
      <c r="B97" s="27"/>
      <c r="C97" s="29"/>
      <c r="D97" s="30"/>
      <c r="E97" s="31"/>
      <c r="F97" s="31"/>
      <c r="G97" s="31">
        <f t="shared" si="3"/>
        <v>0</v>
      </c>
      <c r="H97" s="31" t="str">
        <f t="shared" si="4"/>
        <v>ครบ</v>
      </c>
      <c r="I97" s="31"/>
      <c r="J97" s="27" t="e">
        <f>VLOOKUP(I97,Sheet2!$B$1:$C$62,2,FALSE)</f>
        <v>#N/A</v>
      </c>
      <c r="K97" s="27" t="e">
        <f>VLOOKUP(J97,Sheet2!$C$1:$D$61,2,FALSE)</f>
        <v>#N/A</v>
      </c>
      <c r="L97" s="31"/>
      <c r="M97" s="27"/>
      <c r="N97" s="27"/>
      <c r="O97" s="27"/>
      <c r="P97" s="28"/>
      <c r="Q97" s="5" t="str">
        <f t="shared" si="5"/>
        <v>ทันกำหนด</v>
      </c>
      <c r="R97" s="6"/>
      <c r="S97" s="7"/>
    </row>
    <row r="98" spans="1:19" ht="27.75" customHeight="1">
      <c r="A98" s="3">
        <v>96</v>
      </c>
      <c r="B98" s="27"/>
      <c r="C98" s="29"/>
      <c r="D98" s="30"/>
      <c r="E98" s="31"/>
      <c r="F98" s="31"/>
      <c r="G98" s="31">
        <f t="shared" si="3"/>
        <v>0</v>
      </c>
      <c r="H98" s="31" t="str">
        <f t="shared" si="4"/>
        <v>ครบ</v>
      </c>
      <c r="I98" s="31"/>
      <c r="J98" s="27" t="e">
        <f>VLOOKUP(I98,Sheet2!$B$1:$C$62,2,FALSE)</f>
        <v>#N/A</v>
      </c>
      <c r="K98" s="27" t="e">
        <f>VLOOKUP(J98,Sheet2!$C$1:$D$61,2,FALSE)</f>
        <v>#N/A</v>
      </c>
      <c r="L98" s="31"/>
      <c r="M98" s="27"/>
      <c r="N98" s="27"/>
      <c r="O98" s="27"/>
      <c r="P98" s="28"/>
      <c r="Q98" s="5" t="str">
        <f t="shared" si="5"/>
        <v>ทันกำหนด</v>
      </c>
      <c r="R98" s="6"/>
      <c r="S98" s="7"/>
    </row>
    <row r="99" spans="1:19" ht="27.75" customHeight="1">
      <c r="A99" s="3">
        <v>97</v>
      </c>
      <c r="B99" s="27"/>
      <c r="C99" s="29"/>
      <c r="D99" s="30"/>
      <c r="E99" s="31"/>
      <c r="F99" s="31"/>
      <c r="G99" s="31">
        <f t="shared" si="3"/>
        <v>0</v>
      </c>
      <c r="H99" s="31" t="str">
        <f t="shared" si="4"/>
        <v>ครบ</v>
      </c>
      <c r="I99" s="31"/>
      <c r="J99" s="27" t="e">
        <f>VLOOKUP(I99,Sheet2!$B$1:$C$62,2,FALSE)</f>
        <v>#N/A</v>
      </c>
      <c r="K99" s="27" t="e">
        <f>VLOOKUP(J99,Sheet2!$C$1:$D$61,2,FALSE)</f>
        <v>#N/A</v>
      </c>
      <c r="L99" s="31"/>
      <c r="M99" s="27"/>
      <c r="N99" s="27"/>
      <c r="O99" s="27"/>
      <c r="P99" s="28"/>
      <c r="Q99" s="5" t="str">
        <f t="shared" si="5"/>
        <v>ทันกำหนด</v>
      </c>
      <c r="R99" s="6"/>
      <c r="S99" s="7"/>
    </row>
    <row r="100" spans="1:19" ht="27.75" customHeight="1">
      <c r="A100" s="3">
        <v>98</v>
      </c>
      <c r="B100" s="27"/>
      <c r="C100" s="29"/>
      <c r="D100" s="30"/>
      <c r="E100" s="31"/>
      <c r="F100" s="31"/>
      <c r="G100" s="31">
        <f t="shared" si="3"/>
        <v>0</v>
      </c>
      <c r="H100" s="31" t="str">
        <f t="shared" si="4"/>
        <v>ครบ</v>
      </c>
      <c r="I100" s="31"/>
      <c r="J100" s="27" t="e">
        <f>VLOOKUP(I100,Sheet2!$B$1:$C$62,2,FALSE)</f>
        <v>#N/A</v>
      </c>
      <c r="K100" s="27" t="e">
        <f>VLOOKUP(J100,Sheet2!$C$1:$D$61,2,FALSE)</f>
        <v>#N/A</v>
      </c>
      <c r="L100" s="31"/>
      <c r="M100" s="27"/>
      <c r="N100" s="27"/>
      <c r="O100" s="27"/>
      <c r="P100" s="28"/>
      <c r="Q100" s="5" t="str">
        <f t="shared" si="5"/>
        <v>ทันกำหนด</v>
      </c>
      <c r="R100" s="6"/>
      <c r="S100" s="7"/>
    </row>
    <row r="101" spans="1:19" ht="27.75" customHeight="1">
      <c r="A101" s="3">
        <v>99</v>
      </c>
      <c r="B101" s="27"/>
      <c r="C101" s="29"/>
      <c r="D101" s="30"/>
      <c r="E101" s="31"/>
      <c r="F101" s="31"/>
      <c r="G101" s="31">
        <f t="shared" si="3"/>
        <v>0</v>
      </c>
      <c r="H101" s="31" t="str">
        <f t="shared" si="4"/>
        <v>ครบ</v>
      </c>
      <c r="I101" s="31"/>
      <c r="J101" s="27" t="e">
        <f>VLOOKUP(I101,Sheet2!$B$1:$C$62,2,FALSE)</f>
        <v>#N/A</v>
      </c>
      <c r="K101" s="27" t="e">
        <f>VLOOKUP(J101,Sheet2!$C$1:$D$61,2,FALSE)</f>
        <v>#N/A</v>
      </c>
      <c r="L101" s="31"/>
      <c r="M101" s="27"/>
      <c r="N101" s="27"/>
      <c r="O101" s="27"/>
      <c r="P101" s="28"/>
      <c r="Q101" s="5" t="str">
        <f t="shared" si="5"/>
        <v>ทันกำหนด</v>
      </c>
      <c r="R101" s="6"/>
      <c r="S101" s="7"/>
    </row>
    <row r="102" spans="1:19" ht="27.75" customHeight="1">
      <c r="A102" s="3">
        <v>100</v>
      </c>
      <c r="B102" s="27"/>
      <c r="C102" s="29"/>
      <c r="D102" s="30"/>
      <c r="E102" s="31"/>
      <c r="F102" s="31"/>
      <c r="G102" s="31">
        <f t="shared" si="3"/>
        <v>0</v>
      </c>
      <c r="H102" s="31" t="str">
        <f t="shared" si="4"/>
        <v>ครบ</v>
      </c>
      <c r="I102" s="31"/>
      <c r="J102" s="27" t="e">
        <f>VLOOKUP(I102,Sheet2!$B$1:$C$62,2,FALSE)</f>
        <v>#N/A</v>
      </c>
      <c r="K102" s="27" t="e">
        <f>VLOOKUP(J102,Sheet2!$C$1:$D$61,2,FALSE)</f>
        <v>#N/A</v>
      </c>
      <c r="L102" s="31"/>
      <c r="M102" s="27"/>
      <c r="N102" s="27"/>
      <c r="O102" s="27"/>
      <c r="P102" s="28"/>
      <c r="Q102" s="5" t="str">
        <f t="shared" si="5"/>
        <v>ทันกำหนด</v>
      </c>
      <c r="R102" s="6"/>
      <c r="S102" s="7"/>
    </row>
    <row r="103" spans="1:19" ht="27.75" customHeight="1">
      <c r="A103" s="3">
        <v>101</v>
      </c>
      <c r="B103" s="27"/>
      <c r="C103" s="29"/>
      <c r="D103" s="30"/>
      <c r="E103" s="31"/>
      <c r="F103" s="31"/>
      <c r="G103" s="31">
        <f t="shared" si="3"/>
        <v>0</v>
      </c>
      <c r="H103" s="31" t="str">
        <f t="shared" si="4"/>
        <v>ครบ</v>
      </c>
      <c r="I103" s="31"/>
      <c r="J103" s="27" t="e">
        <f>VLOOKUP(I103,Sheet2!$B$1:$C$62,2,FALSE)</f>
        <v>#N/A</v>
      </c>
      <c r="K103" s="27" t="e">
        <f>VLOOKUP(J103,Sheet2!$C$1:$D$61,2,FALSE)</f>
        <v>#N/A</v>
      </c>
      <c r="L103" s="31"/>
      <c r="M103" s="27"/>
      <c r="N103" s="27"/>
      <c r="O103" s="27"/>
      <c r="P103" s="28"/>
      <c r="Q103" s="5" t="str">
        <f t="shared" si="5"/>
        <v>ทันกำหนด</v>
      </c>
      <c r="R103" s="6"/>
      <c r="S103" s="7"/>
    </row>
    <row r="104" spans="1:19" ht="27.75" customHeight="1">
      <c r="A104" s="3">
        <v>102</v>
      </c>
      <c r="B104" s="27"/>
      <c r="C104" s="29"/>
      <c r="D104" s="30"/>
      <c r="E104" s="31"/>
      <c r="F104" s="31"/>
      <c r="G104" s="31">
        <f t="shared" si="3"/>
        <v>0</v>
      </c>
      <c r="H104" s="31" t="str">
        <f t="shared" si="4"/>
        <v>ครบ</v>
      </c>
      <c r="I104" s="31"/>
      <c r="J104" s="27" t="e">
        <f>VLOOKUP(I104,Sheet2!$B$1:$C$62,2,FALSE)</f>
        <v>#N/A</v>
      </c>
      <c r="K104" s="27" t="e">
        <f>VLOOKUP(J104,Sheet2!$C$1:$D$61,2,FALSE)</f>
        <v>#N/A</v>
      </c>
      <c r="L104" s="31"/>
      <c r="M104" s="27"/>
      <c r="N104" s="27"/>
      <c r="O104" s="27"/>
      <c r="P104" s="28"/>
      <c r="Q104" s="5" t="str">
        <f t="shared" si="5"/>
        <v>ทันกำหนด</v>
      </c>
      <c r="R104" s="6"/>
      <c r="S104" s="7"/>
    </row>
    <row r="105" spans="1:19" ht="27.75" customHeight="1">
      <c r="A105" s="3">
        <v>103</v>
      </c>
      <c r="B105" s="27"/>
      <c r="C105" s="29"/>
      <c r="D105" s="30"/>
      <c r="E105" s="31"/>
      <c r="F105" s="31"/>
      <c r="G105" s="31">
        <f t="shared" si="3"/>
        <v>0</v>
      </c>
      <c r="H105" s="31" t="str">
        <f t="shared" si="4"/>
        <v>ครบ</v>
      </c>
      <c r="I105" s="31"/>
      <c r="J105" s="27" t="e">
        <f>VLOOKUP(I105,Sheet2!$B$1:$C$62,2,FALSE)</f>
        <v>#N/A</v>
      </c>
      <c r="K105" s="27" t="e">
        <f>VLOOKUP(J105,Sheet2!$C$1:$D$61,2,FALSE)</f>
        <v>#N/A</v>
      </c>
      <c r="L105" s="31"/>
      <c r="M105" s="27"/>
      <c r="N105" s="27"/>
      <c r="O105" s="27"/>
      <c r="P105" s="28"/>
      <c r="Q105" s="5" t="str">
        <f t="shared" si="5"/>
        <v>ทันกำหนด</v>
      </c>
      <c r="R105" s="6"/>
      <c r="S105" s="7"/>
    </row>
    <row r="106" spans="1:19" ht="27.75" customHeight="1">
      <c r="A106" s="3">
        <v>104</v>
      </c>
      <c r="B106" s="27"/>
      <c r="C106" s="29"/>
      <c r="D106" s="30"/>
      <c r="E106" s="31"/>
      <c r="F106" s="31"/>
      <c r="G106" s="31">
        <f t="shared" si="3"/>
        <v>0</v>
      </c>
      <c r="H106" s="31" t="str">
        <f t="shared" si="4"/>
        <v>ครบ</v>
      </c>
      <c r="I106" s="31"/>
      <c r="J106" s="27" t="e">
        <f>VLOOKUP(I106,Sheet2!$B$1:$C$62,2,FALSE)</f>
        <v>#N/A</v>
      </c>
      <c r="K106" s="27" t="e">
        <f>VLOOKUP(J106,Sheet2!$C$1:$D$61,2,FALSE)</f>
        <v>#N/A</v>
      </c>
      <c r="L106" s="31"/>
      <c r="M106" s="27"/>
      <c r="N106" s="27"/>
      <c r="O106" s="27"/>
      <c r="P106" s="28"/>
      <c r="Q106" s="5" t="str">
        <f t="shared" si="5"/>
        <v>ทันกำหนด</v>
      </c>
      <c r="R106" s="6"/>
      <c r="S106" s="7"/>
    </row>
    <row r="107" spans="1:19" ht="27.75" customHeight="1">
      <c r="A107" s="3">
        <v>105</v>
      </c>
      <c r="B107" s="27"/>
      <c r="C107" s="29"/>
      <c r="D107" s="30"/>
      <c r="E107" s="31"/>
      <c r="F107" s="31"/>
      <c r="G107" s="31">
        <f t="shared" si="3"/>
        <v>0</v>
      </c>
      <c r="H107" s="31" t="str">
        <f t="shared" si="4"/>
        <v>ครบ</v>
      </c>
      <c r="I107" s="31"/>
      <c r="J107" s="27" t="e">
        <f>VLOOKUP(I107,Sheet2!$B$1:$C$62,2,FALSE)</f>
        <v>#N/A</v>
      </c>
      <c r="K107" s="27" t="e">
        <f>VLOOKUP(J107,Sheet2!$C$1:$D$61,2,FALSE)</f>
        <v>#N/A</v>
      </c>
      <c r="L107" s="31"/>
      <c r="M107" s="27"/>
      <c r="N107" s="27"/>
      <c r="O107" s="27"/>
      <c r="P107" s="28"/>
      <c r="Q107" s="5" t="str">
        <f t="shared" si="5"/>
        <v>ทันกำหนด</v>
      </c>
      <c r="R107" s="6"/>
      <c r="S107" s="7"/>
    </row>
    <row r="108" spans="1:19" ht="27.75" customHeight="1">
      <c r="A108" s="3">
        <v>106</v>
      </c>
      <c r="B108" s="27"/>
      <c r="C108" s="29"/>
      <c r="D108" s="30"/>
      <c r="E108" s="31"/>
      <c r="F108" s="31"/>
      <c r="G108" s="31">
        <f t="shared" si="3"/>
        <v>0</v>
      </c>
      <c r="H108" s="31" t="str">
        <f t="shared" si="4"/>
        <v>ครบ</v>
      </c>
      <c r="I108" s="31"/>
      <c r="J108" s="27" t="e">
        <f>VLOOKUP(I108,Sheet2!$B$1:$C$62,2,FALSE)</f>
        <v>#N/A</v>
      </c>
      <c r="K108" s="27" t="e">
        <f>VLOOKUP(J108,Sheet2!$C$1:$D$61,2,FALSE)</f>
        <v>#N/A</v>
      </c>
      <c r="L108" s="31"/>
      <c r="M108" s="27"/>
      <c r="N108" s="27"/>
      <c r="O108" s="27"/>
      <c r="P108" s="28"/>
      <c r="Q108" s="5" t="str">
        <f t="shared" si="5"/>
        <v>ทันกำหนด</v>
      </c>
      <c r="R108" s="6"/>
      <c r="S108" s="7"/>
    </row>
    <row r="109" spans="1:19" ht="27.75" customHeight="1">
      <c r="A109" s="3">
        <v>107</v>
      </c>
      <c r="B109" s="27"/>
      <c r="C109" s="29"/>
      <c r="D109" s="30"/>
      <c r="E109" s="31"/>
      <c r="F109" s="31"/>
      <c r="G109" s="31">
        <f t="shared" si="3"/>
        <v>0</v>
      </c>
      <c r="H109" s="31" t="str">
        <f t="shared" si="4"/>
        <v>ครบ</v>
      </c>
      <c r="I109" s="31"/>
      <c r="J109" s="27" t="e">
        <f>VLOOKUP(I109,Sheet2!$B$1:$C$62,2,FALSE)</f>
        <v>#N/A</v>
      </c>
      <c r="K109" s="27" t="e">
        <f>VLOOKUP(J109,Sheet2!$C$1:$D$61,2,FALSE)</f>
        <v>#N/A</v>
      </c>
      <c r="L109" s="31"/>
      <c r="M109" s="27"/>
      <c r="N109" s="27"/>
      <c r="O109" s="27"/>
      <c r="P109" s="28"/>
      <c r="Q109" s="5" t="str">
        <f t="shared" si="5"/>
        <v>ทันกำหนด</v>
      </c>
      <c r="R109" s="6"/>
      <c r="S109" s="7"/>
    </row>
    <row r="110" spans="1:19" ht="27.75" customHeight="1">
      <c r="A110" s="3">
        <v>108</v>
      </c>
      <c r="B110" s="27"/>
      <c r="C110" s="29"/>
      <c r="D110" s="30"/>
      <c r="E110" s="31"/>
      <c r="F110" s="31"/>
      <c r="G110" s="31">
        <f t="shared" si="3"/>
        <v>0</v>
      </c>
      <c r="H110" s="31" t="str">
        <f t="shared" si="4"/>
        <v>ครบ</v>
      </c>
      <c r="I110" s="31"/>
      <c r="J110" s="27" t="e">
        <f>VLOOKUP(I110,Sheet2!$B$1:$C$62,2,FALSE)</f>
        <v>#N/A</v>
      </c>
      <c r="K110" s="27" t="e">
        <f>VLOOKUP(J110,Sheet2!$C$1:$D$61,2,FALSE)</f>
        <v>#N/A</v>
      </c>
      <c r="L110" s="31"/>
      <c r="M110" s="27"/>
      <c r="N110" s="27"/>
      <c r="O110" s="27"/>
      <c r="P110" s="28"/>
      <c r="Q110" s="5" t="str">
        <f t="shared" si="5"/>
        <v>ทันกำหนด</v>
      </c>
      <c r="R110" s="6"/>
      <c r="S110" s="7"/>
    </row>
    <row r="111" spans="1:19" ht="27.75" customHeight="1">
      <c r="A111" s="3">
        <v>109</v>
      </c>
      <c r="B111" s="27"/>
      <c r="C111" s="29"/>
      <c r="D111" s="30"/>
      <c r="E111" s="31"/>
      <c r="F111" s="31"/>
      <c r="G111" s="31">
        <f t="shared" si="3"/>
        <v>0</v>
      </c>
      <c r="H111" s="31" t="str">
        <f t="shared" si="4"/>
        <v>ครบ</v>
      </c>
      <c r="I111" s="31"/>
      <c r="J111" s="27" t="e">
        <f>VLOOKUP(I111,Sheet2!$B$1:$C$62,2,FALSE)</f>
        <v>#N/A</v>
      </c>
      <c r="K111" s="27" t="e">
        <f>VLOOKUP(J111,Sheet2!$C$1:$D$61,2,FALSE)</f>
        <v>#N/A</v>
      </c>
      <c r="L111" s="31"/>
      <c r="M111" s="27"/>
      <c r="N111" s="27"/>
      <c r="O111" s="27"/>
      <c r="P111" s="28"/>
      <c r="Q111" s="5" t="str">
        <f t="shared" si="5"/>
        <v>ทันกำหนด</v>
      </c>
      <c r="R111" s="6"/>
      <c r="S111" s="7"/>
    </row>
    <row r="112" spans="1:19" ht="27.75" customHeight="1">
      <c r="A112" s="3">
        <v>110</v>
      </c>
      <c r="B112" s="27"/>
      <c r="C112" s="29"/>
      <c r="D112" s="30"/>
      <c r="E112" s="31"/>
      <c r="F112" s="31"/>
      <c r="G112" s="31">
        <f t="shared" si="3"/>
        <v>0</v>
      </c>
      <c r="H112" s="31" t="str">
        <f t="shared" si="4"/>
        <v>ครบ</v>
      </c>
      <c r="I112" s="31"/>
      <c r="J112" s="27" t="e">
        <f>VLOOKUP(I112,Sheet2!$B$1:$C$62,2,FALSE)</f>
        <v>#N/A</v>
      </c>
      <c r="K112" s="27" t="e">
        <f>VLOOKUP(J112,Sheet2!$C$1:$D$61,2,FALSE)</f>
        <v>#N/A</v>
      </c>
      <c r="L112" s="31"/>
      <c r="M112" s="27"/>
      <c r="N112" s="27"/>
      <c r="O112" s="27"/>
      <c r="P112" s="28"/>
      <c r="Q112" s="5" t="str">
        <f t="shared" si="5"/>
        <v>ทันกำหนด</v>
      </c>
      <c r="R112" s="6"/>
      <c r="S112" s="7"/>
    </row>
    <row r="113" spans="1:19" ht="27.75" customHeight="1">
      <c r="A113" s="3">
        <v>111</v>
      </c>
      <c r="B113" s="27"/>
      <c r="C113" s="29"/>
      <c r="D113" s="30"/>
      <c r="E113" s="31"/>
      <c r="F113" s="31"/>
      <c r="G113" s="31">
        <f t="shared" si="3"/>
        <v>0</v>
      </c>
      <c r="H113" s="31" t="str">
        <f t="shared" si="4"/>
        <v>ครบ</v>
      </c>
      <c r="I113" s="31"/>
      <c r="J113" s="27" t="e">
        <f>VLOOKUP(I113,Sheet2!$B$1:$C$62,2,FALSE)</f>
        <v>#N/A</v>
      </c>
      <c r="K113" s="27" t="e">
        <f>VLOOKUP(J113,Sheet2!$C$1:$D$61,2,FALSE)</f>
        <v>#N/A</v>
      </c>
      <c r="L113" s="31"/>
      <c r="M113" s="27"/>
      <c r="N113" s="27"/>
      <c r="O113" s="27"/>
      <c r="P113" s="28"/>
      <c r="Q113" s="5" t="str">
        <f t="shared" si="5"/>
        <v>ทันกำหนด</v>
      </c>
      <c r="R113" s="6"/>
      <c r="S113" s="7"/>
    </row>
    <row r="114" spans="1:19" ht="27.75" customHeight="1">
      <c r="A114" s="3">
        <v>112</v>
      </c>
      <c r="B114" s="27"/>
      <c r="C114" s="29"/>
      <c r="D114" s="30"/>
      <c r="E114" s="31"/>
      <c r="F114" s="31"/>
      <c r="G114" s="31">
        <f t="shared" si="3"/>
        <v>0</v>
      </c>
      <c r="H114" s="31" t="str">
        <f t="shared" si="4"/>
        <v>ครบ</v>
      </c>
      <c r="I114" s="31"/>
      <c r="J114" s="27" t="e">
        <f>VLOOKUP(I114,Sheet2!$B$1:$C$62,2,FALSE)</f>
        <v>#N/A</v>
      </c>
      <c r="K114" s="27" t="e">
        <f>VLOOKUP(J114,Sheet2!$C$1:$D$61,2,FALSE)</f>
        <v>#N/A</v>
      </c>
      <c r="L114" s="31"/>
      <c r="M114" s="27"/>
      <c r="N114" s="27"/>
      <c r="O114" s="27"/>
      <c r="P114" s="28"/>
      <c r="Q114" s="5" t="str">
        <f t="shared" si="5"/>
        <v>ทันกำหนด</v>
      </c>
      <c r="R114" s="6"/>
      <c r="S114" s="7"/>
    </row>
    <row r="115" spans="1:19" ht="27.75" customHeight="1">
      <c r="A115" s="3">
        <v>113</v>
      </c>
      <c r="B115" s="27"/>
      <c r="C115" s="29"/>
      <c r="D115" s="30"/>
      <c r="E115" s="31"/>
      <c r="F115" s="31"/>
      <c r="G115" s="31">
        <f t="shared" si="3"/>
        <v>0</v>
      </c>
      <c r="H115" s="31" t="str">
        <f t="shared" si="4"/>
        <v>ครบ</v>
      </c>
      <c r="I115" s="31"/>
      <c r="J115" s="27" t="e">
        <f>VLOOKUP(I115,Sheet2!$B$1:$C$62,2,FALSE)</f>
        <v>#N/A</v>
      </c>
      <c r="K115" s="27" t="e">
        <f>VLOOKUP(J115,Sheet2!$C$1:$D$61,2,FALSE)</f>
        <v>#N/A</v>
      </c>
      <c r="L115" s="31"/>
      <c r="M115" s="27"/>
      <c r="N115" s="27"/>
      <c r="O115" s="27"/>
      <c r="P115" s="28"/>
      <c r="Q115" s="5" t="str">
        <f t="shared" si="5"/>
        <v>ทันกำหนด</v>
      </c>
      <c r="R115" s="6"/>
      <c r="S115" s="7"/>
    </row>
    <row r="116" spans="1:19" ht="27.75" customHeight="1">
      <c r="A116" s="3">
        <v>114</v>
      </c>
      <c r="B116" s="27"/>
      <c r="C116" s="29"/>
      <c r="D116" s="30"/>
      <c r="E116" s="31"/>
      <c r="F116" s="31"/>
      <c r="G116" s="31">
        <f t="shared" si="3"/>
        <v>0</v>
      </c>
      <c r="H116" s="31" t="str">
        <f t="shared" si="4"/>
        <v>ครบ</v>
      </c>
      <c r="I116" s="31"/>
      <c r="J116" s="27" t="e">
        <f>VLOOKUP(I116,Sheet2!$B$1:$C$62,2,FALSE)</f>
        <v>#N/A</v>
      </c>
      <c r="K116" s="27" t="e">
        <f>VLOOKUP(J116,Sheet2!$C$1:$D$61,2,FALSE)</f>
        <v>#N/A</v>
      </c>
      <c r="L116" s="31"/>
      <c r="M116" s="27"/>
      <c r="N116" s="27"/>
      <c r="O116" s="27"/>
      <c r="P116" s="28"/>
      <c r="Q116" s="5" t="str">
        <f t="shared" si="5"/>
        <v>ทันกำหนด</v>
      </c>
      <c r="R116" s="6"/>
      <c r="S116" s="7"/>
    </row>
    <row r="117" spans="1:19" ht="27.75" customHeight="1">
      <c r="A117" s="3">
        <v>115</v>
      </c>
      <c r="B117" s="27"/>
      <c r="C117" s="29"/>
      <c r="D117" s="30"/>
      <c r="E117" s="31"/>
      <c r="F117" s="31"/>
      <c r="G117" s="31">
        <f t="shared" si="3"/>
        <v>0</v>
      </c>
      <c r="H117" s="31" t="str">
        <f t="shared" si="4"/>
        <v>ครบ</v>
      </c>
      <c r="I117" s="31"/>
      <c r="J117" s="27" t="e">
        <f>VLOOKUP(I117,Sheet2!$B$1:$C$62,2,FALSE)</f>
        <v>#N/A</v>
      </c>
      <c r="K117" s="27" t="e">
        <f>VLOOKUP(J117,Sheet2!$C$1:$D$61,2,FALSE)</f>
        <v>#N/A</v>
      </c>
      <c r="L117" s="31"/>
      <c r="M117" s="27"/>
      <c r="N117" s="27"/>
      <c r="O117" s="27"/>
      <c r="P117" s="28"/>
      <c r="Q117" s="5" t="str">
        <f t="shared" si="5"/>
        <v>ทันกำหนด</v>
      </c>
      <c r="R117" s="6"/>
      <c r="S117" s="7"/>
    </row>
    <row r="118" spans="1:19" ht="27.75" customHeight="1">
      <c r="A118" s="3">
        <v>116</v>
      </c>
      <c r="B118" s="27"/>
      <c r="C118" s="29"/>
      <c r="D118" s="30"/>
      <c r="E118" s="31"/>
      <c r="F118" s="31"/>
      <c r="G118" s="31">
        <f t="shared" si="3"/>
        <v>0</v>
      </c>
      <c r="H118" s="31" t="str">
        <f t="shared" si="4"/>
        <v>ครบ</v>
      </c>
      <c r="I118" s="31"/>
      <c r="J118" s="27" t="e">
        <f>VLOOKUP(I118,Sheet2!$B$1:$C$62,2,FALSE)</f>
        <v>#N/A</v>
      </c>
      <c r="K118" s="27" t="e">
        <f>VLOOKUP(J118,Sheet2!$C$1:$D$61,2,FALSE)</f>
        <v>#N/A</v>
      </c>
      <c r="L118" s="31"/>
      <c r="M118" s="27"/>
      <c r="N118" s="27"/>
      <c r="O118" s="27"/>
      <c r="P118" s="28"/>
      <c r="Q118" s="5" t="str">
        <f t="shared" si="5"/>
        <v>ทันกำหนด</v>
      </c>
      <c r="R118" s="6"/>
      <c r="S118" s="7"/>
    </row>
    <row r="119" spans="1:19" ht="27.75" customHeight="1">
      <c r="A119" s="3">
        <v>117</v>
      </c>
      <c r="B119" s="27"/>
      <c r="C119" s="29"/>
      <c r="D119" s="30"/>
      <c r="E119" s="31"/>
      <c r="F119" s="31"/>
      <c r="G119" s="31">
        <f t="shared" si="3"/>
        <v>0</v>
      </c>
      <c r="H119" s="31" t="str">
        <f t="shared" si="4"/>
        <v>ครบ</v>
      </c>
      <c r="I119" s="31"/>
      <c r="J119" s="27" t="e">
        <f>VLOOKUP(I119,Sheet2!$B$1:$C$62,2,FALSE)</f>
        <v>#N/A</v>
      </c>
      <c r="K119" s="27" t="e">
        <f>VLOOKUP(J119,Sheet2!$C$1:$D$61,2,FALSE)</f>
        <v>#N/A</v>
      </c>
      <c r="L119" s="31"/>
      <c r="M119" s="27"/>
      <c r="N119" s="27"/>
      <c r="O119" s="27"/>
      <c r="P119" s="28"/>
      <c r="Q119" s="5" t="str">
        <f t="shared" si="5"/>
        <v>ทันกำหนด</v>
      </c>
      <c r="R119" s="6"/>
      <c r="S119" s="7"/>
    </row>
    <row r="120" spans="1:19" ht="27.75" customHeight="1">
      <c r="A120" s="3">
        <v>118</v>
      </c>
      <c r="B120" s="27"/>
      <c r="C120" s="29"/>
      <c r="D120" s="30"/>
      <c r="E120" s="31"/>
      <c r="F120" s="31"/>
      <c r="G120" s="31">
        <f t="shared" si="3"/>
        <v>0</v>
      </c>
      <c r="H120" s="31" t="str">
        <f t="shared" si="4"/>
        <v>ครบ</v>
      </c>
      <c r="I120" s="31"/>
      <c r="J120" s="27" t="e">
        <f>VLOOKUP(I120,Sheet2!$B$1:$C$62,2,FALSE)</f>
        <v>#N/A</v>
      </c>
      <c r="K120" s="27" t="e">
        <f>VLOOKUP(J120,Sheet2!$C$1:$D$61,2,FALSE)</f>
        <v>#N/A</v>
      </c>
      <c r="L120" s="31"/>
      <c r="M120" s="27"/>
      <c r="N120" s="27"/>
      <c r="O120" s="27"/>
      <c r="P120" s="28"/>
      <c r="Q120" s="5" t="str">
        <f t="shared" si="5"/>
        <v>ทันกำหนด</v>
      </c>
      <c r="R120" s="6"/>
      <c r="S120" s="7"/>
    </row>
    <row r="121" spans="1:19" ht="27.75" customHeight="1">
      <c r="A121" s="3">
        <v>119</v>
      </c>
      <c r="B121" s="27"/>
      <c r="C121" s="29"/>
      <c r="D121" s="30"/>
      <c r="E121" s="31"/>
      <c r="F121" s="31"/>
      <c r="G121" s="31">
        <f t="shared" si="3"/>
        <v>0</v>
      </c>
      <c r="H121" s="31" t="str">
        <f t="shared" si="4"/>
        <v>ครบ</v>
      </c>
      <c r="I121" s="31"/>
      <c r="J121" s="27" t="e">
        <f>VLOOKUP(I121,Sheet2!$B$1:$C$62,2,FALSE)</f>
        <v>#N/A</v>
      </c>
      <c r="K121" s="27" t="e">
        <f>VLOOKUP(J121,Sheet2!$C$1:$D$61,2,FALSE)</f>
        <v>#N/A</v>
      </c>
      <c r="L121" s="31"/>
      <c r="M121" s="27"/>
      <c r="N121" s="27"/>
      <c r="O121" s="27"/>
      <c r="P121" s="28"/>
      <c r="Q121" s="5" t="str">
        <f t="shared" si="5"/>
        <v>ทันกำหนด</v>
      </c>
      <c r="R121" s="6"/>
      <c r="S121" s="7"/>
    </row>
    <row r="122" spans="1:19" ht="27.75" customHeight="1">
      <c r="A122" s="3">
        <v>120</v>
      </c>
      <c r="B122" s="27"/>
      <c r="C122" s="27"/>
      <c r="D122" s="30"/>
      <c r="E122" s="31"/>
      <c r="F122" s="31"/>
      <c r="G122" s="31">
        <f t="shared" si="3"/>
        <v>0</v>
      </c>
      <c r="H122" s="31" t="str">
        <f t="shared" si="4"/>
        <v>ครบ</v>
      </c>
      <c r="I122" s="31"/>
      <c r="J122" s="27" t="e">
        <f>VLOOKUP(I122,Sheet2!$B$1:$C$62,2,FALSE)</f>
        <v>#N/A</v>
      </c>
      <c r="K122" s="27" t="e">
        <f>VLOOKUP(J122,Sheet2!$C$1:$D$61,2,FALSE)</f>
        <v>#N/A</v>
      </c>
      <c r="L122" s="31"/>
      <c r="M122" s="27"/>
      <c r="N122" s="27"/>
      <c r="O122" s="27"/>
      <c r="P122" s="28"/>
      <c r="Q122" s="5" t="str">
        <f t="shared" si="5"/>
        <v>ทันกำหนด</v>
      </c>
      <c r="R122" s="6"/>
      <c r="S122" s="7"/>
    </row>
    <row r="123" spans="1:19" ht="27.75" customHeight="1">
      <c r="A123" s="3">
        <v>121</v>
      </c>
      <c r="B123" s="27"/>
      <c r="C123" s="27"/>
      <c r="D123" s="30"/>
      <c r="E123" s="31"/>
      <c r="F123" s="31"/>
      <c r="G123" s="31">
        <f t="shared" si="3"/>
        <v>0</v>
      </c>
      <c r="H123" s="31" t="str">
        <f t="shared" si="4"/>
        <v>ครบ</v>
      </c>
      <c r="I123" s="31"/>
      <c r="J123" s="27" t="e">
        <f>VLOOKUP(I123,Sheet2!$B$1:$C$62,2,FALSE)</f>
        <v>#N/A</v>
      </c>
      <c r="K123" s="27" t="e">
        <f>VLOOKUP(J123,Sheet2!$C$1:$D$61,2,FALSE)</f>
        <v>#N/A</v>
      </c>
      <c r="L123" s="31"/>
      <c r="M123" s="27"/>
      <c r="N123" s="27"/>
      <c r="O123" s="27"/>
      <c r="P123" s="28"/>
      <c r="Q123" s="5" t="str">
        <f t="shared" si="5"/>
        <v>ทันกำหนด</v>
      </c>
      <c r="R123" s="6"/>
      <c r="S123" s="7"/>
    </row>
    <row r="124" spans="1:19" ht="27.75" customHeight="1">
      <c r="A124" s="3">
        <v>122</v>
      </c>
      <c r="B124" s="27"/>
      <c r="C124" s="27"/>
      <c r="D124" s="38"/>
      <c r="E124" s="31"/>
      <c r="F124" s="31"/>
      <c r="G124" s="31">
        <f t="shared" si="3"/>
        <v>0</v>
      </c>
      <c r="H124" s="31" t="str">
        <f t="shared" si="4"/>
        <v>ครบ</v>
      </c>
      <c r="I124" s="31"/>
      <c r="J124" s="27" t="e">
        <f>VLOOKUP(I124,Sheet2!$B$1:$C$62,2,FALSE)</f>
        <v>#N/A</v>
      </c>
      <c r="K124" s="27" t="e">
        <f>VLOOKUP(J124,Sheet2!$C$1:$D$61,2,FALSE)</f>
        <v>#N/A</v>
      </c>
      <c r="L124" s="31"/>
      <c r="M124" s="27"/>
      <c r="N124" s="27"/>
      <c r="O124" s="27"/>
      <c r="P124" s="28"/>
      <c r="Q124" s="5" t="str">
        <f t="shared" si="5"/>
        <v>ทันกำหนด</v>
      </c>
      <c r="R124" s="6"/>
      <c r="S124" s="7"/>
    </row>
    <row r="125" spans="1:19" ht="27.75" customHeight="1">
      <c r="A125" s="3">
        <v>124</v>
      </c>
      <c r="B125" s="27"/>
      <c r="C125" s="27"/>
      <c r="D125" s="30"/>
      <c r="E125" s="31"/>
      <c r="F125" s="31"/>
      <c r="G125" s="31">
        <f t="shared" si="3"/>
        <v>0</v>
      </c>
      <c r="H125" s="31" t="str">
        <f t="shared" si="4"/>
        <v>ครบ</v>
      </c>
      <c r="I125" s="31"/>
      <c r="J125" s="27" t="e">
        <f>VLOOKUP(I125,Sheet2!$B$1:$C$62,2,FALSE)</f>
        <v>#N/A</v>
      </c>
      <c r="K125" s="27" t="e">
        <f>VLOOKUP(J125,Sheet2!$C$1:$D$61,2,FALSE)</f>
        <v>#N/A</v>
      </c>
      <c r="L125" s="31"/>
      <c r="M125" s="27"/>
      <c r="N125" s="27"/>
      <c r="O125" s="27"/>
      <c r="P125" s="28"/>
      <c r="Q125" s="5" t="str">
        <f t="shared" si="5"/>
        <v>ทันกำหนด</v>
      </c>
      <c r="R125" s="6"/>
      <c r="S125" s="7"/>
    </row>
    <row r="126" spans="1:19" ht="27.75" customHeight="1">
      <c r="A126" s="3">
        <v>125</v>
      </c>
      <c r="B126" s="27"/>
      <c r="C126" s="27"/>
      <c r="D126" s="30"/>
      <c r="E126" s="31"/>
      <c r="F126" s="31"/>
      <c r="G126" s="31">
        <f t="shared" si="3"/>
        <v>0</v>
      </c>
      <c r="H126" s="31" t="str">
        <f t="shared" si="4"/>
        <v>ครบ</v>
      </c>
      <c r="I126" s="31"/>
      <c r="J126" s="27" t="e">
        <f>VLOOKUP(I126,Sheet2!$B$1:$C$62,2,FALSE)</f>
        <v>#N/A</v>
      </c>
      <c r="K126" s="27" t="e">
        <f>VLOOKUP(J126,Sheet2!$C$1:$D$61,2,FALSE)</f>
        <v>#N/A</v>
      </c>
      <c r="L126" s="31"/>
      <c r="M126" s="27"/>
      <c r="N126" s="27"/>
      <c r="O126" s="27"/>
      <c r="P126" s="28"/>
      <c r="Q126" s="5" t="str">
        <f t="shared" si="5"/>
        <v>ทันกำหนด</v>
      </c>
      <c r="R126" s="6"/>
      <c r="S126" s="7"/>
    </row>
    <row r="127" spans="1:19" ht="27.75" customHeight="1">
      <c r="A127" s="3">
        <v>126</v>
      </c>
      <c r="B127" s="27"/>
      <c r="C127" s="27"/>
      <c r="D127" s="30"/>
      <c r="E127" s="31"/>
      <c r="F127" s="31"/>
      <c r="G127" s="31">
        <f t="shared" si="3"/>
        <v>0</v>
      </c>
      <c r="H127" s="31" t="str">
        <f t="shared" si="4"/>
        <v>ครบ</v>
      </c>
      <c r="I127" s="31"/>
      <c r="J127" s="27" t="e">
        <f>VLOOKUP(I127,Sheet2!$B$1:$C$62,2,FALSE)</f>
        <v>#N/A</v>
      </c>
      <c r="K127" s="27" t="e">
        <f>VLOOKUP(J127,Sheet2!$C$1:$D$61,2,FALSE)</f>
        <v>#N/A</v>
      </c>
      <c r="L127" s="31"/>
      <c r="M127" s="27"/>
      <c r="N127" s="27"/>
      <c r="O127" s="27"/>
      <c r="P127" s="28"/>
      <c r="Q127" s="5" t="str">
        <f t="shared" si="5"/>
        <v>ทันกำหนด</v>
      </c>
      <c r="R127" s="6"/>
      <c r="S127" s="7"/>
    </row>
    <row r="128" spans="1:19" ht="27.75" customHeight="1">
      <c r="A128" s="3">
        <v>127</v>
      </c>
      <c r="B128" s="27"/>
      <c r="C128" s="27"/>
      <c r="D128" s="30"/>
      <c r="E128" s="31"/>
      <c r="F128" s="31"/>
      <c r="G128" s="31">
        <f t="shared" si="3"/>
        <v>0</v>
      </c>
      <c r="H128" s="31" t="str">
        <f t="shared" si="4"/>
        <v>ครบ</v>
      </c>
      <c r="I128" s="31"/>
      <c r="J128" s="27" t="e">
        <f>VLOOKUP(I128,Sheet2!$B$1:$C$62,2,FALSE)</f>
        <v>#N/A</v>
      </c>
      <c r="K128" s="27" t="e">
        <f>VLOOKUP(J128,Sheet2!$C$1:$D$61,2,FALSE)</f>
        <v>#N/A</v>
      </c>
      <c r="L128" s="31"/>
      <c r="M128" s="27"/>
      <c r="N128" s="27"/>
      <c r="O128" s="27"/>
      <c r="P128" s="28"/>
      <c r="Q128" s="5" t="str">
        <f t="shared" si="5"/>
        <v>ทันกำหนด</v>
      </c>
      <c r="R128" s="6"/>
      <c r="S128" s="7"/>
    </row>
    <row r="129" spans="1:19" ht="27.75" customHeight="1">
      <c r="A129" s="3">
        <v>128</v>
      </c>
      <c r="B129" s="27"/>
      <c r="C129" s="27"/>
      <c r="D129" s="30"/>
      <c r="E129" s="31"/>
      <c r="F129" s="31"/>
      <c r="G129" s="31">
        <f t="shared" si="3"/>
        <v>0</v>
      </c>
      <c r="H129" s="31" t="str">
        <f t="shared" si="4"/>
        <v>ครบ</v>
      </c>
      <c r="I129" s="31"/>
      <c r="J129" s="27" t="e">
        <f>VLOOKUP(I129,Sheet2!$B$1:$C$62,2,FALSE)</f>
        <v>#N/A</v>
      </c>
      <c r="K129" s="27" t="e">
        <f>VLOOKUP(J129,Sheet2!$C$1:$D$61,2,FALSE)</f>
        <v>#N/A</v>
      </c>
      <c r="L129" s="31"/>
      <c r="M129" s="27"/>
      <c r="N129" s="27"/>
      <c r="O129" s="27"/>
      <c r="P129" s="28"/>
      <c r="Q129" s="5" t="str">
        <f t="shared" si="5"/>
        <v>ทันกำหนด</v>
      </c>
      <c r="R129" s="6"/>
      <c r="S129" s="7"/>
    </row>
    <row r="130" spans="1:19" ht="27.75" customHeight="1">
      <c r="A130" s="3">
        <v>129</v>
      </c>
      <c r="B130" s="27"/>
      <c r="C130" s="27"/>
      <c r="D130" s="30"/>
      <c r="E130" s="31"/>
      <c r="F130" s="31"/>
      <c r="G130" s="31">
        <f t="shared" si="3"/>
        <v>0</v>
      </c>
      <c r="H130" s="31" t="str">
        <f t="shared" si="4"/>
        <v>ครบ</v>
      </c>
      <c r="I130" s="31"/>
      <c r="J130" s="27" t="e">
        <f>VLOOKUP(I130,Sheet2!$B$1:$C$62,2,FALSE)</f>
        <v>#N/A</v>
      </c>
      <c r="K130" s="27" t="e">
        <f>VLOOKUP(J130,Sheet2!$C$1:$D$61,2,FALSE)</f>
        <v>#N/A</v>
      </c>
      <c r="L130" s="31"/>
      <c r="M130" s="27"/>
      <c r="N130" s="27"/>
      <c r="O130" s="27"/>
      <c r="P130" s="28"/>
      <c r="Q130" s="5" t="str">
        <f t="shared" si="5"/>
        <v>ทันกำหนด</v>
      </c>
      <c r="R130" s="6"/>
      <c r="S130" s="7"/>
    </row>
    <row r="131" spans="1:19" ht="27.75" customHeight="1">
      <c r="A131" s="3">
        <v>130</v>
      </c>
      <c r="B131" s="27"/>
      <c r="C131" s="27"/>
      <c r="D131" s="30"/>
      <c r="E131" s="31"/>
      <c r="F131" s="31"/>
      <c r="G131" s="31">
        <f t="shared" ref="G131:G194" si="6">$E131-$F131</f>
        <v>0</v>
      </c>
      <c r="H131" s="31" t="str">
        <f t="shared" ref="H131:H194" si="7">IF($G131=0,"ครบ","ไม่ครบ")</f>
        <v>ครบ</v>
      </c>
      <c r="I131" s="31"/>
      <c r="J131" s="27" t="e">
        <f>VLOOKUP(I131,Sheet2!$B$1:$C$62,2,FALSE)</f>
        <v>#N/A</v>
      </c>
      <c r="K131" s="27" t="e">
        <f>VLOOKUP(J131,Sheet2!$C$1:$D$61,2,FALSE)</f>
        <v>#N/A</v>
      </c>
      <c r="L131" s="31"/>
      <c r="M131" s="27"/>
      <c r="N131" s="27"/>
      <c r="O131" s="27"/>
      <c r="P131" s="28"/>
      <c r="Q131" s="5" t="str">
        <f t="shared" ref="Q131:Q194" si="8">IF($N131&gt;$M131,"เกินกำหนด","ทันกำหนด")</f>
        <v>ทันกำหนด</v>
      </c>
      <c r="R131" s="6"/>
      <c r="S131" s="7"/>
    </row>
    <row r="132" spans="1:19" ht="27.75" customHeight="1">
      <c r="A132" s="3">
        <v>131</v>
      </c>
      <c r="B132" s="27"/>
      <c r="C132" s="27"/>
      <c r="D132" s="30"/>
      <c r="E132" s="31"/>
      <c r="F132" s="31"/>
      <c r="G132" s="31">
        <f t="shared" si="6"/>
        <v>0</v>
      </c>
      <c r="H132" s="31" t="str">
        <f t="shared" si="7"/>
        <v>ครบ</v>
      </c>
      <c r="I132" s="31"/>
      <c r="J132" s="27" t="e">
        <f>VLOOKUP(I132,Sheet2!$B$1:$C$62,2,FALSE)</f>
        <v>#N/A</v>
      </c>
      <c r="K132" s="27" t="e">
        <f>VLOOKUP(J132,Sheet2!$C$1:$D$61,2,FALSE)</f>
        <v>#N/A</v>
      </c>
      <c r="L132" s="31"/>
      <c r="M132" s="27"/>
      <c r="N132" s="27"/>
      <c r="O132" s="27"/>
      <c r="P132" s="28"/>
      <c r="Q132" s="5" t="str">
        <f t="shared" si="8"/>
        <v>ทันกำหนด</v>
      </c>
      <c r="R132" s="6"/>
      <c r="S132" s="7"/>
    </row>
    <row r="133" spans="1:19" ht="27.75" customHeight="1">
      <c r="A133" s="3">
        <v>132</v>
      </c>
      <c r="B133" s="27"/>
      <c r="C133" s="27"/>
      <c r="D133" s="30"/>
      <c r="E133" s="31"/>
      <c r="F133" s="31"/>
      <c r="G133" s="31">
        <f t="shared" si="6"/>
        <v>0</v>
      </c>
      <c r="H133" s="31" t="str">
        <f t="shared" si="7"/>
        <v>ครบ</v>
      </c>
      <c r="I133" s="31"/>
      <c r="J133" s="27" t="e">
        <f>VLOOKUP(I133,Sheet2!$B$1:$C$62,2,FALSE)</f>
        <v>#N/A</v>
      </c>
      <c r="K133" s="27" t="e">
        <f>VLOOKUP(J133,Sheet2!$C$1:$D$61,2,FALSE)</f>
        <v>#N/A</v>
      </c>
      <c r="L133" s="31"/>
      <c r="M133" s="27"/>
      <c r="N133" s="27"/>
      <c r="O133" s="27"/>
      <c r="P133" s="28"/>
      <c r="Q133" s="5" t="str">
        <f t="shared" si="8"/>
        <v>ทันกำหนด</v>
      </c>
      <c r="R133" s="6"/>
      <c r="S133" s="7"/>
    </row>
    <row r="134" spans="1:19" ht="27.75" customHeight="1">
      <c r="A134" s="3">
        <v>133</v>
      </c>
      <c r="B134" s="27"/>
      <c r="C134" s="27"/>
      <c r="D134" s="30"/>
      <c r="E134" s="31"/>
      <c r="F134" s="31"/>
      <c r="G134" s="31">
        <f t="shared" si="6"/>
        <v>0</v>
      </c>
      <c r="H134" s="31" t="str">
        <f t="shared" si="7"/>
        <v>ครบ</v>
      </c>
      <c r="I134" s="31"/>
      <c r="J134" s="27" t="e">
        <f>VLOOKUP(I134,Sheet2!$B$1:$C$62,2,FALSE)</f>
        <v>#N/A</v>
      </c>
      <c r="K134" s="27" t="e">
        <f>VLOOKUP(J134,Sheet2!$C$1:$D$61,2,FALSE)</f>
        <v>#N/A</v>
      </c>
      <c r="L134" s="31"/>
      <c r="M134" s="27"/>
      <c r="N134" s="27"/>
      <c r="O134" s="27"/>
      <c r="P134" s="28"/>
      <c r="Q134" s="5" t="str">
        <f t="shared" si="8"/>
        <v>ทันกำหนด</v>
      </c>
      <c r="R134" s="6"/>
      <c r="S134" s="7"/>
    </row>
    <row r="135" spans="1:19" ht="27.75" customHeight="1">
      <c r="A135" s="3">
        <v>134</v>
      </c>
      <c r="B135" s="27"/>
      <c r="C135" s="27"/>
      <c r="D135" s="30"/>
      <c r="E135" s="31"/>
      <c r="F135" s="31"/>
      <c r="G135" s="31">
        <f t="shared" si="6"/>
        <v>0</v>
      </c>
      <c r="H135" s="31" t="str">
        <f t="shared" si="7"/>
        <v>ครบ</v>
      </c>
      <c r="I135" s="31"/>
      <c r="J135" s="27" t="e">
        <f>VLOOKUP(I135,Sheet2!$B$1:$C$62,2,FALSE)</f>
        <v>#N/A</v>
      </c>
      <c r="K135" s="27" t="e">
        <f>VLOOKUP(J135,Sheet2!$C$1:$D$61,2,FALSE)</f>
        <v>#N/A</v>
      </c>
      <c r="L135" s="31"/>
      <c r="M135" s="27"/>
      <c r="N135" s="27"/>
      <c r="O135" s="27"/>
      <c r="P135" s="28"/>
      <c r="Q135" s="5" t="str">
        <f t="shared" si="8"/>
        <v>ทันกำหนด</v>
      </c>
      <c r="R135" s="6"/>
      <c r="S135" s="7"/>
    </row>
    <row r="136" spans="1:19" ht="27.75" customHeight="1">
      <c r="A136" s="3">
        <v>135</v>
      </c>
      <c r="B136" s="27"/>
      <c r="C136" s="27"/>
      <c r="D136" s="30"/>
      <c r="E136" s="31"/>
      <c r="F136" s="31"/>
      <c r="G136" s="31">
        <f t="shared" si="6"/>
        <v>0</v>
      </c>
      <c r="H136" s="31" t="str">
        <f t="shared" si="7"/>
        <v>ครบ</v>
      </c>
      <c r="I136" s="31"/>
      <c r="J136" s="27" t="e">
        <f>VLOOKUP(I136,Sheet2!$B$1:$C$62,2,FALSE)</f>
        <v>#N/A</v>
      </c>
      <c r="K136" s="27" t="e">
        <f>VLOOKUP(J136,Sheet2!$C$1:$D$61,2,FALSE)</f>
        <v>#N/A</v>
      </c>
      <c r="L136" s="31"/>
      <c r="M136" s="27"/>
      <c r="N136" s="27"/>
      <c r="O136" s="27"/>
      <c r="P136" s="28"/>
      <c r="Q136" s="5" t="str">
        <f t="shared" si="8"/>
        <v>ทันกำหนด</v>
      </c>
      <c r="R136" s="6"/>
      <c r="S136" s="7"/>
    </row>
    <row r="137" spans="1:19" ht="27.75" customHeight="1">
      <c r="A137" s="3">
        <v>136</v>
      </c>
      <c r="B137" s="27"/>
      <c r="C137" s="27"/>
      <c r="D137" s="30"/>
      <c r="E137" s="31"/>
      <c r="F137" s="31"/>
      <c r="G137" s="31">
        <f t="shared" si="6"/>
        <v>0</v>
      </c>
      <c r="H137" s="31" t="str">
        <f t="shared" si="7"/>
        <v>ครบ</v>
      </c>
      <c r="I137" s="31"/>
      <c r="J137" s="27" t="e">
        <f>VLOOKUP(I137,Sheet2!$B$1:$C$62,2,FALSE)</f>
        <v>#N/A</v>
      </c>
      <c r="K137" s="27" t="e">
        <f>VLOOKUP(J137,Sheet2!$C$1:$D$61,2,FALSE)</f>
        <v>#N/A</v>
      </c>
      <c r="L137" s="31"/>
      <c r="M137" s="27"/>
      <c r="N137" s="27"/>
      <c r="O137" s="27"/>
      <c r="P137" s="28"/>
      <c r="Q137" s="5" t="str">
        <f t="shared" si="8"/>
        <v>ทันกำหนด</v>
      </c>
      <c r="R137" s="6"/>
      <c r="S137" s="7"/>
    </row>
    <row r="138" spans="1:19" ht="27.75" customHeight="1">
      <c r="A138" s="3">
        <v>137</v>
      </c>
      <c r="B138" s="27"/>
      <c r="C138" s="27"/>
      <c r="D138" s="30"/>
      <c r="E138" s="31"/>
      <c r="F138" s="31"/>
      <c r="G138" s="31">
        <f t="shared" si="6"/>
        <v>0</v>
      </c>
      <c r="H138" s="31" t="str">
        <f t="shared" si="7"/>
        <v>ครบ</v>
      </c>
      <c r="I138" s="31"/>
      <c r="J138" s="27" t="e">
        <f>VLOOKUP(I138,Sheet2!$B$1:$C$62,2,FALSE)</f>
        <v>#N/A</v>
      </c>
      <c r="K138" s="27" t="e">
        <f>VLOOKUP(J138,Sheet2!$C$1:$D$61,2,FALSE)</f>
        <v>#N/A</v>
      </c>
      <c r="L138" s="31"/>
      <c r="M138" s="27"/>
      <c r="N138" s="27"/>
      <c r="O138" s="27"/>
      <c r="P138" s="28"/>
      <c r="Q138" s="5" t="str">
        <f t="shared" si="8"/>
        <v>ทันกำหนด</v>
      </c>
      <c r="R138" s="6"/>
      <c r="S138" s="7"/>
    </row>
    <row r="139" spans="1:19" ht="27.75" customHeight="1">
      <c r="A139" s="3">
        <v>138</v>
      </c>
      <c r="B139" s="27"/>
      <c r="C139" s="27"/>
      <c r="D139" s="30"/>
      <c r="E139" s="31"/>
      <c r="F139" s="31"/>
      <c r="G139" s="31">
        <f t="shared" si="6"/>
        <v>0</v>
      </c>
      <c r="H139" s="31" t="str">
        <f t="shared" si="7"/>
        <v>ครบ</v>
      </c>
      <c r="I139" s="31"/>
      <c r="J139" s="27" t="e">
        <f>VLOOKUP(I139,Sheet2!$B$1:$C$62,2,FALSE)</f>
        <v>#N/A</v>
      </c>
      <c r="K139" s="27" t="e">
        <f>VLOOKUP(J139,Sheet2!$C$1:$D$61,2,FALSE)</f>
        <v>#N/A</v>
      </c>
      <c r="L139" s="31"/>
      <c r="M139" s="27"/>
      <c r="N139" s="27"/>
      <c r="O139" s="27"/>
      <c r="P139" s="28"/>
      <c r="Q139" s="5" t="str">
        <f t="shared" si="8"/>
        <v>ทันกำหนด</v>
      </c>
      <c r="R139" s="6">
        <v>2</v>
      </c>
      <c r="S139" s="7" t="s">
        <v>37</v>
      </c>
    </row>
    <row r="140" spans="1:19" ht="27.75" customHeight="1">
      <c r="A140" s="3">
        <v>139</v>
      </c>
      <c r="B140" s="27"/>
      <c r="C140" s="27"/>
      <c r="D140" s="30"/>
      <c r="E140" s="31"/>
      <c r="F140" s="31"/>
      <c r="G140" s="31">
        <f t="shared" si="6"/>
        <v>0</v>
      </c>
      <c r="H140" s="31" t="str">
        <f t="shared" si="7"/>
        <v>ครบ</v>
      </c>
      <c r="I140" s="31"/>
      <c r="J140" s="27" t="e">
        <f>VLOOKUP(I140,Sheet2!$B$1:$C$62,2,FALSE)</f>
        <v>#N/A</v>
      </c>
      <c r="K140" s="27" t="e">
        <f>VLOOKUP(J140,Sheet2!$C$1:$D$61,2,FALSE)</f>
        <v>#N/A</v>
      </c>
      <c r="L140" s="31"/>
      <c r="M140" s="27"/>
      <c r="N140" s="27"/>
      <c r="O140" s="27"/>
      <c r="P140" s="28"/>
      <c r="Q140" s="5" t="str">
        <f t="shared" si="8"/>
        <v>ทันกำหนด</v>
      </c>
      <c r="R140" s="6"/>
      <c r="S140" s="7"/>
    </row>
    <row r="141" spans="1:19" ht="27.75" customHeight="1">
      <c r="A141" s="3">
        <v>140</v>
      </c>
      <c r="B141" s="27"/>
      <c r="C141" s="27"/>
      <c r="D141" s="30"/>
      <c r="E141" s="31"/>
      <c r="F141" s="31"/>
      <c r="G141" s="31">
        <f t="shared" si="6"/>
        <v>0</v>
      </c>
      <c r="H141" s="31" t="str">
        <f t="shared" si="7"/>
        <v>ครบ</v>
      </c>
      <c r="I141" s="31"/>
      <c r="J141" s="27" t="e">
        <f>VLOOKUP(I141,Sheet2!$B$1:$C$62,2,FALSE)</f>
        <v>#N/A</v>
      </c>
      <c r="K141" s="27" t="e">
        <f>VLOOKUP(J141,Sheet2!$C$1:$D$61,2,FALSE)</f>
        <v>#N/A</v>
      </c>
      <c r="L141" s="31"/>
      <c r="M141" s="27"/>
      <c r="N141" s="27"/>
      <c r="O141" s="27"/>
      <c r="P141" s="28"/>
      <c r="Q141" s="5" t="str">
        <f t="shared" si="8"/>
        <v>ทันกำหนด</v>
      </c>
      <c r="R141" s="6"/>
      <c r="S141" s="7"/>
    </row>
    <row r="142" spans="1:19" ht="27.75" customHeight="1">
      <c r="A142" s="3">
        <v>141</v>
      </c>
      <c r="B142" s="27"/>
      <c r="C142" s="29"/>
      <c r="D142" s="30"/>
      <c r="E142" s="31"/>
      <c r="F142" s="31"/>
      <c r="G142" s="31">
        <f t="shared" si="6"/>
        <v>0</v>
      </c>
      <c r="H142" s="31" t="str">
        <f t="shared" si="7"/>
        <v>ครบ</v>
      </c>
      <c r="I142" s="31"/>
      <c r="J142" s="27" t="e">
        <f>VLOOKUP(I142,Sheet2!$B$1:$C$62,2,FALSE)</f>
        <v>#N/A</v>
      </c>
      <c r="K142" s="27" t="e">
        <f>VLOOKUP(J142,Sheet2!$C$1:$D$61,2,FALSE)</f>
        <v>#N/A</v>
      </c>
      <c r="L142" s="31"/>
      <c r="M142" s="27"/>
      <c r="N142" s="27"/>
      <c r="O142" s="27"/>
      <c r="P142" s="28"/>
      <c r="Q142" s="5" t="str">
        <f t="shared" si="8"/>
        <v>ทันกำหนด</v>
      </c>
      <c r="R142" s="6"/>
      <c r="S142" s="7"/>
    </row>
    <row r="143" spans="1:19" ht="27.75" customHeight="1">
      <c r="A143" s="3">
        <v>142</v>
      </c>
      <c r="B143" s="27"/>
      <c r="C143" s="29"/>
      <c r="D143" s="30"/>
      <c r="E143" s="31"/>
      <c r="F143" s="31"/>
      <c r="G143" s="31">
        <f t="shared" si="6"/>
        <v>0</v>
      </c>
      <c r="H143" s="31" t="str">
        <f t="shared" si="7"/>
        <v>ครบ</v>
      </c>
      <c r="I143" s="31"/>
      <c r="J143" s="27" t="e">
        <f>VLOOKUP(I143,Sheet2!$B$1:$C$62,2,FALSE)</f>
        <v>#N/A</v>
      </c>
      <c r="K143" s="27" t="e">
        <f>VLOOKUP(J143,Sheet2!$C$1:$D$61,2,FALSE)</f>
        <v>#N/A</v>
      </c>
      <c r="L143" s="31"/>
      <c r="M143" s="27"/>
      <c r="N143" s="27"/>
      <c r="O143" s="27"/>
      <c r="P143" s="28"/>
      <c r="Q143" s="5" t="str">
        <f t="shared" si="8"/>
        <v>ทันกำหนด</v>
      </c>
      <c r="R143" s="6"/>
      <c r="S143" s="7"/>
    </row>
    <row r="144" spans="1:19" ht="27.75" customHeight="1">
      <c r="A144" s="3">
        <v>143</v>
      </c>
      <c r="B144" s="27"/>
      <c r="C144" s="29"/>
      <c r="D144" s="30"/>
      <c r="E144" s="31"/>
      <c r="F144" s="31"/>
      <c r="G144" s="31">
        <f t="shared" si="6"/>
        <v>0</v>
      </c>
      <c r="H144" s="31" t="str">
        <f t="shared" si="7"/>
        <v>ครบ</v>
      </c>
      <c r="I144" s="31"/>
      <c r="J144" s="27" t="e">
        <f>VLOOKUP(I144,Sheet2!$B$1:$C$62,2,FALSE)</f>
        <v>#N/A</v>
      </c>
      <c r="K144" s="27" t="e">
        <f>VLOOKUP(J144,Sheet2!$C$1:$D$61,2,FALSE)</f>
        <v>#N/A</v>
      </c>
      <c r="L144" s="31"/>
      <c r="M144" s="27"/>
      <c r="N144" s="27"/>
      <c r="O144" s="27"/>
      <c r="P144" s="28"/>
      <c r="Q144" s="5" t="str">
        <f t="shared" si="8"/>
        <v>ทันกำหนด</v>
      </c>
      <c r="R144" s="6"/>
      <c r="S144" s="7"/>
    </row>
    <row r="145" spans="1:19" ht="27.75" customHeight="1">
      <c r="A145" s="3">
        <v>144</v>
      </c>
      <c r="B145" s="27"/>
      <c r="C145" s="29"/>
      <c r="D145" s="32"/>
      <c r="E145" s="31"/>
      <c r="F145" s="31"/>
      <c r="G145" s="31">
        <f t="shared" si="6"/>
        <v>0</v>
      </c>
      <c r="H145" s="31" t="str">
        <f t="shared" si="7"/>
        <v>ครบ</v>
      </c>
      <c r="I145" s="31"/>
      <c r="J145" s="27" t="e">
        <f>VLOOKUP(I145,Sheet2!$B$1:$C$62,2,FALSE)</f>
        <v>#N/A</v>
      </c>
      <c r="K145" s="27" t="e">
        <f>VLOOKUP(J145,Sheet2!$C$1:$D$61,2,FALSE)</f>
        <v>#N/A</v>
      </c>
      <c r="L145" s="31"/>
      <c r="M145" s="27"/>
      <c r="N145" s="27"/>
      <c r="O145" s="27"/>
      <c r="P145" s="28"/>
      <c r="Q145" s="5" t="str">
        <f t="shared" si="8"/>
        <v>ทันกำหนด</v>
      </c>
      <c r="R145" s="6"/>
      <c r="S145" s="7"/>
    </row>
    <row r="146" spans="1:19" ht="27.75" customHeight="1">
      <c r="A146" s="3">
        <v>145</v>
      </c>
      <c r="B146" s="27"/>
      <c r="C146" s="29"/>
      <c r="D146" s="30"/>
      <c r="E146" s="31"/>
      <c r="F146" s="31"/>
      <c r="G146" s="31">
        <f t="shared" si="6"/>
        <v>0</v>
      </c>
      <c r="H146" s="31" t="str">
        <f t="shared" si="7"/>
        <v>ครบ</v>
      </c>
      <c r="I146" s="31"/>
      <c r="J146" s="27" t="e">
        <f>VLOOKUP(I146,Sheet2!$B$1:$C$62,2,FALSE)</f>
        <v>#N/A</v>
      </c>
      <c r="K146" s="27" t="e">
        <f>VLOOKUP(J146,Sheet2!$C$1:$D$61,2,FALSE)</f>
        <v>#N/A</v>
      </c>
      <c r="L146" s="31"/>
      <c r="M146" s="27"/>
      <c r="N146" s="27"/>
      <c r="O146" s="27"/>
      <c r="P146" s="28"/>
      <c r="Q146" s="5" t="str">
        <f t="shared" si="8"/>
        <v>ทันกำหนด</v>
      </c>
      <c r="R146" s="6"/>
      <c r="S146" s="7"/>
    </row>
    <row r="147" spans="1:19" ht="27.75" customHeight="1">
      <c r="A147" s="3">
        <v>146</v>
      </c>
      <c r="B147" s="27"/>
      <c r="C147" s="29"/>
      <c r="D147" s="30"/>
      <c r="E147" s="31"/>
      <c r="F147" s="31"/>
      <c r="G147" s="31">
        <f t="shared" si="6"/>
        <v>0</v>
      </c>
      <c r="H147" s="31" t="str">
        <f t="shared" si="7"/>
        <v>ครบ</v>
      </c>
      <c r="I147" s="31"/>
      <c r="J147" s="27" t="e">
        <f>VLOOKUP(I147,Sheet2!$B$1:$C$62,2,FALSE)</f>
        <v>#N/A</v>
      </c>
      <c r="K147" s="27" t="e">
        <f>VLOOKUP(J147,Sheet2!$C$1:$D$61,2,FALSE)</f>
        <v>#N/A</v>
      </c>
      <c r="L147" s="31"/>
      <c r="M147" s="27"/>
      <c r="N147" s="27"/>
      <c r="O147" s="27"/>
      <c r="P147" s="28"/>
      <c r="Q147" s="5" t="str">
        <f t="shared" si="8"/>
        <v>ทันกำหนด</v>
      </c>
      <c r="R147" s="6"/>
      <c r="S147" s="7"/>
    </row>
    <row r="148" spans="1:19">
      <c r="A148" s="3">
        <v>147</v>
      </c>
      <c r="B148" s="27"/>
      <c r="C148" s="29"/>
      <c r="D148" s="30"/>
      <c r="E148" s="31"/>
      <c r="F148" s="31"/>
      <c r="G148" s="31">
        <f t="shared" si="6"/>
        <v>0</v>
      </c>
      <c r="H148" s="31" t="str">
        <f t="shared" si="7"/>
        <v>ครบ</v>
      </c>
      <c r="I148" s="31"/>
      <c r="J148" s="27" t="e">
        <f>VLOOKUP(I148,Sheet2!$B$1:$C$62,2,FALSE)</f>
        <v>#N/A</v>
      </c>
      <c r="K148" s="27" t="e">
        <f>VLOOKUP(J148,Sheet2!$C$1:$D$61,2,FALSE)</f>
        <v>#N/A</v>
      </c>
      <c r="L148" s="31"/>
      <c r="M148" s="27"/>
      <c r="N148" s="27"/>
      <c r="O148" s="27"/>
      <c r="P148" s="28"/>
      <c r="Q148" s="5" t="str">
        <f t="shared" si="8"/>
        <v>ทันกำหนด</v>
      </c>
      <c r="R148" s="6"/>
      <c r="S148" s="7"/>
    </row>
    <row r="149" spans="1:19" ht="27.75" customHeight="1">
      <c r="A149" s="3">
        <v>148</v>
      </c>
      <c r="B149" s="27"/>
      <c r="C149" s="29"/>
      <c r="D149" s="30"/>
      <c r="E149" s="31"/>
      <c r="F149" s="31"/>
      <c r="G149" s="31">
        <f t="shared" si="6"/>
        <v>0</v>
      </c>
      <c r="H149" s="31" t="str">
        <f t="shared" si="7"/>
        <v>ครบ</v>
      </c>
      <c r="I149" s="31"/>
      <c r="J149" s="27" t="e">
        <f>VLOOKUP(I149,Sheet2!$B$1:$C$62,2,FALSE)</f>
        <v>#N/A</v>
      </c>
      <c r="K149" s="27" t="e">
        <f>VLOOKUP(J149,Sheet2!$C$1:$D$61,2,FALSE)</f>
        <v>#N/A</v>
      </c>
      <c r="L149" s="31"/>
      <c r="M149" s="27"/>
      <c r="N149" s="27"/>
      <c r="O149" s="27"/>
      <c r="P149" s="28"/>
      <c r="Q149" s="5" t="str">
        <f t="shared" si="8"/>
        <v>ทันกำหนด</v>
      </c>
      <c r="R149" s="6"/>
      <c r="S149" s="7"/>
    </row>
    <row r="150" spans="1:19" ht="27.75" customHeight="1">
      <c r="A150" s="3">
        <v>149</v>
      </c>
      <c r="B150" s="27"/>
      <c r="C150" s="29"/>
      <c r="D150" s="30"/>
      <c r="E150" s="31"/>
      <c r="F150" s="31"/>
      <c r="G150" s="31">
        <f t="shared" si="6"/>
        <v>0</v>
      </c>
      <c r="H150" s="31" t="str">
        <f t="shared" si="7"/>
        <v>ครบ</v>
      </c>
      <c r="I150" s="31"/>
      <c r="J150" s="27" t="e">
        <f>VLOOKUP(I150,Sheet2!$B$1:$C$62,2,FALSE)</f>
        <v>#N/A</v>
      </c>
      <c r="K150" s="27" t="e">
        <f>VLOOKUP(J150,Sheet2!$C$1:$D$61,2,FALSE)</f>
        <v>#N/A</v>
      </c>
      <c r="L150" s="31"/>
      <c r="M150" s="27"/>
      <c r="N150" s="27"/>
      <c r="O150" s="27"/>
      <c r="P150" s="28"/>
      <c r="Q150" s="5" t="str">
        <f t="shared" si="8"/>
        <v>ทันกำหนด</v>
      </c>
      <c r="R150" s="6"/>
      <c r="S150" s="7"/>
    </row>
    <row r="151" spans="1:19" ht="27.75" customHeight="1">
      <c r="A151" s="3">
        <v>150</v>
      </c>
      <c r="B151" s="27"/>
      <c r="C151" s="29"/>
      <c r="D151" s="30"/>
      <c r="E151" s="31"/>
      <c r="F151" s="31"/>
      <c r="G151" s="31">
        <f t="shared" si="6"/>
        <v>0</v>
      </c>
      <c r="H151" s="31" t="str">
        <f t="shared" si="7"/>
        <v>ครบ</v>
      </c>
      <c r="I151" s="31"/>
      <c r="J151" s="27" t="e">
        <f>VLOOKUP(I151,Sheet2!$B$1:$C$62,2,FALSE)</f>
        <v>#N/A</v>
      </c>
      <c r="K151" s="27" t="e">
        <f>VLOOKUP(J151,Sheet2!$C$1:$D$61,2,FALSE)</f>
        <v>#N/A</v>
      </c>
      <c r="L151" s="31"/>
      <c r="M151" s="27"/>
      <c r="N151" s="27"/>
      <c r="O151" s="27"/>
      <c r="P151" s="28"/>
      <c r="Q151" s="5" t="str">
        <f t="shared" si="8"/>
        <v>ทันกำหนด</v>
      </c>
      <c r="R151" s="6"/>
      <c r="S151" s="7"/>
    </row>
    <row r="152" spans="1:19" ht="27.75" customHeight="1">
      <c r="A152" s="3">
        <v>151</v>
      </c>
      <c r="B152" s="27"/>
      <c r="C152" s="29"/>
      <c r="D152" s="30"/>
      <c r="E152" s="31"/>
      <c r="F152" s="31"/>
      <c r="G152" s="31">
        <f t="shared" si="6"/>
        <v>0</v>
      </c>
      <c r="H152" s="31" t="str">
        <f t="shared" si="7"/>
        <v>ครบ</v>
      </c>
      <c r="I152" s="31"/>
      <c r="J152" s="27" t="e">
        <f>VLOOKUP(I152,Sheet2!$B$1:$C$62,2,FALSE)</f>
        <v>#N/A</v>
      </c>
      <c r="K152" s="27" t="e">
        <f>VLOOKUP(J152,Sheet2!$C$1:$D$61,2,FALSE)</f>
        <v>#N/A</v>
      </c>
      <c r="L152" s="31"/>
      <c r="M152" s="27"/>
      <c r="N152" s="27"/>
      <c r="O152" s="27"/>
      <c r="P152" s="28"/>
      <c r="Q152" s="5" t="str">
        <f t="shared" si="8"/>
        <v>ทันกำหนด</v>
      </c>
      <c r="R152" s="6"/>
      <c r="S152" s="7"/>
    </row>
    <row r="153" spans="1:19" ht="27.75" customHeight="1">
      <c r="A153" s="3">
        <v>152</v>
      </c>
      <c r="B153" s="27"/>
      <c r="C153" s="29"/>
      <c r="D153" s="30"/>
      <c r="E153" s="31"/>
      <c r="F153" s="31"/>
      <c r="G153" s="31">
        <f t="shared" si="6"/>
        <v>0</v>
      </c>
      <c r="H153" s="31" t="str">
        <f t="shared" si="7"/>
        <v>ครบ</v>
      </c>
      <c r="I153" s="31"/>
      <c r="J153" s="27" t="e">
        <f>VLOOKUP(I153,Sheet2!$B$1:$C$62,2,FALSE)</f>
        <v>#N/A</v>
      </c>
      <c r="K153" s="27" t="e">
        <f>VLOOKUP(J153,Sheet2!$C$1:$D$61,2,FALSE)</f>
        <v>#N/A</v>
      </c>
      <c r="L153" s="31"/>
      <c r="M153" s="27"/>
      <c r="N153" s="27"/>
      <c r="O153" s="27"/>
      <c r="P153" s="28"/>
      <c r="Q153" s="5" t="str">
        <f t="shared" si="8"/>
        <v>ทันกำหนด</v>
      </c>
      <c r="R153" s="6"/>
      <c r="S153" s="7"/>
    </row>
    <row r="154" spans="1:19" ht="27.75" customHeight="1">
      <c r="A154" s="3">
        <v>153</v>
      </c>
      <c r="B154" s="27"/>
      <c r="C154" s="29"/>
      <c r="D154" s="30"/>
      <c r="E154" s="31"/>
      <c r="F154" s="31"/>
      <c r="G154" s="31">
        <f t="shared" si="6"/>
        <v>0</v>
      </c>
      <c r="H154" s="31" t="str">
        <f t="shared" si="7"/>
        <v>ครบ</v>
      </c>
      <c r="I154" s="31"/>
      <c r="J154" s="27" t="e">
        <f>VLOOKUP(I154,Sheet2!$B$1:$C$62,2,FALSE)</f>
        <v>#N/A</v>
      </c>
      <c r="K154" s="27" t="e">
        <f>VLOOKUP(J154,Sheet2!$C$1:$D$61,2,FALSE)</f>
        <v>#N/A</v>
      </c>
      <c r="L154" s="31"/>
      <c r="M154" s="27"/>
      <c r="N154" s="27"/>
      <c r="O154" s="27"/>
      <c r="P154" s="28"/>
      <c r="Q154" s="5" t="str">
        <f t="shared" si="8"/>
        <v>ทันกำหนด</v>
      </c>
      <c r="R154" s="6"/>
      <c r="S154" s="7"/>
    </row>
    <row r="155" spans="1:19" ht="27.75" customHeight="1">
      <c r="A155" s="3">
        <v>154</v>
      </c>
      <c r="B155" s="27"/>
      <c r="C155" s="29"/>
      <c r="D155" s="30"/>
      <c r="E155" s="31"/>
      <c r="F155" s="31"/>
      <c r="G155" s="31">
        <f t="shared" si="6"/>
        <v>0</v>
      </c>
      <c r="H155" s="31" t="str">
        <f t="shared" si="7"/>
        <v>ครบ</v>
      </c>
      <c r="I155" s="31"/>
      <c r="J155" s="27" t="e">
        <f>VLOOKUP(I155,Sheet2!$B$1:$C$62,2,FALSE)</f>
        <v>#N/A</v>
      </c>
      <c r="K155" s="27" t="e">
        <f>VLOOKUP(J155,Sheet2!$C$1:$D$61,2,FALSE)</f>
        <v>#N/A</v>
      </c>
      <c r="L155" s="31"/>
      <c r="M155" s="27"/>
      <c r="N155" s="27"/>
      <c r="O155" s="27"/>
      <c r="P155" s="28"/>
      <c r="Q155" s="5" t="str">
        <f t="shared" si="8"/>
        <v>ทันกำหนด</v>
      </c>
      <c r="R155" s="6"/>
      <c r="S155" s="7"/>
    </row>
    <row r="156" spans="1:19" ht="27.75" customHeight="1">
      <c r="A156" s="3">
        <v>155</v>
      </c>
      <c r="B156" s="27"/>
      <c r="C156" s="29"/>
      <c r="D156" s="30"/>
      <c r="E156" s="31"/>
      <c r="F156" s="31"/>
      <c r="G156" s="31">
        <f t="shared" si="6"/>
        <v>0</v>
      </c>
      <c r="H156" s="31" t="str">
        <f t="shared" si="7"/>
        <v>ครบ</v>
      </c>
      <c r="I156" s="31"/>
      <c r="J156" s="27" t="e">
        <f>VLOOKUP(I156,Sheet2!$B$1:$C$62,2,FALSE)</f>
        <v>#N/A</v>
      </c>
      <c r="K156" s="27" t="e">
        <f>VLOOKUP(J156,Sheet2!$C$1:$D$61,2,FALSE)</f>
        <v>#N/A</v>
      </c>
      <c r="L156" s="31"/>
      <c r="M156" s="27"/>
      <c r="N156" s="27"/>
      <c r="O156" s="27"/>
      <c r="P156" s="28"/>
      <c r="Q156" s="5" t="str">
        <f t="shared" si="8"/>
        <v>ทันกำหนด</v>
      </c>
      <c r="R156" s="6"/>
      <c r="S156" s="7"/>
    </row>
    <row r="157" spans="1:19" ht="27.75" customHeight="1">
      <c r="A157" s="3">
        <v>156</v>
      </c>
      <c r="B157" s="27"/>
      <c r="C157" s="29"/>
      <c r="D157" s="30"/>
      <c r="E157" s="31"/>
      <c r="F157" s="31"/>
      <c r="G157" s="31">
        <f t="shared" si="6"/>
        <v>0</v>
      </c>
      <c r="H157" s="31" t="str">
        <f t="shared" si="7"/>
        <v>ครบ</v>
      </c>
      <c r="I157" s="31"/>
      <c r="J157" s="27" t="e">
        <f>VLOOKUP(I157,Sheet2!$B$1:$C$62,2,FALSE)</f>
        <v>#N/A</v>
      </c>
      <c r="K157" s="27" t="e">
        <f>VLOOKUP(J157,Sheet2!$C$1:$D$61,2,FALSE)</f>
        <v>#N/A</v>
      </c>
      <c r="L157" s="31"/>
      <c r="M157" s="27"/>
      <c r="N157" s="27"/>
      <c r="O157" s="27"/>
      <c r="P157" s="28"/>
      <c r="Q157" s="5" t="str">
        <f t="shared" si="8"/>
        <v>ทันกำหนด</v>
      </c>
      <c r="R157" s="6"/>
      <c r="S157" s="7"/>
    </row>
    <row r="158" spans="1:19" ht="27.75" customHeight="1">
      <c r="A158" s="3">
        <v>157</v>
      </c>
      <c r="B158" s="27"/>
      <c r="C158" s="29"/>
      <c r="D158" s="30"/>
      <c r="E158" s="31"/>
      <c r="F158" s="31"/>
      <c r="G158" s="31">
        <f t="shared" si="6"/>
        <v>0</v>
      </c>
      <c r="H158" s="31" t="str">
        <f t="shared" si="7"/>
        <v>ครบ</v>
      </c>
      <c r="I158" s="31"/>
      <c r="J158" s="27" t="e">
        <f>VLOOKUP(I158,Sheet2!$B$1:$C$62,2,FALSE)</f>
        <v>#N/A</v>
      </c>
      <c r="K158" s="27" t="e">
        <f>VLOOKUP(J158,Sheet2!$C$1:$D$61,2,FALSE)</f>
        <v>#N/A</v>
      </c>
      <c r="L158" s="31"/>
      <c r="M158" s="27"/>
      <c r="N158" s="27"/>
      <c r="O158" s="27"/>
      <c r="P158" s="28"/>
      <c r="Q158" s="5" t="str">
        <f t="shared" si="8"/>
        <v>ทันกำหนด</v>
      </c>
      <c r="R158" s="6"/>
      <c r="S158" s="7"/>
    </row>
    <row r="159" spans="1:19" ht="27.75" customHeight="1">
      <c r="A159" s="3">
        <v>158</v>
      </c>
      <c r="B159" s="27"/>
      <c r="C159" s="29"/>
      <c r="D159" s="30"/>
      <c r="E159" s="31"/>
      <c r="F159" s="31"/>
      <c r="G159" s="31">
        <f t="shared" si="6"/>
        <v>0</v>
      </c>
      <c r="H159" s="31" t="str">
        <f t="shared" si="7"/>
        <v>ครบ</v>
      </c>
      <c r="I159" s="31"/>
      <c r="J159" s="27" t="e">
        <f>VLOOKUP(I159,Sheet2!$B$1:$C$62,2,FALSE)</f>
        <v>#N/A</v>
      </c>
      <c r="K159" s="27" t="e">
        <f>VLOOKUP(J159,Sheet2!$C$1:$D$61,2,FALSE)</f>
        <v>#N/A</v>
      </c>
      <c r="L159" s="31"/>
      <c r="M159" s="27"/>
      <c r="N159" s="27"/>
      <c r="O159" s="27"/>
      <c r="P159" s="28"/>
      <c r="Q159" s="5" t="str">
        <f t="shared" si="8"/>
        <v>ทันกำหนด</v>
      </c>
      <c r="R159" s="6"/>
      <c r="S159" s="7"/>
    </row>
    <row r="160" spans="1:19" ht="27.75" customHeight="1">
      <c r="A160" s="3">
        <v>159</v>
      </c>
      <c r="B160" s="27"/>
      <c r="C160" s="29"/>
      <c r="D160" s="30"/>
      <c r="E160" s="31"/>
      <c r="F160" s="31"/>
      <c r="G160" s="31">
        <f t="shared" si="6"/>
        <v>0</v>
      </c>
      <c r="H160" s="31" t="str">
        <f t="shared" si="7"/>
        <v>ครบ</v>
      </c>
      <c r="I160" s="31"/>
      <c r="J160" s="27" t="e">
        <f>VLOOKUP(I160,Sheet2!$B$1:$C$62,2,FALSE)</f>
        <v>#N/A</v>
      </c>
      <c r="K160" s="27" t="e">
        <f>VLOOKUP(J160,Sheet2!$C$1:$D$61,2,FALSE)</f>
        <v>#N/A</v>
      </c>
      <c r="L160" s="31"/>
      <c r="M160" s="27"/>
      <c r="N160" s="27"/>
      <c r="O160" s="27"/>
      <c r="P160" s="28"/>
      <c r="Q160" s="5" t="str">
        <f t="shared" si="8"/>
        <v>ทันกำหนด</v>
      </c>
      <c r="R160" s="6"/>
      <c r="S160" s="7"/>
    </row>
    <row r="161" spans="1:19" ht="27.75" customHeight="1">
      <c r="A161" s="3">
        <v>160</v>
      </c>
      <c r="B161" s="27"/>
      <c r="C161" s="29"/>
      <c r="D161" s="30"/>
      <c r="E161" s="31"/>
      <c r="F161" s="31"/>
      <c r="G161" s="31">
        <f t="shared" si="6"/>
        <v>0</v>
      </c>
      <c r="H161" s="31" t="str">
        <f t="shared" si="7"/>
        <v>ครบ</v>
      </c>
      <c r="I161" s="31"/>
      <c r="J161" s="27" t="e">
        <f>VLOOKUP(I161,Sheet2!$B$1:$C$62,2,FALSE)</f>
        <v>#N/A</v>
      </c>
      <c r="K161" s="27" t="e">
        <f>VLOOKUP(J161,Sheet2!$C$1:$D$61,2,FALSE)</f>
        <v>#N/A</v>
      </c>
      <c r="L161" s="31"/>
      <c r="M161" s="27"/>
      <c r="N161" s="27"/>
      <c r="O161" s="27"/>
      <c r="P161" s="28"/>
      <c r="Q161" s="5" t="str">
        <f t="shared" si="8"/>
        <v>ทันกำหนด</v>
      </c>
      <c r="R161" s="6"/>
      <c r="S161" s="7"/>
    </row>
    <row r="162" spans="1:19" ht="27.75" customHeight="1">
      <c r="A162" s="3">
        <v>161</v>
      </c>
      <c r="B162" s="27"/>
      <c r="C162" s="29"/>
      <c r="D162" s="30"/>
      <c r="E162" s="31"/>
      <c r="F162" s="31"/>
      <c r="G162" s="31">
        <f t="shared" si="6"/>
        <v>0</v>
      </c>
      <c r="H162" s="31" t="str">
        <f t="shared" si="7"/>
        <v>ครบ</v>
      </c>
      <c r="I162" s="31"/>
      <c r="J162" s="27" t="e">
        <f>VLOOKUP(I162,Sheet2!$B$1:$C$62,2,FALSE)</f>
        <v>#N/A</v>
      </c>
      <c r="K162" s="27" t="e">
        <f>VLOOKUP(J162,Sheet2!$C$1:$D$61,2,FALSE)</f>
        <v>#N/A</v>
      </c>
      <c r="L162" s="31"/>
      <c r="M162" s="27"/>
      <c r="N162" s="27"/>
      <c r="O162" s="27"/>
      <c r="P162" s="28"/>
      <c r="Q162" s="5" t="str">
        <f t="shared" si="8"/>
        <v>ทันกำหนด</v>
      </c>
      <c r="R162" s="6"/>
      <c r="S162" s="7"/>
    </row>
    <row r="163" spans="1:19" ht="27.75" customHeight="1">
      <c r="A163" s="3">
        <v>162</v>
      </c>
      <c r="B163" s="27"/>
      <c r="C163" s="29"/>
      <c r="D163" s="30"/>
      <c r="E163" s="31"/>
      <c r="F163" s="31"/>
      <c r="G163" s="31">
        <f t="shared" si="6"/>
        <v>0</v>
      </c>
      <c r="H163" s="31" t="str">
        <f t="shared" si="7"/>
        <v>ครบ</v>
      </c>
      <c r="I163" s="31"/>
      <c r="J163" s="27" t="e">
        <f>VLOOKUP(I163,Sheet2!$B$1:$C$62,2,FALSE)</f>
        <v>#N/A</v>
      </c>
      <c r="K163" s="27" t="e">
        <f>VLOOKUP(J163,Sheet2!$C$1:$D$61,2,FALSE)</f>
        <v>#N/A</v>
      </c>
      <c r="L163" s="31"/>
      <c r="M163" s="27"/>
      <c r="N163" s="27"/>
      <c r="O163" s="27"/>
      <c r="P163" s="28"/>
      <c r="Q163" s="5" t="str">
        <f t="shared" si="8"/>
        <v>ทันกำหนด</v>
      </c>
      <c r="R163" s="6"/>
      <c r="S163" s="7"/>
    </row>
    <row r="164" spans="1:19" ht="27.75" customHeight="1">
      <c r="A164" s="3">
        <v>163</v>
      </c>
      <c r="B164" s="27"/>
      <c r="C164" s="29"/>
      <c r="D164" s="30"/>
      <c r="E164" s="31"/>
      <c r="F164" s="31"/>
      <c r="G164" s="31">
        <f t="shared" si="6"/>
        <v>0</v>
      </c>
      <c r="H164" s="31" t="str">
        <f t="shared" si="7"/>
        <v>ครบ</v>
      </c>
      <c r="I164" s="31"/>
      <c r="J164" s="27" t="e">
        <f>VLOOKUP(I164,Sheet2!$B$1:$C$62,2,FALSE)</f>
        <v>#N/A</v>
      </c>
      <c r="K164" s="27" t="e">
        <f>VLOOKUP(J164,Sheet2!$C$1:$D$61,2,FALSE)</f>
        <v>#N/A</v>
      </c>
      <c r="L164" s="31"/>
      <c r="M164" s="27"/>
      <c r="N164" s="27"/>
      <c r="O164" s="27"/>
      <c r="P164" s="28"/>
      <c r="Q164" s="5" t="str">
        <f t="shared" si="8"/>
        <v>ทันกำหนด</v>
      </c>
      <c r="R164" s="6"/>
      <c r="S164" s="7"/>
    </row>
    <row r="165" spans="1:19" ht="27.75" customHeight="1">
      <c r="A165" s="3">
        <v>164</v>
      </c>
      <c r="B165" s="27"/>
      <c r="C165" s="29"/>
      <c r="D165" s="30"/>
      <c r="E165" s="31"/>
      <c r="F165" s="31"/>
      <c r="G165" s="31">
        <f t="shared" si="6"/>
        <v>0</v>
      </c>
      <c r="H165" s="31" t="str">
        <f t="shared" si="7"/>
        <v>ครบ</v>
      </c>
      <c r="I165" s="31"/>
      <c r="J165" s="27" t="e">
        <f>VLOOKUP(I165,Sheet2!$B$1:$C$62,2,FALSE)</f>
        <v>#N/A</v>
      </c>
      <c r="K165" s="27" t="e">
        <f>VLOOKUP(J165,Sheet2!$C$1:$D$61,2,FALSE)</f>
        <v>#N/A</v>
      </c>
      <c r="L165" s="31"/>
      <c r="M165" s="27"/>
      <c r="N165" s="27"/>
      <c r="O165" s="27"/>
      <c r="P165" s="28"/>
      <c r="Q165" s="5" t="str">
        <f t="shared" si="8"/>
        <v>ทันกำหนด</v>
      </c>
      <c r="R165" s="6"/>
      <c r="S165" s="7"/>
    </row>
    <row r="166" spans="1:19" ht="27.75" customHeight="1">
      <c r="A166" s="3">
        <v>165</v>
      </c>
      <c r="B166" s="27"/>
      <c r="C166" s="29"/>
      <c r="D166" s="30"/>
      <c r="E166" s="31"/>
      <c r="F166" s="31"/>
      <c r="G166" s="31">
        <f t="shared" si="6"/>
        <v>0</v>
      </c>
      <c r="H166" s="31" t="str">
        <f t="shared" si="7"/>
        <v>ครบ</v>
      </c>
      <c r="I166" s="31"/>
      <c r="J166" s="27" t="e">
        <f>VLOOKUP(I166,Sheet2!$B$1:$C$62,2,FALSE)</f>
        <v>#N/A</v>
      </c>
      <c r="K166" s="27" t="e">
        <f>VLOOKUP(J166,Sheet2!$C$1:$D$61,2,FALSE)</f>
        <v>#N/A</v>
      </c>
      <c r="L166" s="31"/>
      <c r="M166" s="27"/>
      <c r="N166" s="27"/>
      <c r="O166" s="27"/>
      <c r="P166" s="28"/>
      <c r="Q166" s="5" t="str">
        <f t="shared" si="8"/>
        <v>ทันกำหนด</v>
      </c>
      <c r="R166" s="6"/>
      <c r="S166" s="7"/>
    </row>
    <row r="167" spans="1:19" ht="27.75" customHeight="1">
      <c r="A167" s="3">
        <v>166</v>
      </c>
      <c r="B167" s="27"/>
      <c r="C167" s="29"/>
      <c r="D167" s="30"/>
      <c r="E167" s="31"/>
      <c r="F167" s="31"/>
      <c r="G167" s="31">
        <f t="shared" si="6"/>
        <v>0</v>
      </c>
      <c r="H167" s="31" t="str">
        <f t="shared" si="7"/>
        <v>ครบ</v>
      </c>
      <c r="I167" s="31"/>
      <c r="J167" s="27" t="e">
        <f>VLOOKUP(I167,Sheet2!$B$1:$C$62,2,FALSE)</f>
        <v>#N/A</v>
      </c>
      <c r="K167" s="27" t="e">
        <f>VLOOKUP(J167,Sheet2!$C$1:$D$61,2,FALSE)</f>
        <v>#N/A</v>
      </c>
      <c r="L167" s="31"/>
      <c r="M167" s="27"/>
      <c r="N167" s="27"/>
      <c r="O167" s="27"/>
      <c r="P167" s="28"/>
      <c r="Q167" s="5" t="str">
        <f t="shared" si="8"/>
        <v>ทันกำหนด</v>
      </c>
      <c r="R167" s="6"/>
      <c r="S167" s="7"/>
    </row>
    <row r="168" spans="1:19" ht="27.75" customHeight="1">
      <c r="A168" s="3">
        <v>167</v>
      </c>
      <c r="B168" s="27"/>
      <c r="C168" s="29"/>
      <c r="D168" s="30"/>
      <c r="E168" s="31"/>
      <c r="F168" s="31"/>
      <c r="G168" s="31">
        <f t="shared" si="6"/>
        <v>0</v>
      </c>
      <c r="H168" s="31" t="str">
        <f t="shared" si="7"/>
        <v>ครบ</v>
      </c>
      <c r="I168" s="31"/>
      <c r="J168" s="27" t="e">
        <f>VLOOKUP(I168,Sheet2!$B$1:$C$62,2,FALSE)</f>
        <v>#N/A</v>
      </c>
      <c r="K168" s="27" t="e">
        <f>VLOOKUP(J168,Sheet2!$C$1:$D$61,2,FALSE)</f>
        <v>#N/A</v>
      </c>
      <c r="L168" s="31"/>
      <c r="M168" s="27"/>
      <c r="N168" s="27"/>
      <c r="O168" s="27"/>
      <c r="P168" s="28"/>
      <c r="Q168" s="5" t="str">
        <f t="shared" si="8"/>
        <v>ทันกำหนด</v>
      </c>
      <c r="R168" s="6"/>
      <c r="S168" s="7"/>
    </row>
    <row r="169" spans="1:19" ht="27.75" customHeight="1">
      <c r="A169" s="3">
        <v>168</v>
      </c>
      <c r="B169" s="27"/>
      <c r="C169" s="29"/>
      <c r="D169" s="30"/>
      <c r="E169" s="31"/>
      <c r="F169" s="31"/>
      <c r="G169" s="31">
        <f t="shared" si="6"/>
        <v>0</v>
      </c>
      <c r="H169" s="31" t="str">
        <f t="shared" si="7"/>
        <v>ครบ</v>
      </c>
      <c r="I169" s="31"/>
      <c r="J169" s="27" t="e">
        <f>VLOOKUP(I169,Sheet2!$B$1:$C$62,2,FALSE)</f>
        <v>#N/A</v>
      </c>
      <c r="K169" s="27" t="e">
        <f>VLOOKUP(J169,Sheet2!$C$1:$D$61,2,FALSE)</f>
        <v>#N/A</v>
      </c>
      <c r="L169" s="31"/>
      <c r="M169" s="27"/>
      <c r="N169" s="27"/>
      <c r="O169" s="27"/>
      <c r="P169" s="28"/>
      <c r="Q169" s="5" t="str">
        <f t="shared" si="8"/>
        <v>ทันกำหนด</v>
      </c>
      <c r="R169" s="6"/>
      <c r="S169" s="7"/>
    </row>
    <row r="170" spans="1:19" ht="27.75" customHeight="1">
      <c r="A170" s="3">
        <v>169</v>
      </c>
      <c r="B170" s="27"/>
      <c r="C170" s="29"/>
      <c r="D170" s="30"/>
      <c r="E170" s="31"/>
      <c r="F170" s="31"/>
      <c r="G170" s="31">
        <f t="shared" si="6"/>
        <v>0</v>
      </c>
      <c r="H170" s="31" t="str">
        <f t="shared" si="7"/>
        <v>ครบ</v>
      </c>
      <c r="I170" s="31"/>
      <c r="J170" s="27" t="e">
        <f>VLOOKUP(I170,Sheet2!$B$1:$C$62,2,FALSE)</f>
        <v>#N/A</v>
      </c>
      <c r="K170" s="27" t="e">
        <f>VLOOKUP(J170,Sheet2!$C$1:$D$61,2,FALSE)</f>
        <v>#N/A</v>
      </c>
      <c r="L170" s="31"/>
      <c r="M170" s="27"/>
      <c r="N170" s="27"/>
      <c r="O170" s="27"/>
      <c r="P170" s="28"/>
      <c r="Q170" s="5" t="str">
        <f t="shared" si="8"/>
        <v>ทันกำหนด</v>
      </c>
      <c r="R170" s="6"/>
      <c r="S170" s="7"/>
    </row>
    <row r="171" spans="1:19" ht="27.75" customHeight="1">
      <c r="A171" s="3">
        <v>170</v>
      </c>
      <c r="B171" s="27"/>
      <c r="C171" s="29"/>
      <c r="D171" s="30"/>
      <c r="E171" s="31"/>
      <c r="F171" s="31"/>
      <c r="G171" s="31">
        <f t="shared" si="6"/>
        <v>0</v>
      </c>
      <c r="H171" s="31" t="str">
        <f t="shared" si="7"/>
        <v>ครบ</v>
      </c>
      <c r="I171" s="31"/>
      <c r="J171" s="27" t="e">
        <f>VLOOKUP(I171,Sheet2!$B$1:$C$62,2,FALSE)</f>
        <v>#N/A</v>
      </c>
      <c r="K171" s="27" t="e">
        <f>VLOOKUP(J171,Sheet2!$C$1:$D$61,2,FALSE)</f>
        <v>#N/A</v>
      </c>
      <c r="L171" s="31"/>
      <c r="M171" s="27"/>
      <c r="N171" s="27"/>
      <c r="O171" s="27"/>
      <c r="P171" s="28"/>
      <c r="Q171" s="5" t="str">
        <f t="shared" si="8"/>
        <v>ทันกำหนด</v>
      </c>
      <c r="R171" s="6"/>
      <c r="S171" s="7"/>
    </row>
    <row r="172" spans="1:19" ht="27.75" customHeight="1">
      <c r="A172" s="3">
        <v>171</v>
      </c>
      <c r="B172" s="27"/>
      <c r="C172" s="29"/>
      <c r="D172" s="30"/>
      <c r="E172" s="31"/>
      <c r="F172" s="31"/>
      <c r="G172" s="31">
        <f t="shared" si="6"/>
        <v>0</v>
      </c>
      <c r="H172" s="31" t="str">
        <f t="shared" si="7"/>
        <v>ครบ</v>
      </c>
      <c r="I172" s="31"/>
      <c r="J172" s="27" t="e">
        <f>VLOOKUP(I172,Sheet2!$B$1:$C$62,2,FALSE)</f>
        <v>#N/A</v>
      </c>
      <c r="K172" s="27" t="e">
        <f>VLOOKUP(J172,Sheet2!$C$1:$D$61,2,FALSE)</f>
        <v>#N/A</v>
      </c>
      <c r="L172" s="31"/>
      <c r="M172" s="27"/>
      <c r="N172" s="27"/>
      <c r="O172" s="27"/>
      <c r="P172" s="28"/>
      <c r="Q172" s="5" t="str">
        <f t="shared" si="8"/>
        <v>ทันกำหนด</v>
      </c>
      <c r="R172" s="6"/>
      <c r="S172" s="7"/>
    </row>
    <row r="173" spans="1:19" ht="27.75" customHeight="1">
      <c r="A173" s="3">
        <v>172</v>
      </c>
      <c r="B173" s="27"/>
      <c r="C173" s="29"/>
      <c r="D173" s="30"/>
      <c r="E173" s="31"/>
      <c r="F173" s="31"/>
      <c r="G173" s="31">
        <f t="shared" si="6"/>
        <v>0</v>
      </c>
      <c r="H173" s="31" t="str">
        <f t="shared" si="7"/>
        <v>ครบ</v>
      </c>
      <c r="I173" s="31"/>
      <c r="J173" s="27" t="e">
        <f>VLOOKUP(I173,Sheet2!$B$1:$C$62,2,FALSE)</f>
        <v>#N/A</v>
      </c>
      <c r="K173" s="27" t="e">
        <f>VLOOKUP(J173,Sheet2!$C$1:$D$61,2,FALSE)</f>
        <v>#N/A</v>
      </c>
      <c r="L173" s="31"/>
      <c r="M173" s="27"/>
      <c r="N173" s="27"/>
      <c r="O173" s="27"/>
      <c r="P173" s="28"/>
      <c r="Q173" s="5" t="str">
        <f t="shared" si="8"/>
        <v>ทันกำหนด</v>
      </c>
      <c r="R173" s="6"/>
      <c r="S173" s="7"/>
    </row>
    <row r="174" spans="1:19" ht="27.75" customHeight="1">
      <c r="A174" s="3">
        <v>173</v>
      </c>
      <c r="B174" s="27"/>
      <c r="C174" s="29"/>
      <c r="D174" s="30"/>
      <c r="E174" s="31"/>
      <c r="F174" s="31"/>
      <c r="G174" s="31">
        <f t="shared" si="6"/>
        <v>0</v>
      </c>
      <c r="H174" s="31" t="str">
        <f t="shared" si="7"/>
        <v>ครบ</v>
      </c>
      <c r="I174" s="31"/>
      <c r="J174" s="27" t="e">
        <f>VLOOKUP(I174,Sheet2!$B$1:$C$62,2,FALSE)</f>
        <v>#N/A</v>
      </c>
      <c r="K174" s="27" t="e">
        <f>VLOOKUP(J174,Sheet2!$C$1:$D$61,2,FALSE)</f>
        <v>#N/A</v>
      </c>
      <c r="L174" s="31"/>
      <c r="M174" s="27"/>
      <c r="N174" s="27"/>
      <c r="O174" s="27"/>
      <c r="P174" s="28"/>
      <c r="Q174" s="5" t="str">
        <f t="shared" si="8"/>
        <v>ทันกำหนด</v>
      </c>
      <c r="R174" s="6"/>
      <c r="S174" s="7"/>
    </row>
    <row r="175" spans="1:19" ht="27.75" customHeight="1">
      <c r="A175" s="3">
        <v>174</v>
      </c>
      <c r="B175" s="27"/>
      <c r="C175" s="29"/>
      <c r="D175" s="30"/>
      <c r="E175" s="31"/>
      <c r="F175" s="31"/>
      <c r="G175" s="31">
        <f t="shared" si="6"/>
        <v>0</v>
      </c>
      <c r="H175" s="31" t="str">
        <f t="shared" si="7"/>
        <v>ครบ</v>
      </c>
      <c r="I175" s="31"/>
      <c r="J175" s="27" t="e">
        <f>VLOOKUP(I175,Sheet2!$B$1:$C$62,2,FALSE)</f>
        <v>#N/A</v>
      </c>
      <c r="K175" s="27" t="e">
        <f>VLOOKUP(J175,Sheet2!$C$1:$D$61,2,FALSE)</f>
        <v>#N/A</v>
      </c>
      <c r="L175" s="31"/>
      <c r="M175" s="27"/>
      <c r="N175" s="27"/>
      <c r="O175" s="27"/>
      <c r="P175" s="28"/>
      <c r="Q175" s="5" t="str">
        <f t="shared" si="8"/>
        <v>ทันกำหนด</v>
      </c>
      <c r="R175" s="6"/>
      <c r="S175" s="7"/>
    </row>
    <row r="176" spans="1:19" ht="27.75" customHeight="1">
      <c r="A176" s="3">
        <v>175</v>
      </c>
      <c r="B176" s="27"/>
      <c r="C176" s="29"/>
      <c r="D176" s="30"/>
      <c r="E176" s="31"/>
      <c r="F176" s="31"/>
      <c r="G176" s="31">
        <f t="shared" si="6"/>
        <v>0</v>
      </c>
      <c r="H176" s="31" t="str">
        <f t="shared" si="7"/>
        <v>ครบ</v>
      </c>
      <c r="I176" s="31"/>
      <c r="J176" s="27" t="e">
        <f>VLOOKUP(I176,Sheet2!$B$1:$C$62,2,FALSE)</f>
        <v>#N/A</v>
      </c>
      <c r="K176" s="27" t="e">
        <f>VLOOKUP(J176,Sheet2!$C$1:$D$61,2,FALSE)</f>
        <v>#N/A</v>
      </c>
      <c r="L176" s="31"/>
      <c r="M176" s="27"/>
      <c r="N176" s="27"/>
      <c r="O176" s="27"/>
      <c r="P176" s="28"/>
      <c r="Q176" s="5" t="str">
        <f t="shared" si="8"/>
        <v>ทันกำหนด</v>
      </c>
      <c r="R176" s="6"/>
      <c r="S176" s="7"/>
    </row>
    <row r="177" spans="1:19" ht="27.75" customHeight="1">
      <c r="A177" s="3">
        <v>176</v>
      </c>
      <c r="B177" s="27"/>
      <c r="C177" s="29"/>
      <c r="D177" s="30"/>
      <c r="E177" s="31"/>
      <c r="F177" s="31"/>
      <c r="G177" s="31">
        <f t="shared" si="6"/>
        <v>0</v>
      </c>
      <c r="H177" s="31" t="str">
        <f t="shared" si="7"/>
        <v>ครบ</v>
      </c>
      <c r="I177" s="31"/>
      <c r="J177" s="27" t="e">
        <f>VLOOKUP(I177,Sheet2!$B$1:$C$62,2,FALSE)</f>
        <v>#N/A</v>
      </c>
      <c r="K177" s="27" t="e">
        <f>VLOOKUP(J177,Sheet2!$C$1:$D$61,2,FALSE)</f>
        <v>#N/A</v>
      </c>
      <c r="L177" s="31"/>
      <c r="M177" s="27"/>
      <c r="N177" s="27"/>
      <c r="O177" s="27"/>
      <c r="P177" s="28"/>
      <c r="Q177" s="5" t="str">
        <f t="shared" si="8"/>
        <v>ทันกำหนด</v>
      </c>
      <c r="R177" s="6"/>
      <c r="S177" s="7"/>
    </row>
    <row r="178" spans="1:19" ht="27.75" customHeight="1">
      <c r="A178" s="3">
        <v>177</v>
      </c>
      <c r="B178" s="27"/>
      <c r="C178" s="29"/>
      <c r="D178" s="30"/>
      <c r="E178" s="31"/>
      <c r="F178" s="31"/>
      <c r="G178" s="31">
        <f t="shared" si="6"/>
        <v>0</v>
      </c>
      <c r="H178" s="31" t="str">
        <f t="shared" si="7"/>
        <v>ครบ</v>
      </c>
      <c r="I178" s="31"/>
      <c r="J178" s="27" t="e">
        <f>VLOOKUP(I178,Sheet2!$B$1:$C$62,2,FALSE)</f>
        <v>#N/A</v>
      </c>
      <c r="K178" s="27" t="e">
        <f>VLOOKUP(J178,Sheet2!$C$1:$D$61,2,FALSE)</f>
        <v>#N/A</v>
      </c>
      <c r="L178" s="31"/>
      <c r="M178" s="27"/>
      <c r="N178" s="27"/>
      <c r="O178" s="27"/>
      <c r="P178" s="28"/>
      <c r="Q178" s="5" t="str">
        <f t="shared" si="8"/>
        <v>ทันกำหนด</v>
      </c>
      <c r="R178" s="6"/>
      <c r="S178" s="7"/>
    </row>
    <row r="179" spans="1:19" ht="27.75" customHeight="1">
      <c r="A179" s="3">
        <v>178</v>
      </c>
      <c r="B179" s="27"/>
      <c r="C179" s="29"/>
      <c r="D179" s="30"/>
      <c r="E179" s="31"/>
      <c r="F179" s="31"/>
      <c r="G179" s="31">
        <f t="shared" si="6"/>
        <v>0</v>
      </c>
      <c r="H179" s="31" t="str">
        <f t="shared" si="7"/>
        <v>ครบ</v>
      </c>
      <c r="I179" s="31"/>
      <c r="J179" s="27" t="e">
        <f>VLOOKUP(I178,Sheet2!$B$1:$C$62,2,FALSE)</f>
        <v>#N/A</v>
      </c>
      <c r="K179" s="27" t="e">
        <f>VLOOKUP(J179,Sheet2!$C$1:$D$61,2,FALSE)</f>
        <v>#N/A</v>
      </c>
      <c r="L179" s="31"/>
      <c r="M179" s="27"/>
      <c r="N179" s="27"/>
      <c r="O179" s="27"/>
      <c r="P179" s="28"/>
      <c r="Q179" s="5" t="str">
        <f t="shared" si="8"/>
        <v>ทันกำหนด</v>
      </c>
      <c r="R179" s="6"/>
      <c r="S179" s="7"/>
    </row>
    <row r="180" spans="1:19" ht="27.75" customHeight="1">
      <c r="A180" s="3">
        <v>179</v>
      </c>
      <c r="B180" s="27"/>
      <c r="C180" s="29"/>
      <c r="D180" s="30"/>
      <c r="E180" s="31"/>
      <c r="F180" s="31"/>
      <c r="G180" s="31">
        <f t="shared" si="6"/>
        <v>0</v>
      </c>
      <c r="H180" s="31" t="str">
        <f t="shared" si="7"/>
        <v>ครบ</v>
      </c>
      <c r="I180" s="31"/>
      <c r="J180" s="27" t="e">
        <f>VLOOKUP(J179,Sheet2!$C$1:$D$61,2,FALSE)</f>
        <v>#N/A</v>
      </c>
      <c r="K180" s="27" t="e">
        <f>VLOOKUP(J180,Sheet2!$C$1:$D$61,2,FALSE)</f>
        <v>#N/A</v>
      </c>
      <c r="L180" s="31"/>
      <c r="M180" s="27"/>
      <c r="N180" s="27"/>
      <c r="O180" s="27"/>
      <c r="P180" s="28"/>
      <c r="Q180" s="5" t="str">
        <f t="shared" si="8"/>
        <v>ทันกำหนด</v>
      </c>
      <c r="R180" s="6"/>
      <c r="S180" s="7"/>
    </row>
    <row r="181" spans="1:19" ht="27.75" customHeight="1">
      <c r="A181" s="3">
        <v>180</v>
      </c>
      <c r="B181" s="27"/>
      <c r="C181" s="29"/>
      <c r="D181" s="30"/>
      <c r="E181" s="31"/>
      <c r="F181" s="31"/>
      <c r="G181" s="31">
        <f t="shared" si="6"/>
        <v>0</v>
      </c>
      <c r="H181" s="31" t="str">
        <f t="shared" si="7"/>
        <v>ครบ</v>
      </c>
      <c r="I181" s="31"/>
      <c r="J181" s="27" t="e">
        <f>VLOOKUP(I181,Sheet2!$B$1:$C$62,2,FALSE)</f>
        <v>#N/A</v>
      </c>
      <c r="K181" s="27" t="e">
        <f>VLOOKUP(J181,Sheet2!$C$1:$D$61,2,FALSE)</f>
        <v>#N/A</v>
      </c>
      <c r="L181" s="31"/>
      <c r="M181" s="27"/>
      <c r="N181" s="27"/>
      <c r="O181" s="27"/>
      <c r="P181" s="28"/>
      <c r="Q181" s="5" t="str">
        <f t="shared" si="8"/>
        <v>ทันกำหนด</v>
      </c>
      <c r="R181" s="6"/>
      <c r="S181" s="7"/>
    </row>
    <row r="182" spans="1:19" ht="27.75" customHeight="1">
      <c r="A182" s="3">
        <v>181</v>
      </c>
      <c r="B182" s="27"/>
      <c r="C182" s="29"/>
      <c r="D182" s="30"/>
      <c r="E182" s="31"/>
      <c r="F182" s="31"/>
      <c r="G182" s="31">
        <f t="shared" si="6"/>
        <v>0</v>
      </c>
      <c r="H182" s="31" t="str">
        <f t="shared" si="7"/>
        <v>ครบ</v>
      </c>
      <c r="I182" s="31"/>
      <c r="J182" s="27" t="e">
        <f>VLOOKUP(I182,Sheet2!$B$1:$C$62,2,FALSE)</f>
        <v>#N/A</v>
      </c>
      <c r="K182" s="27" t="e">
        <f>VLOOKUP(J182,Sheet2!$C$1:$D$61,2,FALSE)</f>
        <v>#N/A</v>
      </c>
      <c r="L182" s="31"/>
      <c r="M182" s="27"/>
      <c r="N182" s="27"/>
      <c r="O182" s="27"/>
      <c r="P182" s="28"/>
      <c r="Q182" s="5" t="str">
        <f t="shared" si="8"/>
        <v>ทันกำหนด</v>
      </c>
      <c r="R182" s="6"/>
      <c r="S182" s="7"/>
    </row>
    <row r="183" spans="1:19" ht="27.75" customHeight="1">
      <c r="A183" s="3">
        <v>182</v>
      </c>
      <c r="B183" s="27"/>
      <c r="C183" s="29"/>
      <c r="D183" s="30"/>
      <c r="E183" s="31"/>
      <c r="F183" s="31"/>
      <c r="G183" s="31">
        <f t="shared" si="6"/>
        <v>0</v>
      </c>
      <c r="H183" s="31" t="str">
        <f t="shared" si="7"/>
        <v>ครบ</v>
      </c>
      <c r="I183" s="31"/>
      <c r="J183" s="27" t="e">
        <f>VLOOKUP(I183,Sheet2!$B$1:$C$62,2,FALSE)</f>
        <v>#N/A</v>
      </c>
      <c r="K183" s="27" t="e">
        <f>VLOOKUP(J183,Sheet2!$C$1:$D$61,2,FALSE)</f>
        <v>#N/A</v>
      </c>
      <c r="L183" s="31"/>
      <c r="M183" s="27"/>
      <c r="N183" s="27"/>
      <c r="O183" s="27"/>
      <c r="P183" s="28"/>
      <c r="Q183" s="5" t="str">
        <f t="shared" si="8"/>
        <v>ทันกำหนด</v>
      </c>
      <c r="R183" s="6"/>
      <c r="S183" s="7"/>
    </row>
    <row r="184" spans="1:19" ht="27.75" customHeight="1">
      <c r="A184" s="3">
        <v>183</v>
      </c>
      <c r="B184" s="27"/>
      <c r="C184" s="29"/>
      <c r="D184" s="30"/>
      <c r="E184" s="31"/>
      <c r="F184" s="31"/>
      <c r="G184" s="31">
        <f t="shared" si="6"/>
        <v>0</v>
      </c>
      <c r="H184" s="31" t="str">
        <f t="shared" si="7"/>
        <v>ครบ</v>
      </c>
      <c r="I184" s="31"/>
      <c r="J184" s="27" t="e">
        <f>VLOOKUP(I184,Sheet2!$B$1:$C$62,2,FALSE)</f>
        <v>#N/A</v>
      </c>
      <c r="K184" s="27" t="e">
        <f>VLOOKUP(J184,Sheet2!$C$1:$D$61,2,FALSE)</f>
        <v>#N/A</v>
      </c>
      <c r="L184" s="31"/>
      <c r="M184" s="27"/>
      <c r="N184" s="27"/>
      <c r="O184" s="27"/>
      <c r="P184" s="28"/>
      <c r="Q184" s="5" t="str">
        <f t="shared" si="8"/>
        <v>ทันกำหนด</v>
      </c>
      <c r="R184" s="6"/>
      <c r="S184" s="7" t="s">
        <v>31</v>
      </c>
    </row>
    <row r="185" spans="1:19" ht="27.75" customHeight="1">
      <c r="A185" s="3">
        <v>184</v>
      </c>
      <c r="B185" s="27"/>
      <c r="C185" s="29"/>
      <c r="D185" s="39"/>
      <c r="E185" s="31"/>
      <c r="F185" s="31"/>
      <c r="G185" s="31">
        <f t="shared" si="6"/>
        <v>0</v>
      </c>
      <c r="H185" s="31" t="str">
        <f t="shared" si="7"/>
        <v>ครบ</v>
      </c>
      <c r="I185" s="31"/>
      <c r="J185" s="27" t="e">
        <f>VLOOKUP(I185,Sheet2!$B$1:$C$62,2,FALSE)</f>
        <v>#N/A</v>
      </c>
      <c r="K185" s="27" t="e">
        <f>VLOOKUP(J185,Sheet2!$C$1:$D$61,2,FALSE)</f>
        <v>#N/A</v>
      </c>
      <c r="L185" s="31"/>
      <c r="M185" s="27"/>
      <c r="N185" s="27"/>
      <c r="O185" s="27"/>
      <c r="P185" s="28"/>
      <c r="Q185" s="5" t="str">
        <f t="shared" si="8"/>
        <v>ทันกำหนด</v>
      </c>
      <c r="R185" s="6"/>
      <c r="S185" s="7"/>
    </row>
    <row r="186" spans="1:19" ht="27.75" customHeight="1">
      <c r="A186" s="3">
        <v>185</v>
      </c>
      <c r="B186" s="27"/>
      <c r="C186" s="29"/>
      <c r="D186" s="30"/>
      <c r="E186" s="31"/>
      <c r="F186" s="31"/>
      <c r="G186" s="31">
        <f t="shared" si="6"/>
        <v>0</v>
      </c>
      <c r="H186" s="31" t="str">
        <f t="shared" si="7"/>
        <v>ครบ</v>
      </c>
      <c r="I186" s="31"/>
      <c r="J186" s="27" t="e">
        <f>VLOOKUP(I186,Sheet2!$B$1:$C$62,2,FALSE)</f>
        <v>#N/A</v>
      </c>
      <c r="K186" s="27" t="e">
        <f>VLOOKUP(J186,Sheet2!$C$1:$D$61,2,FALSE)</f>
        <v>#N/A</v>
      </c>
      <c r="L186" s="31"/>
      <c r="M186" s="27"/>
      <c r="N186" s="27"/>
      <c r="O186" s="27"/>
      <c r="P186" s="28"/>
      <c r="Q186" s="5" t="str">
        <f t="shared" si="8"/>
        <v>ทันกำหนด</v>
      </c>
      <c r="R186" s="6"/>
      <c r="S186" s="7"/>
    </row>
    <row r="187" spans="1:19" ht="27.75" customHeight="1">
      <c r="A187" s="3">
        <v>186</v>
      </c>
      <c r="B187" s="27"/>
      <c r="C187" s="29"/>
      <c r="D187" s="30"/>
      <c r="E187" s="31"/>
      <c r="F187" s="31"/>
      <c r="G187" s="31">
        <f t="shared" si="6"/>
        <v>0</v>
      </c>
      <c r="H187" s="31" t="str">
        <f t="shared" si="7"/>
        <v>ครบ</v>
      </c>
      <c r="I187" s="31"/>
      <c r="J187" s="27" t="e">
        <f>VLOOKUP(I187,Sheet2!$B$1:$C$62,2,FALSE)</f>
        <v>#N/A</v>
      </c>
      <c r="K187" s="27" t="e">
        <f>VLOOKUP(J187,Sheet2!$C$1:$D$61,2,FALSE)</f>
        <v>#N/A</v>
      </c>
      <c r="L187" s="31"/>
      <c r="M187" s="27"/>
      <c r="N187" s="27"/>
      <c r="O187" s="27"/>
      <c r="P187" s="28"/>
      <c r="Q187" s="5" t="str">
        <f t="shared" si="8"/>
        <v>ทันกำหนด</v>
      </c>
      <c r="R187" s="6"/>
      <c r="S187" s="7"/>
    </row>
    <row r="188" spans="1:19" ht="27.75" customHeight="1">
      <c r="A188" s="3">
        <v>187</v>
      </c>
      <c r="B188" s="27"/>
      <c r="C188" s="29"/>
      <c r="D188" s="30"/>
      <c r="E188" s="31"/>
      <c r="F188" s="31"/>
      <c r="G188" s="31">
        <f t="shared" si="6"/>
        <v>0</v>
      </c>
      <c r="H188" s="31" t="str">
        <f t="shared" si="7"/>
        <v>ครบ</v>
      </c>
      <c r="I188" s="31"/>
      <c r="J188" s="27" t="e">
        <f>VLOOKUP(I188,Sheet2!$B$1:$C$62,2,FALSE)</f>
        <v>#N/A</v>
      </c>
      <c r="K188" s="27" t="e">
        <f>VLOOKUP(J188,Sheet2!$C$1:$D$61,2,FALSE)</f>
        <v>#N/A</v>
      </c>
      <c r="L188" s="31"/>
      <c r="M188" s="27"/>
      <c r="N188" s="27"/>
      <c r="O188" s="27"/>
      <c r="P188" s="28"/>
      <c r="Q188" s="5" t="str">
        <f t="shared" si="8"/>
        <v>ทันกำหนด</v>
      </c>
      <c r="R188" s="6"/>
      <c r="S188" s="7"/>
    </row>
    <row r="189" spans="1:19" ht="27.75" customHeight="1">
      <c r="A189" s="3">
        <v>188</v>
      </c>
      <c r="B189" s="27"/>
      <c r="C189" s="29"/>
      <c r="D189" s="30"/>
      <c r="E189" s="31"/>
      <c r="F189" s="31"/>
      <c r="G189" s="31">
        <f t="shared" si="6"/>
        <v>0</v>
      </c>
      <c r="H189" s="31" t="str">
        <f t="shared" si="7"/>
        <v>ครบ</v>
      </c>
      <c r="I189" s="31"/>
      <c r="J189" s="27" t="e">
        <f>VLOOKUP(I189,Sheet2!$B$1:$C$62,2,FALSE)</f>
        <v>#N/A</v>
      </c>
      <c r="K189" s="27" t="e">
        <f>VLOOKUP(J189,Sheet2!$C$1:$D$61,2,FALSE)</f>
        <v>#N/A</v>
      </c>
      <c r="L189" s="31"/>
      <c r="M189" s="27"/>
      <c r="N189" s="27"/>
      <c r="O189" s="27"/>
      <c r="P189" s="28"/>
      <c r="Q189" s="5" t="str">
        <f t="shared" si="8"/>
        <v>ทันกำหนด</v>
      </c>
      <c r="R189" s="6"/>
      <c r="S189" s="7"/>
    </row>
    <row r="190" spans="1:19" ht="27.75" customHeight="1">
      <c r="A190" s="3">
        <v>189</v>
      </c>
      <c r="B190" s="27"/>
      <c r="C190" s="29"/>
      <c r="D190" s="30"/>
      <c r="E190" s="31"/>
      <c r="F190" s="31"/>
      <c r="G190" s="31">
        <f t="shared" si="6"/>
        <v>0</v>
      </c>
      <c r="H190" s="31" t="str">
        <f t="shared" si="7"/>
        <v>ครบ</v>
      </c>
      <c r="I190" s="31"/>
      <c r="J190" s="27" t="e">
        <f>VLOOKUP(I190,Sheet2!$B$1:$C$62,2,FALSE)</f>
        <v>#N/A</v>
      </c>
      <c r="K190" s="27" t="e">
        <f>VLOOKUP(J190,Sheet2!$C$1:$D$61,2,FALSE)</f>
        <v>#N/A</v>
      </c>
      <c r="L190" s="31"/>
      <c r="M190" s="27"/>
      <c r="N190" s="27"/>
      <c r="O190" s="27"/>
      <c r="P190" s="28"/>
      <c r="Q190" s="5" t="str">
        <f t="shared" si="8"/>
        <v>ทันกำหนด</v>
      </c>
      <c r="R190" s="6"/>
      <c r="S190" s="7"/>
    </row>
    <row r="191" spans="1:19" ht="27.75" customHeight="1">
      <c r="A191" s="3">
        <v>190</v>
      </c>
      <c r="B191" s="27"/>
      <c r="C191" s="29"/>
      <c r="D191" s="30"/>
      <c r="E191" s="31"/>
      <c r="F191" s="31"/>
      <c r="G191" s="31">
        <f t="shared" si="6"/>
        <v>0</v>
      </c>
      <c r="H191" s="31" t="str">
        <f t="shared" si="7"/>
        <v>ครบ</v>
      </c>
      <c r="I191" s="31"/>
      <c r="J191" s="27" t="e">
        <f>VLOOKUP(I191,Sheet2!$B$1:$C$62,2,FALSE)</f>
        <v>#N/A</v>
      </c>
      <c r="K191" s="27" t="e">
        <f>VLOOKUP(J191,Sheet2!$C$1:$D$61,2,FALSE)</f>
        <v>#N/A</v>
      </c>
      <c r="L191" s="31"/>
      <c r="M191" s="27"/>
      <c r="N191" s="27"/>
      <c r="O191" s="27"/>
      <c r="P191" s="28"/>
      <c r="Q191" s="5" t="str">
        <f t="shared" si="8"/>
        <v>ทันกำหนด</v>
      </c>
      <c r="R191" s="6"/>
      <c r="S191" s="7"/>
    </row>
    <row r="192" spans="1:19" ht="27.75" customHeight="1">
      <c r="A192" s="3">
        <v>191</v>
      </c>
      <c r="B192" s="27"/>
      <c r="C192" s="29"/>
      <c r="D192" s="30"/>
      <c r="E192" s="31"/>
      <c r="F192" s="31"/>
      <c r="G192" s="31">
        <f t="shared" si="6"/>
        <v>0</v>
      </c>
      <c r="H192" s="31" t="str">
        <f t="shared" si="7"/>
        <v>ครบ</v>
      </c>
      <c r="I192" s="31"/>
      <c r="J192" s="27" t="e">
        <f>VLOOKUP(I192,Sheet2!$B$1:$C$62,2,FALSE)</f>
        <v>#N/A</v>
      </c>
      <c r="K192" s="27" t="e">
        <f>VLOOKUP(J192,Sheet2!$C$1:$D$61,2,FALSE)</f>
        <v>#N/A</v>
      </c>
      <c r="L192" s="31"/>
      <c r="M192" s="27"/>
      <c r="N192" s="27"/>
      <c r="O192" s="27"/>
      <c r="P192" s="28"/>
      <c r="Q192" s="5" t="str">
        <f t="shared" si="8"/>
        <v>ทันกำหนด</v>
      </c>
      <c r="R192" s="6"/>
      <c r="S192" s="7"/>
    </row>
    <row r="193" spans="1:19" ht="27.75" customHeight="1">
      <c r="A193" s="3">
        <v>192</v>
      </c>
      <c r="B193" s="27"/>
      <c r="C193" s="29"/>
      <c r="D193" s="30"/>
      <c r="E193" s="31"/>
      <c r="F193" s="31"/>
      <c r="G193" s="31">
        <f t="shared" si="6"/>
        <v>0</v>
      </c>
      <c r="H193" s="31" t="str">
        <f t="shared" si="7"/>
        <v>ครบ</v>
      </c>
      <c r="I193" s="31"/>
      <c r="J193" s="27" t="e">
        <f>VLOOKUP(I193,Sheet2!$B$1:$C$62,2,FALSE)</f>
        <v>#N/A</v>
      </c>
      <c r="K193" s="27" t="e">
        <f>VLOOKUP(J193,Sheet2!$C$1:$D$61,2,FALSE)</f>
        <v>#N/A</v>
      </c>
      <c r="L193" s="31"/>
      <c r="M193" s="27"/>
      <c r="N193" s="27"/>
      <c r="O193" s="27"/>
      <c r="P193" s="28"/>
      <c r="Q193" s="5" t="str">
        <f t="shared" si="8"/>
        <v>ทันกำหนด</v>
      </c>
      <c r="R193" s="6"/>
      <c r="S193" s="7"/>
    </row>
    <row r="194" spans="1:19" ht="27.75" customHeight="1">
      <c r="A194" s="3">
        <v>193</v>
      </c>
      <c r="B194" s="27"/>
      <c r="C194" s="29"/>
      <c r="D194" s="30"/>
      <c r="E194" s="31"/>
      <c r="F194" s="31"/>
      <c r="G194" s="31">
        <f t="shared" si="6"/>
        <v>0</v>
      </c>
      <c r="H194" s="31" t="str">
        <f t="shared" si="7"/>
        <v>ครบ</v>
      </c>
      <c r="I194" s="31"/>
      <c r="J194" s="27" t="e">
        <f>VLOOKUP(I194,Sheet2!$B$1:$C$62,2,FALSE)</f>
        <v>#N/A</v>
      </c>
      <c r="K194" s="27" t="e">
        <f>VLOOKUP(J194,Sheet2!$C$1:$D$61,2,FALSE)</f>
        <v>#N/A</v>
      </c>
      <c r="L194" s="31"/>
      <c r="M194" s="27"/>
      <c r="N194" s="27"/>
      <c r="O194" s="27"/>
      <c r="P194" s="28"/>
      <c r="Q194" s="5" t="str">
        <f t="shared" si="8"/>
        <v>ทันกำหนด</v>
      </c>
      <c r="R194" s="6"/>
      <c r="S194" s="7"/>
    </row>
    <row r="195" spans="1:19" ht="27.75" customHeight="1">
      <c r="A195" s="3">
        <v>194</v>
      </c>
      <c r="B195" s="27"/>
      <c r="C195" s="29"/>
      <c r="D195" s="30"/>
      <c r="E195" s="31"/>
      <c r="F195" s="31"/>
      <c r="G195" s="31">
        <f t="shared" ref="G195:G258" si="9">$E195-$F195</f>
        <v>0</v>
      </c>
      <c r="H195" s="31" t="str">
        <f t="shared" ref="H195:H258" si="10">IF($G195=0,"ครบ","ไม่ครบ")</f>
        <v>ครบ</v>
      </c>
      <c r="I195" s="31"/>
      <c r="J195" s="27" t="e">
        <f>VLOOKUP(I195,Sheet2!$B$1:$C$62,2,FALSE)</f>
        <v>#N/A</v>
      </c>
      <c r="K195" s="27" t="e">
        <f>VLOOKUP(J195,Sheet2!$C$1:$D$61,2,FALSE)</f>
        <v>#N/A</v>
      </c>
      <c r="L195" s="31"/>
      <c r="M195" s="27"/>
      <c r="N195" s="27"/>
      <c r="O195" s="27"/>
      <c r="P195" s="28"/>
      <c r="Q195" s="5" t="str">
        <f t="shared" ref="Q195:Q258" si="11">IF($N195&gt;$M195,"เกินกำหนด","ทันกำหนด")</f>
        <v>ทันกำหนด</v>
      </c>
      <c r="R195" s="6"/>
      <c r="S195" s="7"/>
    </row>
    <row r="196" spans="1:19" ht="27.75" customHeight="1">
      <c r="A196" s="3">
        <v>195</v>
      </c>
      <c r="B196" s="27"/>
      <c r="C196" s="29"/>
      <c r="D196" s="30"/>
      <c r="E196" s="31"/>
      <c r="F196" s="31"/>
      <c r="G196" s="31">
        <f t="shared" si="9"/>
        <v>0</v>
      </c>
      <c r="H196" s="31" t="str">
        <f t="shared" si="10"/>
        <v>ครบ</v>
      </c>
      <c r="I196" s="31"/>
      <c r="J196" s="27" t="e">
        <f>VLOOKUP(I196,Sheet2!$B$1:$C$62,2,FALSE)</f>
        <v>#N/A</v>
      </c>
      <c r="K196" s="27" t="e">
        <f>VLOOKUP(J196,Sheet2!$C$1:$D$61,2,FALSE)</f>
        <v>#N/A</v>
      </c>
      <c r="L196" s="31"/>
      <c r="M196" s="27"/>
      <c r="N196" s="27"/>
      <c r="O196" s="27"/>
      <c r="P196" s="28"/>
      <c r="Q196" s="5" t="str">
        <f t="shared" si="11"/>
        <v>ทันกำหนด</v>
      </c>
      <c r="R196" s="6"/>
      <c r="S196" s="7"/>
    </row>
    <row r="197" spans="1:19" ht="27.75" customHeight="1">
      <c r="A197" s="3">
        <v>196</v>
      </c>
      <c r="B197" s="27"/>
      <c r="C197" s="29"/>
      <c r="D197" s="30"/>
      <c r="E197" s="31"/>
      <c r="F197" s="31"/>
      <c r="G197" s="31">
        <f t="shared" si="9"/>
        <v>0</v>
      </c>
      <c r="H197" s="31" t="str">
        <f t="shared" si="10"/>
        <v>ครบ</v>
      </c>
      <c r="I197" s="31"/>
      <c r="J197" s="27" t="e">
        <f>VLOOKUP(I197,Sheet2!$B$1:$C$62,2,FALSE)</f>
        <v>#N/A</v>
      </c>
      <c r="K197" s="27" t="e">
        <f>VLOOKUP(J197,Sheet2!$C$1:$D$61,2,FALSE)</f>
        <v>#N/A</v>
      </c>
      <c r="L197" s="31"/>
      <c r="M197" s="27"/>
      <c r="N197" s="27"/>
      <c r="O197" s="27"/>
      <c r="P197" s="28"/>
      <c r="Q197" s="5" t="str">
        <f t="shared" si="11"/>
        <v>ทันกำหนด</v>
      </c>
      <c r="R197" s="6"/>
      <c r="S197" s="7"/>
    </row>
    <row r="198" spans="1:19" ht="27.75" customHeight="1">
      <c r="A198" s="3">
        <v>197</v>
      </c>
      <c r="B198" s="27"/>
      <c r="C198" s="29"/>
      <c r="D198" s="30"/>
      <c r="E198" s="31"/>
      <c r="F198" s="31"/>
      <c r="G198" s="31">
        <f t="shared" si="9"/>
        <v>0</v>
      </c>
      <c r="H198" s="31" t="str">
        <f t="shared" si="10"/>
        <v>ครบ</v>
      </c>
      <c r="I198" s="31"/>
      <c r="J198" s="27" t="e">
        <f>VLOOKUP(I198,Sheet2!$B$1:$C$62,2,FALSE)</f>
        <v>#N/A</v>
      </c>
      <c r="K198" s="27" t="e">
        <f>VLOOKUP(J198,Sheet2!$C$1:$D$61,2,FALSE)</f>
        <v>#N/A</v>
      </c>
      <c r="L198" s="31"/>
      <c r="M198" s="27"/>
      <c r="N198" s="27"/>
      <c r="O198" s="27"/>
      <c r="P198" s="28"/>
      <c r="Q198" s="5" t="str">
        <f t="shared" si="11"/>
        <v>ทันกำหนด</v>
      </c>
      <c r="R198" s="6"/>
      <c r="S198" s="7"/>
    </row>
    <row r="199" spans="1:19" ht="27.75" customHeight="1">
      <c r="A199" s="3">
        <v>198</v>
      </c>
      <c r="B199" s="27"/>
      <c r="C199" s="29"/>
      <c r="D199" s="30"/>
      <c r="E199" s="31"/>
      <c r="F199" s="31"/>
      <c r="G199" s="31">
        <f t="shared" si="9"/>
        <v>0</v>
      </c>
      <c r="H199" s="31" t="str">
        <f t="shared" si="10"/>
        <v>ครบ</v>
      </c>
      <c r="I199" s="31"/>
      <c r="J199" s="27" t="e">
        <f>VLOOKUP(I199,Sheet2!$B$1:$C$62,2,FALSE)</f>
        <v>#N/A</v>
      </c>
      <c r="K199" s="27" t="e">
        <f>VLOOKUP(J199,Sheet2!$C$1:$D$61,2,FALSE)</f>
        <v>#N/A</v>
      </c>
      <c r="L199" s="31"/>
      <c r="M199" s="27"/>
      <c r="N199" s="27"/>
      <c r="O199" s="27"/>
      <c r="P199" s="28"/>
      <c r="Q199" s="15" t="str">
        <f t="shared" si="11"/>
        <v>ทันกำหนด</v>
      </c>
      <c r="R199" s="6"/>
      <c r="S199" s="7"/>
    </row>
    <row r="200" spans="1:19" ht="27.75" customHeight="1">
      <c r="A200" s="3">
        <v>199</v>
      </c>
      <c r="B200" s="27"/>
      <c r="C200" s="29"/>
      <c r="D200" s="30"/>
      <c r="E200" s="31"/>
      <c r="F200" s="31"/>
      <c r="G200" s="31">
        <f t="shared" si="9"/>
        <v>0</v>
      </c>
      <c r="H200" s="31" t="str">
        <f t="shared" si="10"/>
        <v>ครบ</v>
      </c>
      <c r="I200" s="31"/>
      <c r="J200" s="27" t="e">
        <f>VLOOKUP(I200,Sheet2!$B$1:$C$62,2,FALSE)</f>
        <v>#N/A</v>
      </c>
      <c r="K200" s="27" t="e">
        <f>VLOOKUP(J200,Sheet2!$C$1:$D$61,2,FALSE)</f>
        <v>#N/A</v>
      </c>
      <c r="L200" s="31"/>
      <c r="M200" s="27"/>
      <c r="N200" s="27"/>
      <c r="O200" s="27"/>
      <c r="P200" s="28"/>
      <c r="Q200" s="5" t="str">
        <f t="shared" si="11"/>
        <v>ทันกำหนด</v>
      </c>
      <c r="R200" s="6"/>
      <c r="S200" s="7"/>
    </row>
    <row r="201" spans="1:19" ht="27.75" customHeight="1">
      <c r="A201" s="3">
        <v>200</v>
      </c>
      <c r="B201" s="27"/>
      <c r="C201" s="29"/>
      <c r="D201" s="30"/>
      <c r="E201" s="31"/>
      <c r="F201" s="31"/>
      <c r="G201" s="31">
        <f t="shared" si="9"/>
        <v>0</v>
      </c>
      <c r="H201" s="31" t="str">
        <f t="shared" si="10"/>
        <v>ครบ</v>
      </c>
      <c r="I201" s="31"/>
      <c r="J201" s="27" t="e">
        <f>VLOOKUP(I201,Sheet2!$B$1:$C$62,2,FALSE)</f>
        <v>#N/A</v>
      </c>
      <c r="K201" s="27" t="e">
        <f>VLOOKUP(J201,Sheet2!$C$1:$D$61,2,FALSE)</f>
        <v>#N/A</v>
      </c>
      <c r="L201" s="31"/>
      <c r="M201" s="27"/>
      <c r="N201" s="27"/>
      <c r="O201" s="27"/>
      <c r="P201" s="28"/>
      <c r="Q201" s="5" t="str">
        <f t="shared" si="11"/>
        <v>ทันกำหนด</v>
      </c>
      <c r="R201" s="6"/>
      <c r="S201" s="7"/>
    </row>
    <row r="202" spans="1:19" ht="27.75" customHeight="1">
      <c r="A202" s="3">
        <v>201</v>
      </c>
      <c r="B202" s="27"/>
      <c r="C202" s="29"/>
      <c r="D202" s="30"/>
      <c r="E202" s="31"/>
      <c r="F202" s="31"/>
      <c r="G202" s="31">
        <f t="shared" si="9"/>
        <v>0</v>
      </c>
      <c r="H202" s="31" t="str">
        <f t="shared" si="10"/>
        <v>ครบ</v>
      </c>
      <c r="I202" s="31"/>
      <c r="J202" s="27" t="e">
        <f>VLOOKUP(I202,Sheet2!$B$1:$C$62,2,FALSE)</f>
        <v>#N/A</v>
      </c>
      <c r="K202" s="27" t="e">
        <f>VLOOKUP(J202,Sheet2!$C$1:$D$61,2,FALSE)</f>
        <v>#N/A</v>
      </c>
      <c r="L202" s="31"/>
      <c r="M202" s="27"/>
      <c r="N202" s="27"/>
      <c r="O202" s="27"/>
      <c r="P202" s="28"/>
      <c r="Q202" s="15" t="str">
        <f t="shared" si="11"/>
        <v>ทันกำหนด</v>
      </c>
      <c r="R202" s="6"/>
      <c r="S202" s="7"/>
    </row>
    <row r="203" spans="1:19" ht="27.75" customHeight="1">
      <c r="A203" s="3">
        <v>202</v>
      </c>
      <c r="B203" s="27"/>
      <c r="C203" s="29"/>
      <c r="D203" s="30"/>
      <c r="E203" s="31"/>
      <c r="F203" s="31"/>
      <c r="G203" s="31">
        <f t="shared" si="9"/>
        <v>0</v>
      </c>
      <c r="H203" s="31" t="str">
        <f t="shared" si="10"/>
        <v>ครบ</v>
      </c>
      <c r="I203" s="31"/>
      <c r="J203" s="27" t="e">
        <f>VLOOKUP(I203,Sheet2!$B$1:$C$62,2,FALSE)</f>
        <v>#N/A</v>
      </c>
      <c r="K203" s="27" t="e">
        <f>VLOOKUP(J203,Sheet2!$C$1:$D$61,2,FALSE)</f>
        <v>#N/A</v>
      </c>
      <c r="L203" s="31"/>
      <c r="M203" s="27"/>
      <c r="N203" s="27"/>
      <c r="O203" s="27"/>
      <c r="P203" s="28"/>
      <c r="Q203" s="5" t="str">
        <f t="shared" si="11"/>
        <v>ทันกำหนด</v>
      </c>
      <c r="R203" s="6"/>
      <c r="S203" s="7"/>
    </row>
    <row r="204" spans="1:19" ht="27.75" customHeight="1">
      <c r="A204" s="3">
        <v>203</v>
      </c>
      <c r="B204" s="27"/>
      <c r="C204" s="29"/>
      <c r="D204" s="30"/>
      <c r="E204" s="31"/>
      <c r="F204" s="31"/>
      <c r="G204" s="31">
        <f t="shared" si="9"/>
        <v>0</v>
      </c>
      <c r="H204" s="31" t="str">
        <f t="shared" si="10"/>
        <v>ครบ</v>
      </c>
      <c r="I204" s="31"/>
      <c r="J204" s="27" t="e">
        <f>VLOOKUP(I204,Sheet2!$B$1:$C$62,2,FALSE)</f>
        <v>#N/A</v>
      </c>
      <c r="K204" s="27" t="e">
        <f>VLOOKUP(J204,Sheet2!$C$1:$D$61,2,FALSE)</f>
        <v>#N/A</v>
      </c>
      <c r="L204" s="31"/>
      <c r="M204" s="27"/>
      <c r="N204" s="27"/>
      <c r="O204" s="27"/>
      <c r="P204" s="28"/>
      <c r="Q204" s="15" t="str">
        <f t="shared" si="11"/>
        <v>ทันกำหนด</v>
      </c>
      <c r="R204" s="6"/>
      <c r="S204" s="7"/>
    </row>
    <row r="205" spans="1:19" ht="27.75" customHeight="1">
      <c r="A205" s="3">
        <v>204</v>
      </c>
      <c r="B205" s="27"/>
      <c r="C205" s="29"/>
      <c r="D205" s="30"/>
      <c r="E205" s="31"/>
      <c r="F205" s="31"/>
      <c r="G205" s="31">
        <f t="shared" si="9"/>
        <v>0</v>
      </c>
      <c r="H205" s="31" t="str">
        <f t="shared" si="10"/>
        <v>ครบ</v>
      </c>
      <c r="I205" s="31"/>
      <c r="J205" s="27" t="e">
        <f>VLOOKUP(I205,Sheet2!$B$1:$C$62,2,FALSE)</f>
        <v>#N/A</v>
      </c>
      <c r="K205" s="27" t="e">
        <f>VLOOKUP(J205,Sheet2!$C$1:$D$61,2,FALSE)</f>
        <v>#N/A</v>
      </c>
      <c r="L205" s="31"/>
      <c r="M205" s="27"/>
      <c r="N205" s="27"/>
      <c r="O205" s="27"/>
      <c r="P205" s="28"/>
      <c r="Q205" s="5" t="str">
        <f t="shared" si="11"/>
        <v>ทันกำหนด</v>
      </c>
      <c r="R205" s="6"/>
      <c r="S205" s="7"/>
    </row>
    <row r="206" spans="1:19" ht="27.75" customHeight="1">
      <c r="A206" s="3">
        <v>205</v>
      </c>
      <c r="B206" s="27"/>
      <c r="C206" s="29"/>
      <c r="D206" s="30"/>
      <c r="E206" s="31"/>
      <c r="F206" s="31"/>
      <c r="G206" s="31">
        <f t="shared" si="9"/>
        <v>0</v>
      </c>
      <c r="H206" s="31" t="str">
        <f t="shared" si="10"/>
        <v>ครบ</v>
      </c>
      <c r="I206" s="31"/>
      <c r="J206" s="27" t="e">
        <f>VLOOKUP(I206,Sheet2!$B$1:$C$62,2,FALSE)</f>
        <v>#N/A</v>
      </c>
      <c r="K206" s="27" t="e">
        <f>VLOOKUP(J206,Sheet2!$C$1:$D$61,2,FALSE)</f>
        <v>#N/A</v>
      </c>
      <c r="L206" s="31"/>
      <c r="M206" s="27"/>
      <c r="N206" s="27"/>
      <c r="O206" s="27"/>
      <c r="P206" s="28"/>
      <c r="Q206" s="5" t="str">
        <f t="shared" si="11"/>
        <v>ทันกำหนด</v>
      </c>
      <c r="R206" s="6"/>
      <c r="S206" s="7"/>
    </row>
    <row r="207" spans="1:19" ht="27.75" customHeight="1">
      <c r="A207" s="3">
        <v>206</v>
      </c>
      <c r="B207" s="27"/>
      <c r="C207" s="29"/>
      <c r="D207" s="30"/>
      <c r="E207" s="31"/>
      <c r="F207" s="31"/>
      <c r="G207" s="31">
        <f t="shared" si="9"/>
        <v>0</v>
      </c>
      <c r="H207" s="31" t="str">
        <f t="shared" si="10"/>
        <v>ครบ</v>
      </c>
      <c r="I207" s="31"/>
      <c r="J207" s="27" t="e">
        <f>VLOOKUP(I207,Sheet2!$B$1:$C$62,2,FALSE)</f>
        <v>#N/A</v>
      </c>
      <c r="K207" s="27" t="e">
        <f>VLOOKUP(J207,Sheet2!$C$1:$D$61,2,FALSE)</f>
        <v>#N/A</v>
      </c>
      <c r="L207" s="31"/>
      <c r="M207" s="27"/>
      <c r="N207" s="27"/>
      <c r="O207" s="27"/>
      <c r="P207" s="28"/>
      <c r="Q207" s="5" t="str">
        <f t="shared" si="11"/>
        <v>ทันกำหนด</v>
      </c>
      <c r="R207" s="6"/>
      <c r="S207" s="7"/>
    </row>
    <row r="208" spans="1:19" ht="27.75" customHeight="1">
      <c r="A208" s="3">
        <v>207</v>
      </c>
      <c r="B208" s="27"/>
      <c r="C208" s="29"/>
      <c r="D208" s="30"/>
      <c r="E208" s="31"/>
      <c r="F208" s="31"/>
      <c r="G208" s="31">
        <f t="shared" si="9"/>
        <v>0</v>
      </c>
      <c r="H208" s="31" t="str">
        <f t="shared" si="10"/>
        <v>ครบ</v>
      </c>
      <c r="I208" s="31"/>
      <c r="J208" s="27" t="e">
        <f>VLOOKUP(I208,Sheet2!$B$1:$C$62,2,FALSE)</f>
        <v>#N/A</v>
      </c>
      <c r="K208" s="27" t="e">
        <f>VLOOKUP(J208,Sheet2!$C$1:$D$61,2,FALSE)</f>
        <v>#N/A</v>
      </c>
      <c r="L208" s="31"/>
      <c r="M208" s="27"/>
      <c r="N208" s="27"/>
      <c r="O208" s="27"/>
      <c r="P208" s="28"/>
      <c r="Q208" s="5" t="str">
        <f t="shared" si="11"/>
        <v>ทันกำหนด</v>
      </c>
      <c r="R208" s="6"/>
      <c r="S208" s="7"/>
    </row>
    <row r="209" spans="1:19" ht="27.75" customHeight="1">
      <c r="A209" s="3">
        <v>208</v>
      </c>
      <c r="B209" s="27"/>
      <c r="C209" s="29"/>
      <c r="D209" s="30"/>
      <c r="E209" s="31"/>
      <c r="F209" s="31"/>
      <c r="G209" s="31">
        <f t="shared" si="9"/>
        <v>0</v>
      </c>
      <c r="H209" s="31" t="str">
        <f t="shared" si="10"/>
        <v>ครบ</v>
      </c>
      <c r="I209" s="31"/>
      <c r="J209" s="27" t="e">
        <f>VLOOKUP(I209,Sheet2!$B$1:$C$62,2,FALSE)</f>
        <v>#N/A</v>
      </c>
      <c r="K209" s="27" t="e">
        <f>VLOOKUP(J209,Sheet2!$C$1:$D$61,2,FALSE)</f>
        <v>#N/A</v>
      </c>
      <c r="L209" s="31"/>
      <c r="M209" s="27"/>
      <c r="N209" s="27"/>
      <c r="O209" s="27"/>
      <c r="P209" s="28"/>
      <c r="Q209" s="15" t="str">
        <f t="shared" si="11"/>
        <v>ทันกำหนด</v>
      </c>
      <c r="R209" s="6"/>
      <c r="S209" s="7"/>
    </row>
    <row r="210" spans="1:19" ht="27.75" customHeight="1">
      <c r="A210" s="3">
        <v>209</v>
      </c>
      <c r="B210" s="27"/>
      <c r="C210" s="29"/>
      <c r="D210" s="30"/>
      <c r="E210" s="31"/>
      <c r="F210" s="31"/>
      <c r="G210" s="31">
        <f t="shared" si="9"/>
        <v>0</v>
      </c>
      <c r="H210" s="31" t="str">
        <f t="shared" si="10"/>
        <v>ครบ</v>
      </c>
      <c r="I210" s="31"/>
      <c r="J210" s="27" t="e">
        <f>VLOOKUP(I210,Sheet2!$B$1:$C$62,2,FALSE)</f>
        <v>#N/A</v>
      </c>
      <c r="K210" s="27" t="e">
        <f>VLOOKUP(J210,Sheet2!$C$1:$D$61,2,FALSE)</f>
        <v>#N/A</v>
      </c>
      <c r="L210" s="31"/>
      <c r="M210" s="27"/>
      <c r="N210" s="27"/>
      <c r="O210" s="27"/>
      <c r="P210" s="28"/>
      <c r="Q210" s="5" t="str">
        <f t="shared" si="11"/>
        <v>ทันกำหนด</v>
      </c>
      <c r="R210" s="6"/>
      <c r="S210" s="7"/>
    </row>
    <row r="211" spans="1:19" ht="27.75" customHeight="1">
      <c r="A211" s="3">
        <v>210</v>
      </c>
      <c r="B211" s="27"/>
      <c r="C211" s="29"/>
      <c r="D211" s="30"/>
      <c r="E211" s="31"/>
      <c r="F211" s="31"/>
      <c r="G211" s="31">
        <f t="shared" si="9"/>
        <v>0</v>
      </c>
      <c r="H211" s="31" t="str">
        <f t="shared" si="10"/>
        <v>ครบ</v>
      </c>
      <c r="I211" s="31"/>
      <c r="J211" s="27" t="e">
        <f>VLOOKUP(I211,Sheet2!$B$1:$C$62,2,FALSE)</f>
        <v>#N/A</v>
      </c>
      <c r="K211" s="27" t="e">
        <f>VLOOKUP(J211,Sheet2!$C$1:$D$61,2,FALSE)</f>
        <v>#N/A</v>
      </c>
      <c r="L211" s="27"/>
      <c r="M211" s="27"/>
      <c r="N211" s="27"/>
      <c r="O211" s="27"/>
      <c r="P211" s="28"/>
      <c r="Q211" s="5" t="str">
        <f t="shared" si="11"/>
        <v>ทันกำหนด</v>
      </c>
      <c r="R211" s="6"/>
      <c r="S211" s="7"/>
    </row>
    <row r="212" spans="1:19" ht="27.75" customHeight="1">
      <c r="A212" s="3">
        <v>211</v>
      </c>
      <c r="B212" s="27"/>
      <c r="C212" s="29"/>
      <c r="D212" s="30"/>
      <c r="E212" s="31"/>
      <c r="F212" s="31"/>
      <c r="G212" s="31">
        <f t="shared" si="9"/>
        <v>0</v>
      </c>
      <c r="H212" s="31" t="str">
        <f t="shared" si="10"/>
        <v>ครบ</v>
      </c>
      <c r="I212" s="31"/>
      <c r="J212" s="27" t="e">
        <f>VLOOKUP(I212,Sheet2!$B$1:$C$62,2,FALSE)</f>
        <v>#N/A</v>
      </c>
      <c r="K212" s="27" t="e">
        <f>VLOOKUP(J212,Sheet2!$C$1:$D$61,2,FALSE)</f>
        <v>#N/A</v>
      </c>
      <c r="L212" s="27"/>
      <c r="M212" s="27"/>
      <c r="N212" s="27"/>
      <c r="O212" s="27"/>
      <c r="P212" s="28"/>
      <c r="Q212" s="5" t="str">
        <f t="shared" si="11"/>
        <v>ทันกำหนด</v>
      </c>
      <c r="R212" s="6"/>
      <c r="S212" s="7"/>
    </row>
    <row r="213" spans="1:19" ht="27.75" customHeight="1">
      <c r="A213" s="3">
        <v>212</v>
      </c>
      <c r="B213" s="27"/>
      <c r="C213" s="29"/>
      <c r="D213" s="30"/>
      <c r="E213" s="31"/>
      <c r="F213" s="31"/>
      <c r="G213" s="31">
        <f t="shared" si="9"/>
        <v>0</v>
      </c>
      <c r="H213" s="31" t="str">
        <f t="shared" si="10"/>
        <v>ครบ</v>
      </c>
      <c r="I213" s="31"/>
      <c r="J213" s="27" t="e">
        <f>VLOOKUP(I213,Sheet2!$B$1:$C$62,2,FALSE)</f>
        <v>#N/A</v>
      </c>
      <c r="K213" s="27" t="e">
        <f>VLOOKUP(J213,Sheet2!$C$1:$D$61,2,FALSE)</f>
        <v>#N/A</v>
      </c>
      <c r="L213" s="27"/>
      <c r="M213" s="27"/>
      <c r="N213" s="27"/>
      <c r="O213" s="27"/>
      <c r="P213" s="28"/>
      <c r="Q213" s="5" t="str">
        <f t="shared" si="11"/>
        <v>ทันกำหนด</v>
      </c>
      <c r="R213" s="6"/>
      <c r="S213" s="7"/>
    </row>
    <row r="214" spans="1:19" ht="27.75" customHeight="1">
      <c r="A214" s="3">
        <v>213</v>
      </c>
      <c r="B214" s="27"/>
      <c r="C214" s="29"/>
      <c r="D214" s="30"/>
      <c r="E214" s="31"/>
      <c r="F214" s="31"/>
      <c r="G214" s="31">
        <f t="shared" si="9"/>
        <v>0</v>
      </c>
      <c r="H214" s="31" t="str">
        <f t="shared" si="10"/>
        <v>ครบ</v>
      </c>
      <c r="I214" s="31"/>
      <c r="J214" s="27" t="e">
        <f>VLOOKUP(I214,Sheet2!$B$1:$C$62,2,FALSE)</f>
        <v>#N/A</v>
      </c>
      <c r="K214" s="27" t="e">
        <f>VLOOKUP(J214,Sheet2!$C$1:$D$61,2,FALSE)</f>
        <v>#N/A</v>
      </c>
      <c r="L214" s="27"/>
      <c r="M214" s="27"/>
      <c r="N214" s="27"/>
      <c r="O214" s="27"/>
      <c r="P214" s="28"/>
      <c r="Q214" s="5" t="str">
        <f t="shared" si="11"/>
        <v>ทันกำหนด</v>
      </c>
      <c r="R214" s="6"/>
      <c r="S214" s="7"/>
    </row>
    <row r="215" spans="1:19" ht="27.75" customHeight="1">
      <c r="A215" s="3">
        <v>214</v>
      </c>
      <c r="B215" s="27"/>
      <c r="C215" s="29"/>
      <c r="D215" s="30"/>
      <c r="E215" s="31"/>
      <c r="F215" s="31"/>
      <c r="G215" s="31">
        <f t="shared" si="9"/>
        <v>0</v>
      </c>
      <c r="H215" s="31" t="str">
        <f t="shared" si="10"/>
        <v>ครบ</v>
      </c>
      <c r="I215" s="31"/>
      <c r="J215" s="27" t="e">
        <f>VLOOKUP(I215,Sheet2!$B$1:$C$62,2,FALSE)</f>
        <v>#N/A</v>
      </c>
      <c r="K215" s="27" t="e">
        <f>VLOOKUP(J215,Sheet2!$C$1:$D$61,2,FALSE)</f>
        <v>#N/A</v>
      </c>
      <c r="L215" s="27"/>
      <c r="M215" s="27"/>
      <c r="N215" s="27"/>
      <c r="O215" s="27"/>
      <c r="P215" s="28"/>
      <c r="Q215" s="5" t="str">
        <f t="shared" si="11"/>
        <v>ทันกำหนด</v>
      </c>
      <c r="R215" s="6"/>
      <c r="S215" s="7"/>
    </row>
    <row r="216" spans="1:19" ht="27.75" customHeight="1">
      <c r="A216" s="3">
        <v>215</v>
      </c>
      <c r="B216" s="27"/>
      <c r="C216" s="29"/>
      <c r="D216" s="30"/>
      <c r="E216" s="31"/>
      <c r="F216" s="31"/>
      <c r="G216" s="31">
        <f t="shared" si="9"/>
        <v>0</v>
      </c>
      <c r="H216" s="31" t="str">
        <f t="shared" si="10"/>
        <v>ครบ</v>
      </c>
      <c r="I216" s="31"/>
      <c r="J216" s="27" t="e">
        <f>VLOOKUP(I216,Sheet2!$B$1:$C$62,2,FALSE)</f>
        <v>#N/A</v>
      </c>
      <c r="K216" s="27" t="e">
        <f>VLOOKUP(J216,Sheet2!$C$1:$D$61,2,FALSE)</f>
        <v>#N/A</v>
      </c>
      <c r="L216" s="27"/>
      <c r="M216" s="27"/>
      <c r="N216" s="27"/>
      <c r="O216" s="27"/>
      <c r="P216" s="28"/>
      <c r="Q216" s="5" t="str">
        <f t="shared" si="11"/>
        <v>ทันกำหนด</v>
      </c>
      <c r="R216" s="6"/>
      <c r="S216" s="7"/>
    </row>
    <row r="217" spans="1:19" ht="27.75" customHeight="1">
      <c r="A217" s="3">
        <v>216</v>
      </c>
      <c r="B217" s="27"/>
      <c r="C217" s="29"/>
      <c r="D217" s="30"/>
      <c r="E217" s="31"/>
      <c r="F217" s="31"/>
      <c r="G217" s="31">
        <f t="shared" si="9"/>
        <v>0</v>
      </c>
      <c r="H217" s="31" t="str">
        <f t="shared" si="10"/>
        <v>ครบ</v>
      </c>
      <c r="I217" s="31"/>
      <c r="J217" s="27" t="e">
        <f>VLOOKUP(I217,Sheet2!$B$1:$C$62,2,FALSE)</f>
        <v>#N/A</v>
      </c>
      <c r="K217" s="27" t="e">
        <f>VLOOKUP(J217,Sheet2!$C$1:$D$61,2,FALSE)</f>
        <v>#N/A</v>
      </c>
      <c r="L217" s="27"/>
      <c r="M217" s="27"/>
      <c r="N217" s="27"/>
      <c r="O217" s="27"/>
      <c r="P217" s="28"/>
      <c r="Q217" s="5" t="str">
        <f t="shared" si="11"/>
        <v>ทันกำหนด</v>
      </c>
      <c r="R217" s="6"/>
      <c r="S217" s="7"/>
    </row>
    <row r="218" spans="1:19" ht="27.75" customHeight="1">
      <c r="A218" s="3">
        <v>217</v>
      </c>
      <c r="B218" s="27"/>
      <c r="C218" s="29"/>
      <c r="D218" s="30"/>
      <c r="E218" s="31"/>
      <c r="F218" s="31"/>
      <c r="G218" s="31">
        <f t="shared" si="9"/>
        <v>0</v>
      </c>
      <c r="H218" s="31" t="str">
        <f t="shared" si="10"/>
        <v>ครบ</v>
      </c>
      <c r="I218" s="31"/>
      <c r="J218" s="27" t="e">
        <f>VLOOKUP(I218,Sheet2!$B$1:$C$62,2,FALSE)</f>
        <v>#N/A</v>
      </c>
      <c r="K218" s="27" t="e">
        <f>VLOOKUP(J218,Sheet2!$C$1:$D$61,2,FALSE)</f>
        <v>#N/A</v>
      </c>
      <c r="L218" s="27"/>
      <c r="M218" s="27"/>
      <c r="N218" s="27"/>
      <c r="O218" s="27"/>
      <c r="P218" s="28"/>
      <c r="Q218" s="5" t="str">
        <f t="shared" si="11"/>
        <v>ทันกำหนด</v>
      </c>
      <c r="R218" s="6"/>
      <c r="S218" s="7"/>
    </row>
    <row r="219" spans="1:19" ht="27.75" customHeight="1">
      <c r="A219" s="3">
        <v>218</v>
      </c>
      <c r="B219" s="27"/>
      <c r="C219" s="29"/>
      <c r="D219" s="30"/>
      <c r="E219" s="31"/>
      <c r="F219" s="31"/>
      <c r="G219" s="31">
        <f t="shared" si="9"/>
        <v>0</v>
      </c>
      <c r="H219" s="31" t="str">
        <f t="shared" si="10"/>
        <v>ครบ</v>
      </c>
      <c r="I219" s="31"/>
      <c r="J219" s="27" t="e">
        <f>VLOOKUP(I219,Sheet2!$B$1:$C$62,2,FALSE)</f>
        <v>#N/A</v>
      </c>
      <c r="K219" s="27" t="e">
        <f>VLOOKUP(J219,Sheet2!$C$1:$D$61,2,FALSE)</f>
        <v>#N/A</v>
      </c>
      <c r="L219" s="27"/>
      <c r="M219" s="27"/>
      <c r="N219" s="27"/>
      <c r="O219" s="27"/>
      <c r="P219" s="28"/>
      <c r="Q219" s="5" t="str">
        <f t="shared" si="11"/>
        <v>ทันกำหนด</v>
      </c>
      <c r="R219" s="6"/>
      <c r="S219" s="7"/>
    </row>
    <row r="220" spans="1:19" ht="27.75" customHeight="1">
      <c r="A220" s="3">
        <v>219</v>
      </c>
      <c r="B220" s="27"/>
      <c r="C220" s="29"/>
      <c r="D220" s="30"/>
      <c r="E220" s="31"/>
      <c r="F220" s="31"/>
      <c r="G220" s="31">
        <f t="shared" si="9"/>
        <v>0</v>
      </c>
      <c r="H220" s="31" t="str">
        <f t="shared" si="10"/>
        <v>ครบ</v>
      </c>
      <c r="I220" s="31"/>
      <c r="J220" s="27" t="e">
        <f>VLOOKUP(I220,Sheet2!$B$1:$C$62,2,FALSE)</f>
        <v>#N/A</v>
      </c>
      <c r="K220" s="27" t="e">
        <f>VLOOKUP(J220,Sheet2!$C$1:$D$61,2,FALSE)</f>
        <v>#N/A</v>
      </c>
      <c r="L220" s="27"/>
      <c r="M220" s="27"/>
      <c r="N220" s="27"/>
      <c r="O220" s="27"/>
      <c r="P220" s="28"/>
      <c r="Q220" s="5" t="str">
        <f t="shared" si="11"/>
        <v>ทันกำหนด</v>
      </c>
      <c r="R220" s="6"/>
      <c r="S220" s="7"/>
    </row>
    <row r="221" spans="1:19" ht="27.75" customHeight="1">
      <c r="A221" s="3">
        <v>220</v>
      </c>
      <c r="B221" s="27"/>
      <c r="C221" s="29"/>
      <c r="D221" s="30"/>
      <c r="E221" s="31"/>
      <c r="F221" s="31"/>
      <c r="G221" s="31">
        <f t="shared" si="9"/>
        <v>0</v>
      </c>
      <c r="H221" s="31" t="str">
        <f t="shared" si="10"/>
        <v>ครบ</v>
      </c>
      <c r="I221" s="31"/>
      <c r="J221" s="27" t="e">
        <f>VLOOKUP(I221,Sheet2!$B$1:$C$62,2,FALSE)</f>
        <v>#N/A</v>
      </c>
      <c r="K221" s="27" t="e">
        <f>VLOOKUP(J221,Sheet2!$C$1:$D$61,2,FALSE)</f>
        <v>#N/A</v>
      </c>
      <c r="L221" s="27"/>
      <c r="M221" s="27"/>
      <c r="N221" s="27"/>
      <c r="O221" s="27"/>
      <c r="P221" s="28"/>
      <c r="Q221" s="5" t="str">
        <f t="shared" si="11"/>
        <v>ทันกำหนด</v>
      </c>
      <c r="R221" s="6"/>
      <c r="S221" s="7"/>
    </row>
    <row r="222" spans="1:19" ht="27.75" customHeight="1">
      <c r="A222" s="3">
        <v>221</v>
      </c>
      <c r="B222" s="27"/>
      <c r="C222" s="29"/>
      <c r="D222" s="30"/>
      <c r="E222" s="31"/>
      <c r="F222" s="31"/>
      <c r="G222" s="31">
        <f t="shared" si="9"/>
        <v>0</v>
      </c>
      <c r="H222" s="31" t="str">
        <f t="shared" si="10"/>
        <v>ครบ</v>
      </c>
      <c r="I222" s="31"/>
      <c r="J222" s="27" t="e">
        <f>VLOOKUP(I222,Sheet2!$B$1:$C$62,2,FALSE)</f>
        <v>#N/A</v>
      </c>
      <c r="K222" s="27" t="e">
        <f>VLOOKUP(J222,Sheet2!$C$1:$D$61,2,FALSE)</f>
        <v>#N/A</v>
      </c>
      <c r="L222" s="27"/>
      <c r="M222" s="27"/>
      <c r="N222" s="27"/>
      <c r="O222" s="27"/>
      <c r="P222" s="28"/>
      <c r="Q222" s="5" t="str">
        <f t="shared" si="11"/>
        <v>ทันกำหนด</v>
      </c>
      <c r="R222" s="6"/>
      <c r="S222" s="7"/>
    </row>
    <row r="223" spans="1:19" ht="27.75" customHeight="1">
      <c r="A223" s="3">
        <v>222</v>
      </c>
      <c r="B223" s="27"/>
      <c r="C223" s="29"/>
      <c r="D223" s="30"/>
      <c r="E223" s="31"/>
      <c r="F223" s="31"/>
      <c r="G223" s="31">
        <f t="shared" si="9"/>
        <v>0</v>
      </c>
      <c r="H223" s="31" t="str">
        <f t="shared" si="10"/>
        <v>ครบ</v>
      </c>
      <c r="I223" s="31"/>
      <c r="J223" s="27" t="e">
        <f>VLOOKUP(I223,Sheet2!$B$1:$C$62,2,FALSE)</f>
        <v>#N/A</v>
      </c>
      <c r="K223" s="27" t="e">
        <f>VLOOKUP(J223,Sheet2!$C$1:$D$61,2,FALSE)</f>
        <v>#N/A</v>
      </c>
      <c r="L223" s="27"/>
      <c r="M223" s="27"/>
      <c r="N223" s="27"/>
      <c r="O223" s="27"/>
      <c r="P223" s="28"/>
      <c r="Q223" s="5" t="str">
        <f t="shared" si="11"/>
        <v>ทันกำหนด</v>
      </c>
      <c r="R223" s="6"/>
      <c r="S223" s="7"/>
    </row>
    <row r="224" spans="1:19" ht="27.75" customHeight="1">
      <c r="A224" s="3">
        <v>223</v>
      </c>
      <c r="B224" s="27"/>
      <c r="C224" s="29"/>
      <c r="D224" s="30"/>
      <c r="E224" s="31"/>
      <c r="F224" s="31"/>
      <c r="G224" s="31">
        <f t="shared" si="9"/>
        <v>0</v>
      </c>
      <c r="H224" s="31" t="str">
        <f t="shared" si="10"/>
        <v>ครบ</v>
      </c>
      <c r="I224" s="31"/>
      <c r="J224" s="27" t="e">
        <f>VLOOKUP(I224,Sheet2!$B$1:$C$62,2,FALSE)</f>
        <v>#N/A</v>
      </c>
      <c r="K224" s="27" t="e">
        <f>VLOOKUP(J224,Sheet2!$C$1:$D$61,2,FALSE)</f>
        <v>#N/A</v>
      </c>
      <c r="L224" s="27"/>
      <c r="M224" s="27"/>
      <c r="N224" s="27"/>
      <c r="O224" s="27"/>
      <c r="P224" s="28"/>
      <c r="Q224" s="5" t="str">
        <f t="shared" si="11"/>
        <v>ทันกำหนด</v>
      </c>
      <c r="R224" s="6"/>
      <c r="S224" s="7"/>
    </row>
    <row r="225" spans="1:19" ht="27.75" customHeight="1">
      <c r="A225" s="3">
        <v>224</v>
      </c>
      <c r="B225" s="27"/>
      <c r="C225" s="29"/>
      <c r="D225" s="30"/>
      <c r="E225" s="31"/>
      <c r="F225" s="31"/>
      <c r="G225" s="31">
        <f t="shared" si="9"/>
        <v>0</v>
      </c>
      <c r="H225" s="31" t="str">
        <f t="shared" si="10"/>
        <v>ครบ</v>
      </c>
      <c r="I225" s="31"/>
      <c r="J225" s="27" t="e">
        <f>VLOOKUP(I225,Sheet2!$B$1:$C$62,2,FALSE)</f>
        <v>#N/A</v>
      </c>
      <c r="K225" s="27" t="e">
        <f>VLOOKUP(J225,Sheet2!$C$1:$D$61,2,FALSE)</f>
        <v>#N/A</v>
      </c>
      <c r="L225" s="27"/>
      <c r="M225" s="27"/>
      <c r="N225" s="27"/>
      <c r="O225" s="27"/>
      <c r="P225" s="28"/>
      <c r="Q225" s="5" t="str">
        <f t="shared" si="11"/>
        <v>ทันกำหนด</v>
      </c>
      <c r="R225" s="6"/>
      <c r="S225" s="7"/>
    </row>
    <row r="226" spans="1:19" ht="27.75" customHeight="1">
      <c r="A226" s="3">
        <v>225</v>
      </c>
      <c r="B226" s="27"/>
      <c r="C226" s="29"/>
      <c r="D226" s="30"/>
      <c r="E226" s="31"/>
      <c r="F226" s="31"/>
      <c r="G226" s="31">
        <f t="shared" si="9"/>
        <v>0</v>
      </c>
      <c r="H226" s="31" t="str">
        <f t="shared" si="10"/>
        <v>ครบ</v>
      </c>
      <c r="I226" s="31"/>
      <c r="J226" s="27" t="e">
        <f>VLOOKUP(I226,Sheet2!$B$1:$C$62,2,FALSE)</f>
        <v>#N/A</v>
      </c>
      <c r="K226" s="27" t="e">
        <f>VLOOKUP(J226,Sheet2!$C$1:$D$61,2,FALSE)</f>
        <v>#N/A</v>
      </c>
      <c r="L226" s="27"/>
      <c r="M226" s="27"/>
      <c r="N226" s="27"/>
      <c r="O226" s="27"/>
      <c r="P226" s="28"/>
      <c r="Q226" s="5" t="str">
        <f t="shared" si="11"/>
        <v>ทันกำหนด</v>
      </c>
      <c r="R226" s="6"/>
      <c r="S226" s="7"/>
    </row>
    <row r="227" spans="1:19" ht="27.75" customHeight="1">
      <c r="A227" s="3">
        <v>226</v>
      </c>
      <c r="B227" s="27"/>
      <c r="C227" s="29"/>
      <c r="D227" s="30"/>
      <c r="E227" s="31"/>
      <c r="F227" s="31"/>
      <c r="G227" s="31">
        <f t="shared" si="9"/>
        <v>0</v>
      </c>
      <c r="H227" s="31" t="str">
        <f t="shared" si="10"/>
        <v>ครบ</v>
      </c>
      <c r="I227" s="31"/>
      <c r="J227" s="27" t="e">
        <f>VLOOKUP(I227,Sheet2!$B$1:$C$62,2,FALSE)</f>
        <v>#N/A</v>
      </c>
      <c r="K227" s="27" t="e">
        <f>VLOOKUP(J227,Sheet2!$C$1:$D$61,2,FALSE)</f>
        <v>#N/A</v>
      </c>
      <c r="L227" s="27"/>
      <c r="M227" s="27"/>
      <c r="N227" s="27"/>
      <c r="O227" s="27"/>
      <c r="P227" s="28"/>
      <c r="Q227" s="5" t="str">
        <f t="shared" si="11"/>
        <v>ทันกำหนด</v>
      </c>
      <c r="R227" s="6"/>
      <c r="S227" s="7"/>
    </row>
    <row r="228" spans="1:19" ht="27.75" customHeight="1">
      <c r="A228" s="3">
        <v>227</v>
      </c>
      <c r="B228" s="27"/>
      <c r="C228" s="29"/>
      <c r="D228" s="30"/>
      <c r="E228" s="31"/>
      <c r="F228" s="31"/>
      <c r="G228" s="31">
        <f t="shared" si="9"/>
        <v>0</v>
      </c>
      <c r="H228" s="31" t="str">
        <f t="shared" si="10"/>
        <v>ครบ</v>
      </c>
      <c r="I228" s="31"/>
      <c r="J228" s="27" t="e">
        <f>VLOOKUP(I228,Sheet2!$B$1:$C$62,2,FALSE)</f>
        <v>#N/A</v>
      </c>
      <c r="K228" s="27" t="e">
        <f>VLOOKUP(J228,Sheet2!$C$1:$D$61,2,FALSE)</f>
        <v>#N/A</v>
      </c>
      <c r="L228" s="27"/>
      <c r="M228" s="27"/>
      <c r="N228" s="27"/>
      <c r="O228" s="27"/>
      <c r="P228" s="28"/>
      <c r="Q228" s="5" t="str">
        <f t="shared" si="11"/>
        <v>ทันกำหนด</v>
      </c>
      <c r="R228" s="6"/>
      <c r="S228" s="7"/>
    </row>
    <row r="229" spans="1:19" ht="27.75" customHeight="1">
      <c r="A229" s="3">
        <v>228</v>
      </c>
      <c r="B229" s="27"/>
      <c r="C229" s="29"/>
      <c r="D229" s="30"/>
      <c r="E229" s="31"/>
      <c r="F229" s="31"/>
      <c r="G229" s="31">
        <f t="shared" si="9"/>
        <v>0</v>
      </c>
      <c r="H229" s="31" t="str">
        <f t="shared" si="10"/>
        <v>ครบ</v>
      </c>
      <c r="I229" s="31"/>
      <c r="J229" s="27" t="e">
        <f>VLOOKUP(I229,Sheet2!$B$1:$C$62,2,FALSE)</f>
        <v>#N/A</v>
      </c>
      <c r="K229" s="27" t="e">
        <f>VLOOKUP(J229,Sheet2!$C$1:$D$61,2,FALSE)</f>
        <v>#N/A</v>
      </c>
      <c r="L229" s="27"/>
      <c r="M229" s="27"/>
      <c r="N229" s="27"/>
      <c r="O229" s="27"/>
      <c r="P229" s="28"/>
      <c r="Q229" s="5" t="str">
        <f t="shared" si="11"/>
        <v>ทันกำหนด</v>
      </c>
      <c r="R229" s="6"/>
      <c r="S229" s="7"/>
    </row>
    <row r="230" spans="1:19" ht="27.75" customHeight="1">
      <c r="A230" s="3">
        <v>229</v>
      </c>
      <c r="B230" s="27"/>
      <c r="C230" s="29"/>
      <c r="D230" s="30"/>
      <c r="E230" s="31"/>
      <c r="F230" s="31"/>
      <c r="G230" s="31">
        <f t="shared" si="9"/>
        <v>0</v>
      </c>
      <c r="H230" s="31" t="str">
        <f t="shared" si="10"/>
        <v>ครบ</v>
      </c>
      <c r="I230" s="31"/>
      <c r="J230" s="27" t="e">
        <f>VLOOKUP(I230,Sheet2!$B$1:$C$62,2,FALSE)</f>
        <v>#N/A</v>
      </c>
      <c r="K230" s="27" t="e">
        <f>VLOOKUP(J230,Sheet2!$C$1:$D$61,2,FALSE)</f>
        <v>#N/A</v>
      </c>
      <c r="L230" s="27"/>
      <c r="M230" s="27"/>
      <c r="N230" s="27"/>
      <c r="O230" s="27"/>
      <c r="P230" s="28"/>
      <c r="Q230" s="5" t="str">
        <f t="shared" si="11"/>
        <v>ทันกำหนด</v>
      </c>
      <c r="R230" s="6"/>
      <c r="S230" s="7"/>
    </row>
    <row r="231" spans="1:19" ht="27.75" customHeight="1">
      <c r="A231" s="3">
        <v>230</v>
      </c>
      <c r="B231" s="27"/>
      <c r="C231" s="29"/>
      <c r="D231" s="30"/>
      <c r="E231" s="31"/>
      <c r="F231" s="31"/>
      <c r="G231" s="31">
        <f t="shared" si="9"/>
        <v>0</v>
      </c>
      <c r="H231" s="31" t="str">
        <f t="shared" si="10"/>
        <v>ครบ</v>
      </c>
      <c r="I231" s="31"/>
      <c r="J231" s="27" t="e">
        <f>VLOOKUP(I231,Sheet2!$B$1:$C$62,2,FALSE)</f>
        <v>#N/A</v>
      </c>
      <c r="K231" s="27" t="e">
        <f>VLOOKUP(J231,Sheet2!$C$1:$D$61,2,FALSE)</f>
        <v>#N/A</v>
      </c>
      <c r="L231" s="27"/>
      <c r="M231" s="27"/>
      <c r="N231" s="27"/>
      <c r="O231" s="27"/>
      <c r="P231" s="28"/>
      <c r="Q231" s="5" t="str">
        <f t="shared" si="11"/>
        <v>ทันกำหนด</v>
      </c>
      <c r="R231" s="6"/>
      <c r="S231" s="7"/>
    </row>
    <row r="232" spans="1:19" ht="27.75" customHeight="1">
      <c r="A232" s="3">
        <v>231</v>
      </c>
      <c r="B232" s="27"/>
      <c r="C232" s="29"/>
      <c r="D232" s="30"/>
      <c r="E232" s="31"/>
      <c r="F232" s="31"/>
      <c r="G232" s="31">
        <f t="shared" si="9"/>
        <v>0</v>
      </c>
      <c r="H232" s="31" t="str">
        <f t="shared" si="10"/>
        <v>ครบ</v>
      </c>
      <c r="I232" s="31"/>
      <c r="J232" s="27" t="e">
        <f>VLOOKUP(I232,Sheet2!$B$1:$C$62,2,FALSE)</f>
        <v>#N/A</v>
      </c>
      <c r="K232" s="27" t="e">
        <f>VLOOKUP(J232,Sheet2!$C$1:$D$61,2,FALSE)</f>
        <v>#N/A</v>
      </c>
      <c r="L232" s="27"/>
      <c r="M232" s="27"/>
      <c r="N232" s="27"/>
      <c r="O232" s="27"/>
      <c r="P232" s="28"/>
      <c r="Q232" s="5" t="str">
        <f t="shared" si="11"/>
        <v>ทันกำหนด</v>
      </c>
      <c r="R232" s="6"/>
      <c r="S232" s="7"/>
    </row>
    <row r="233" spans="1:19" ht="27.75" customHeight="1">
      <c r="A233" s="3">
        <v>232</v>
      </c>
      <c r="B233" s="27"/>
      <c r="C233" s="29"/>
      <c r="D233" s="30"/>
      <c r="E233" s="31"/>
      <c r="F233" s="31"/>
      <c r="G233" s="31">
        <f t="shared" si="9"/>
        <v>0</v>
      </c>
      <c r="H233" s="31" t="str">
        <f t="shared" si="10"/>
        <v>ครบ</v>
      </c>
      <c r="I233" s="31"/>
      <c r="J233" s="27" t="e">
        <f>VLOOKUP(I233,Sheet2!$B$1:$C$62,2,FALSE)</f>
        <v>#N/A</v>
      </c>
      <c r="K233" s="27" t="e">
        <f>VLOOKUP(J233,Sheet2!$C$1:$D$61,2,FALSE)</f>
        <v>#N/A</v>
      </c>
      <c r="L233" s="27"/>
      <c r="M233" s="27"/>
      <c r="N233" s="27"/>
      <c r="O233" s="27"/>
      <c r="P233" s="28"/>
      <c r="Q233" s="5" t="str">
        <f t="shared" si="11"/>
        <v>ทันกำหนด</v>
      </c>
      <c r="R233" s="6"/>
      <c r="S233" s="7"/>
    </row>
    <row r="234" spans="1:19" ht="27.75" customHeight="1">
      <c r="A234" s="3">
        <v>233</v>
      </c>
      <c r="B234" s="27"/>
      <c r="C234" s="29"/>
      <c r="D234" s="30"/>
      <c r="E234" s="31"/>
      <c r="F234" s="31"/>
      <c r="G234" s="31">
        <f t="shared" si="9"/>
        <v>0</v>
      </c>
      <c r="H234" s="31" t="str">
        <f t="shared" si="10"/>
        <v>ครบ</v>
      </c>
      <c r="I234" s="31"/>
      <c r="J234" s="27" t="e">
        <f>VLOOKUP(I234,Sheet2!$B$1:$C$62,2,FALSE)</f>
        <v>#N/A</v>
      </c>
      <c r="K234" s="27" t="e">
        <f>VLOOKUP(J234,Sheet2!$C$1:$D$61,2,FALSE)</f>
        <v>#N/A</v>
      </c>
      <c r="L234" s="27"/>
      <c r="M234" s="27"/>
      <c r="N234" s="27"/>
      <c r="O234" s="27"/>
      <c r="P234" s="28"/>
      <c r="Q234" s="5" t="str">
        <f t="shared" si="11"/>
        <v>ทันกำหนด</v>
      </c>
      <c r="R234" s="6"/>
      <c r="S234" s="7"/>
    </row>
    <row r="235" spans="1:19" ht="27.75" customHeight="1">
      <c r="A235" s="3">
        <v>234</v>
      </c>
      <c r="B235" s="27"/>
      <c r="C235" s="29"/>
      <c r="D235" s="30"/>
      <c r="E235" s="31"/>
      <c r="F235" s="31"/>
      <c r="G235" s="31">
        <f t="shared" si="9"/>
        <v>0</v>
      </c>
      <c r="H235" s="31" t="str">
        <f t="shared" si="10"/>
        <v>ครบ</v>
      </c>
      <c r="I235" s="31"/>
      <c r="J235" s="27" t="e">
        <f>VLOOKUP(I235,Sheet2!$B$1:$C$62,2,FALSE)</f>
        <v>#N/A</v>
      </c>
      <c r="K235" s="27" t="e">
        <f>VLOOKUP(J235,Sheet2!$C$1:$D$61,2,FALSE)</f>
        <v>#N/A</v>
      </c>
      <c r="L235" s="27"/>
      <c r="M235" s="27"/>
      <c r="N235" s="27"/>
      <c r="O235" s="27"/>
      <c r="P235" s="28"/>
      <c r="Q235" s="5" t="str">
        <f t="shared" si="11"/>
        <v>ทันกำหนด</v>
      </c>
      <c r="R235" s="6"/>
      <c r="S235" s="7"/>
    </row>
    <row r="236" spans="1:19" ht="27.75" customHeight="1">
      <c r="A236" s="3">
        <v>235</v>
      </c>
      <c r="B236" s="27"/>
      <c r="C236" s="29"/>
      <c r="D236" s="30"/>
      <c r="E236" s="31"/>
      <c r="F236" s="31"/>
      <c r="G236" s="31">
        <f t="shared" si="9"/>
        <v>0</v>
      </c>
      <c r="H236" s="31" t="str">
        <f t="shared" si="10"/>
        <v>ครบ</v>
      </c>
      <c r="I236" s="31"/>
      <c r="J236" s="27" t="e">
        <f>VLOOKUP(I236,Sheet2!$B$1:$C$62,2,FALSE)</f>
        <v>#N/A</v>
      </c>
      <c r="K236" s="27" t="e">
        <f>VLOOKUP(J236,Sheet2!$C$1:$D$61,2,FALSE)</f>
        <v>#N/A</v>
      </c>
      <c r="L236" s="27"/>
      <c r="M236" s="27"/>
      <c r="N236" s="27"/>
      <c r="O236" s="27"/>
      <c r="P236" s="28"/>
      <c r="Q236" s="5" t="str">
        <f t="shared" si="11"/>
        <v>ทันกำหนด</v>
      </c>
      <c r="R236" s="6"/>
      <c r="S236" s="7"/>
    </row>
    <row r="237" spans="1:19" ht="27.75" customHeight="1">
      <c r="A237" s="3">
        <v>236</v>
      </c>
      <c r="B237" s="27"/>
      <c r="C237" s="29"/>
      <c r="D237" s="30"/>
      <c r="E237" s="31"/>
      <c r="F237" s="31"/>
      <c r="G237" s="31">
        <f t="shared" si="9"/>
        <v>0</v>
      </c>
      <c r="H237" s="31" t="str">
        <f t="shared" si="10"/>
        <v>ครบ</v>
      </c>
      <c r="I237" s="31"/>
      <c r="J237" s="27" t="e">
        <f>VLOOKUP(I237,Sheet2!$B$1:$C$62,2,FALSE)</f>
        <v>#N/A</v>
      </c>
      <c r="K237" s="27" t="e">
        <f>VLOOKUP(J237,Sheet2!$C$1:$D$61,2,FALSE)</f>
        <v>#N/A</v>
      </c>
      <c r="L237" s="27"/>
      <c r="M237" s="27"/>
      <c r="N237" s="27"/>
      <c r="O237" s="27"/>
      <c r="P237" s="28"/>
      <c r="Q237" s="5" t="str">
        <f t="shared" si="11"/>
        <v>ทันกำหนด</v>
      </c>
      <c r="R237" s="6"/>
      <c r="S237" s="7"/>
    </row>
    <row r="238" spans="1:19" ht="27.75" customHeight="1">
      <c r="A238" s="3">
        <v>237</v>
      </c>
      <c r="B238" s="27"/>
      <c r="C238" s="29"/>
      <c r="D238" s="30"/>
      <c r="E238" s="31"/>
      <c r="F238" s="31"/>
      <c r="G238" s="31">
        <f t="shared" si="9"/>
        <v>0</v>
      </c>
      <c r="H238" s="31" t="str">
        <f t="shared" si="10"/>
        <v>ครบ</v>
      </c>
      <c r="I238" s="31"/>
      <c r="J238" s="27" t="e">
        <f>VLOOKUP(I238,Sheet2!$B$1:$C$62,2,FALSE)</f>
        <v>#N/A</v>
      </c>
      <c r="K238" s="27" t="e">
        <f>VLOOKUP(J238,Sheet2!$C$1:$D$61,2,FALSE)</f>
        <v>#N/A</v>
      </c>
      <c r="L238" s="27"/>
      <c r="M238" s="27"/>
      <c r="N238" s="27"/>
      <c r="O238" s="27"/>
      <c r="P238" s="28"/>
      <c r="Q238" s="5" t="str">
        <f t="shared" si="11"/>
        <v>ทันกำหนด</v>
      </c>
      <c r="R238" s="6"/>
      <c r="S238" s="7"/>
    </row>
    <row r="239" spans="1:19" ht="27.75" customHeight="1">
      <c r="A239" s="3">
        <v>238</v>
      </c>
      <c r="B239" s="27"/>
      <c r="C239" s="29"/>
      <c r="D239" s="32"/>
      <c r="E239" s="31"/>
      <c r="F239" s="31"/>
      <c r="G239" s="31">
        <f t="shared" si="9"/>
        <v>0</v>
      </c>
      <c r="H239" s="31" t="str">
        <f t="shared" si="10"/>
        <v>ครบ</v>
      </c>
      <c r="I239" s="31"/>
      <c r="J239" s="27" t="e">
        <f>VLOOKUP(I239,Sheet2!$B$1:$C$62,2,FALSE)</f>
        <v>#N/A</v>
      </c>
      <c r="K239" s="27" t="e">
        <f>VLOOKUP(J239,Sheet2!$C$1:$D$61,2,FALSE)</f>
        <v>#N/A</v>
      </c>
      <c r="L239" s="27"/>
      <c r="M239" s="27"/>
      <c r="N239" s="27"/>
      <c r="O239" s="27"/>
      <c r="P239" s="28"/>
      <c r="Q239" s="5" t="str">
        <f t="shared" si="11"/>
        <v>ทันกำหนด</v>
      </c>
      <c r="R239" s="6"/>
      <c r="S239" s="7"/>
    </row>
    <row r="240" spans="1:19" ht="27.75" customHeight="1">
      <c r="A240" s="3">
        <v>239</v>
      </c>
      <c r="B240" s="27"/>
      <c r="C240" s="29"/>
      <c r="D240" s="32"/>
      <c r="E240" s="31"/>
      <c r="F240" s="31"/>
      <c r="G240" s="31">
        <f t="shared" si="9"/>
        <v>0</v>
      </c>
      <c r="H240" s="31" t="str">
        <f t="shared" si="10"/>
        <v>ครบ</v>
      </c>
      <c r="I240" s="31"/>
      <c r="J240" s="27" t="e">
        <f>VLOOKUP(I240,Sheet2!$B$1:$C$62,2,FALSE)</f>
        <v>#N/A</v>
      </c>
      <c r="K240" s="27" t="e">
        <f>VLOOKUP(J240,Sheet2!$C$1:$D$61,2,FALSE)</f>
        <v>#N/A</v>
      </c>
      <c r="L240" s="27"/>
      <c r="M240" s="27"/>
      <c r="N240" s="27"/>
      <c r="O240" s="27"/>
      <c r="P240" s="28"/>
      <c r="Q240" s="5" t="str">
        <f t="shared" si="11"/>
        <v>ทันกำหนด</v>
      </c>
      <c r="R240" s="6"/>
      <c r="S240" s="7"/>
    </row>
    <row r="241" spans="1:19" ht="27.75" customHeight="1">
      <c r="A241" s="3">
        <v>240</v>
      </c>
      <c r="B241" s="27"/>
      <c r="C241" s="29"/>
      <c r="D241" s="32"/>
      <c r="E241" s="31"/>
      <c r="F241" s="31"/>
      <c r="G241" s="31">
        <f t="shared" si="9"/>
        <v>0</v>
      </c>
      <c r="H241" s="31" t="str">
        <f t="shared" si="10"/>
        <v>ครบ</v>
      </c>
      <c r="I241" s="31"/>
      <c r="J241" s="27" t="e">
        <f>VLOOKUP(I241,Sheet2!$B$1:$C$62,2,FALSE)</f>
        <v>#N/A</v>
      </c>
      <c r="K241" s="27" t="e">
        <f>VLOOKUP(J241,Sheet2!$C$1:$D$61,2,FALSE)</f>
        <v>#N/A</v>
      </c>
      <c r="L241" s="27"/>
      <c r="M241" s="27"/>
      <c r="N241" s="27"/>
      <c r="O241" s="27"/>
      <c r="P241" s="28"/>
      <c r="Q241" s="5" t="str">
        <f t="shared" si="11"/>
        <v>ทันกำหนด</v>
      </c>
      <c r="R241" s="6"/>
      <c r="S241" s="7"/>
    </row>
    <row r="242" spans="1:19" ht="27.75" customHeight="1">
      <c r="A242" s="3">
        <v>241</v>
      </c>
      <c r="B242" s="27"/>
      <c r="C242" s="29"/>
      <c r="D242" s="32"/>
      <c r="E242" s="31"/>
      <c r="F242" s="31"/>
      <c r="G242" s="31">
        <f t="shared" si="9"/>
        <v>0</v>
      </c>
      <c r="H242" s="31" t="str">
        <f t="shared" si="10"/>
        <v>ครบ</v>
      </c>
      <c r="I242" s="31"/>
      <c r="J242" s="27" t="e">
        <f>VLOOKUP(I242,Sheet2!$B$1:$C$62,2,FALSE)</f>
        <v>#N/A</v>
      </c>
      <c r="K242" s="27" t="e">
        <f>VLOOKUP(J242,Sheet2!$C$1:$D$61,2,FALSE)</f>
        <v>#N/A</v>
      </c>
      <c r="L242" s="27"/>
      <c r="M242" s="27"/>
      <c r="N242" s="27"/>
      <c r="O242" s="27"/>
      <c r="P242" s="28"/>
      <c r="Q242" s="5" t="str">
        <f t="shared" si="11"/>
        <v>ทันกำหนด</v>
      </c>
      <c r="R242" s="6"/>
      <c r="S242" s="7"/>
    </row>
    <row r="243" spans="1:19" ht="27.75" customHeight="1">
      <c r="A243" s="3">
        <v>242</v>
      </c>
      <c r="B243" s="27"/>
      <c r="C243" s="29"/>
      <c r="D243" s="32"/>
      <c r="E243" s="31"/>
      <c r="F243" s="31"/>
      <c r="G243" s="31">
        <f t="shared" si="9"/>
        <v>0</v>
      </c>
      <c r="H243" s="31" t="str">
        <f t="shared" si="10"/>
        <v>ครบ</v>
      </c>
      <c r="I243" s="31"/>
      <c r="J243" s="27" t="e">
        <f>VLOOKUP(I243,Sheet2!$B$1:$C$62,2,FALSE)</f>
        <v>#N/A</v>
      </c>
      <c r="K243" s="27" t="e">
        <f>VLOOKUP(J243,Sheet2!$C$1:$D$61,2,FALSE)</f>
        <v>#N/A</v>
      </c>
      <c r="L243" s="27"/>
      <c r="M243" s="27"/>
      <c r="N243" s="27"/>
      <c r="O243" s="27"/>
      <c r="P243" s="28"/>
      <c r="Q243" s="5" t="str">
        <f t="shared" si="11"/>
        <v>ทันกำหนด</v>
      </c>
      <c r="R243" s="6"/>
      <c r="S243" s="7"/>
    </row>
    <row r="244" spans="1:19" ht="27.75" customHeight="1">
      <c r="A244" s="3">
        <v>243</v>
      </c>
      <c r="B244" s="27"/>
      <c r="C244" s="29"/>
      <c r="D244" s="32"/>
      <c r="E244" s="31"/>
      <c r="F244" s="31"/>
      <c r="G244" s="31">
        <f t="shared" si="9"/>
        <v>0</v>
      </c>
      <c r="H244" s="31" t="str">
        <f t="shared" si="10"/>
        <v>ครบ</v>
      </c>
      <c r="I244" s="31"/>
      <c r="J244" s="27" t="e">
        <f>VLOOKUP(I244,Sheet2!$B$1:$C$62,2,FALSE)</f>
        <v>#N/A</v>
      </c>
      <c r="K244" s="27" t="e">
        <f>VLOOKUP(J244,Sheet2!$C$1:$D$61,2,FALSE)</f>
        <v>#N/A</v>
      </c>
      <c r="L244" s="27"/>
      <c r="M244" s="27"/>
      <c r="N244" s="27"/>
      <c r="O244" s="27"/>
      <c r="P244" s="28"/>
      <c r="Q244" s="5" t="str">
        <f t="shared" si="11"/>
        <v>ทันกำหนด</v>
      </c>
      <c r="R244" s="6"/>
      <c r="S244" s="7"/>
    </row>
    <row r="245" spans="1:19" ht="27.75" customHeight="1">
      <c r="A245" s="3">
        <v>244</v>
      </c>
      <c r="B245" s="27"/>
      <c r="C245" s="29"/>
      <c r="D245" s="32"/>
      <c r="E245" s="31"/>
      <c r="F245" s="31"/>
      <c r="G245" s="31">
        <f t="shared" si="9"/>
        <v>0</v>
      </c>
      <c r="H245" s="31" t="str">
        <f t="shared" si="10"/>
        <v>ครบ</v>
      </c>
      <c r="I245" s="31"/>
      <c r="J245" s="27" t="e">
        <f>VLOOKUP(I245,Sheet2!$B$1:$C$62,2,FALSE)</f>
        <v>#N/A</v>
      </c>
      <c r="K245" s="27" t="e">
        <f>VLOOKUP(J245,Sheet2!$C$1:$D$61,2,FALSE)</f>
        <v>#N/A</v>
      </c>
      <c r="L245" s="27"/>
      <c r="M245" s="27"/>
      <c r="N245" s="27"/>
      <c r="O245" s="27"/>
      <c r="P245" s="28"/>
      <c r="Q245" s="5" t="str">
        <f t="shared" si="11"/>
        <v>ทันกำหนด</v>
      </c>
      <c r="R245" s="6"/>
      <c r="S245" s="7"/>
    </row>
    <row r="246" spans="1:19" ht="27.75" customHeight="1">
      <c r="A246" s="3">
        <v>245</v>
      </c>
      <c r="B246" s="27"/>
      <c r="C246" s="29"/>
      <c r="D246" s="32"/>
      <c r="E246" s="31"/>
      <c r="F246" s="31"/>
      <c r="G246" s="31">
        <f t="shared" si="9"/>
        <v>0</v>
      </c>
      <c r="H246" s="31" t="str">
        <f t="shared" si="10"/>
        <v>ครบ</v>
      </c>
      <c r="I246" s="31"/>
      <c r="J246" s="27" t="e">
        <f>VLOOKUP(I246,Sheet2!$B$1:$C$62,2,FALSE)</f>
        <v>#N/A</v>
      </c>
      <c r="K246" s="27" t="e">
        <f>VLOOKUP(J246,Sheet2!$C$1:$D$61,2,FALSE)</f>
        <v>#N/A</v>
      </c>
      <c r="L246" s="27"/>
      <c r="M246" s="27"/>
      <c r="N246" s="27"/>
      <c r="O246" s="27"/>
      <c r="P246" s="28"/>
      <c r="Q246" s="5" t="str">
        <f t="shared" si="11"/>
        <v>ทันกำหนด</v>
      </c>
      <c r="R246" s="6"/>
      <c r="S246" s="7"/>
    </row>
    <row r="247" spans="1:19" ht="27.75" customHeight="1">
      <c r="A247" s="3">
        <v>246</v>
      </c>
      <c r="B247" s="27"/>
      <c r="C247" s="29"/>
      <c r="D247" s="32"/>
      <c r="E247" s="31"/>
      <c r="F247" s="31"/>
      <c r="G247" s="31">
        <f t="shared" si="9"/>
        <v>0</v>
      </c>
      <c r="H247" s="31" t="str">
        <f t="shared" si="10"/>
        <v>ครบ</v>
      </c>
      <c r="I247" s="31"/>
      <c r="J247" s="27" t="e">
        <f>VLOOKUP(I247,Sheet2!$B$1:$C$62,2,FALSE)</f>
        <v>#N/A</v>
      </c>
      <c r="K247" s="27" t="e">
        <f>VLOOKUP(J247,Sheet2!$C$1:$D$61,2,FALSE)</f>
        <v>#N/A</v>
      </c>
      <c r="L247" s="27"/>
      <c r="M247" s="27"/>
      <c r="N247" s="27"/>
      <c r="O247" s="27"/>
      <c r="P247" s="28"/>
      <c r="Q247" s="5" t="str">
        <f t="shared" si="11"/>
        <v>ทันกำหนด</v>
      </c>
      <c r="R247" s="6"/>
      <c r="S247" s="7"/>
    </row>
    <row r="248" spans="1:19" ht="27.75" customHeight="1">
      <c r="A248" s="3">
        <v>247</v>
      </c>
      <c r="B248" s="27"/>
      <c r="C248" s="29"/>
      <c r="D248" s="32"/>
      <c r="E248" s="31"/>
      <c r="F248" s="31"/>
      <c r="G248" s="31">
        <f t="shared" si="9"/>
        <v>0</v>
      </c>
      <c r="H248" s="31" t="str">
        <f t="shared" si="10"/>
        <v>ครบ</v>
      </c>
      <c r="I248" s="31"/>
      <c r="J248" s="27" t="e">
        <f>VLOOKUP(I248,Sheet2!$B$1:$C$62,2,FALSE)</f>
        <v>#N/A</v>
      </c>
      <c r="K248" s="27" t="e">
        <f>VLOOKUP(J248,Sheet2!$C$1:$D$61,2,FALSE)</f>
        <v>#N/A</v>
      </c>
      <c r="L248" s="27"/>
      <c r="M248" s="27"/>
      <c r="N248" s="27"/>
      <c r="O248" s="27"/>
      <c r="P248" s="28"/>
      <c r="Q248" s="5" t="str">
        <f t="shared" si="11"/>
        <v>ทันกำหนด</v>
      </c>
      <c r="R248" s="6"/>
      <c r="S248" s="7"/>
    </row>
    <row r="249" spans="1:19" ht="27.75" customHeight="1">
      <c r="A249" s="3">
        <v>248</v>
      </c>
      <c r="B249" s="27"/>
      <c r="C249" s="29"/>
      <c r="D249" s="32"/>
      <c r="E249" s="31"/>
      <c r="F249" s="31"/>
      <c r="G249" s="31">
        <f t="shared" si="9"/>
        <v>0</v>
      </c>
      <c r="H249" s="31" t="str">
        <f t="shared" si="10"/>
        <v>ครบ</v>
      </c>
      <c r="I249" s="31"/>
      <c r="J249" s="27" t="e">
        <f>VLOOKUP(I249,Sheet2!$B$1:$C$62,2,FALSE)</f>
        <v>#N/A</v>
      </c>
      <c r="K249" s="27" t="e">
        <f>VLOOKUP(J249,Sheet2!$C$1:$D$61,2,FALSE)</f>
        <v>#N/A</v>
      </c>
      <c r="L249" s="27"/>
      <c r="M249" s="27"/>
      <c r="N249" s="27"/>
      <c r="O249" s="27"/>
      <c r="P249" s="28"/>
      <c r="Q249" s="5" t="str">
        <f t="shared" si="11"/>
        <v>ทันกำหนด</v>
      </c>
      <c r="R249" s="6"/>
      <c r="S249" s="7"/>
    </row>
    <row r="250" spans="1:19" ht="27.75" customHeight="1">
      <c r="A250" s="3">
        <v>249</v>
      </c>
      <c r="B250" s="27"/>
      <c r="C250" s="29"/>
      <c r="D250" s="32"/>
      <c r="E250" s="31"/>
      <c r="F250" s="31"/>
      <c r="G250" s="31">
        <f t="shared" si="9"/>
        <v>0</v>
      </c>
      <c r="H250" s="31" t="str">
        <f t="shared" si="10"/>
        <v>ครบ</v>
      </c>
      <c r="I250" s="31"/>
      <c r="J250" s="27" t="e">
        <f>VLOOKUP(I250,Sheet2!$B$1:$C$62,2,FALSE)</f>
        <v>#N/A</v>
      </c>
      <c r="K250" s="27" t="e">
        <f>VLOOKUP(J250,Sheet2!$C$1:$D$61,2,FALSE)</f>
        <v>#N/A</v>
      </c>
      <c r="L250" s="27"/>
      <c r="M250" s="27"/>
      <c r="N250" s="27"/>
      <c r="O250" s="27"/>
      <c r="P250" s="28"/>
      <c r="Q250" s="5" t="str">
        <f t="shared" si="11"/>
        <v>ทันกำหนด</v>
      </c>
      <c r="R250" s="6"/>
      <c r="S250" s="7"/>
    </row>
    <row r="251" spans="1:19" ht="27.75" customHeight="1">
      <c r="A251" s="3">
        <v>250</v>
      </c>
      <c r="B251" s="27"/>
      <c r="C251" s="29"/>
      <c r="D251" s="32"/>
      <c r="E251" s="31"/>
      <c r="F251" s="31"/>
      <c r="G251" s="31">
        <f t="shared" si="9"/>
        <v>0</v>
      </c>
      <c r="H251" s="31" t="str">
        <f t="shared" si="10"/>
        <v>ครบ</v>
      </c>
      <c r="I251" s="31"/>
      <c r="J251" s="27" t="e">
        <f>VLOOKUP(I251,Sheet2!$B$1:$C$62,2,FALSE)</f>
        <v>#N/A</v>
      </c>
      <c r="K251" s="27" t="e">
        <f>VLOOKUP(J251,Sheet2!$C$1:$D$61,2,FALSE)</f>
        <v>#N/A</v>
      </c>
      <c r="L251" s="27"/>
      <c r="M251" s="27"/>
      <c r="N251" s="27"/>
      <c r="O251" s="27"/>
      <c r="P251" s="28"/>
      <c r="Q251" s="5" t="str">
        <f t="shared" si="11"/>
        <v>ทันกำหนด</v>
      </c>
      <c r="R251" s="6"/>
      <c r="S251" s="7"/>
    </row>
    <row r="252" spans="1:19" ht="27.75" customHeight="1">
      <c r="A252" s="3">
        <v>251</v>
      </c>
      <c r="B252" s="27"/>
      <c r="C252" s="29"/>
      <c r="D252" s="32"/>
      <c r="E252" s="31"/>
      <c r="F252" s="31"/>
      <c r="G252" s="31">
        <f t="shared" si="9"/>
        <v>0</v>
      </c>
      <c r="H252" s="31" t="str">
        <f t="shared" si="10"/>
        <v>ครบ</v>
      </c>
      <c r="I252" s="31"/>
      <c r="J252" s="27" t="e">
        <f>VLOOKUP(I252,Sheet2!$B$1:$C$62,2,FALSE)</f>
        <v>#N/A</v>
      </c>
      <c r="K252" s="27" t="e">
        <f>VLOOKUP(J252,Sheet2!$C$1:$D$61,2,FALSE)</f>
        <v>#N/A</v>
      </c>
      <c r="L252" s="27"/>
      <c r="M252" s="27"/>
      <c r="N252" s="27"/>
      <c r="O252" s="27"/>
      <c r="P252" s="28"/>
      <c r="Q252" s="5" t="str">
        <f t="shared" si="11"/>
        <v>ทันกำหนด</v>
      </c>
      <c r="R252" s="6"/>
      <c r="S252" s="7"/>
    </row>
    <row r="253" spans="1:19" ht="27.75" customHeight="1">
      <c r="A253" s="3">
        <v>252</v>
      </c>
      <c r="B253" s="27"/>
      <c r="C253" s="29"/>
      <c r="D253" s="32"/>
      <c r="E253" s="31"/>
      <c r="F253" s="31"/>
      <c r="G253" s="31">
        <f t="shared" si="9"/>
        <v>0</v>
      </c>
      <c r="H253" s="31" t="str">
        <f t="shared" si="10"/>
        <v>ครบ</v>
      </c>
      <c r="I253" s="31"/>
      <c r="J253" s="27" t="e">
        <f>VLOOKUP(I253,Sheet2!$B$1:$C$62,2,FALSE)</f>
        <v>#N/A</v>
      </c>
      <c r="K253" s="27" t="e">
        <f>VLOOKUP(J253,Sheet2!$C$1:$D$61,2,FALSE)</f>
        <v>#N/A</v>
      </c>
      <c r="L253" s="27"/>
      <c r="M253" s="27"/>
      <c r="N253" s="27"/>
      <c r="O253" s="27"/>
      <c r="P253" s="28"/>
      <c r="Q253" s="5" t="str">
        <f t="shared" si="11"/>
        <v>ทันกำหนด</v>
      </c>
      <c r="R253" s="6"/>
      <c r="S253" s="7"/>
    </row>
    <row r="254" spans="1:19" ht="27.75" customHeight="1">
      <c r="A254" s="3">
        <v>253</v>
      </c>
      <c r="B254" s="27"/>
      <c r="C254" s="29"/>
      <c r="D254" s="32"/>
      <c r="E254" s="31"/>
      <c r="F254" s="31"/>
      <c r="G254" s="31">
        <f t="shared" si="9"/>
        <v>0</v>
      </c>
      <c r="H254" s="31" t="str">
        <f t="shared" si="10"/>
        <v>ครบ</v>
      </c>
      <c r="I254" s="31"/>
      <c r="J254" s="27" t="e">
        <f>VLOOKUP(I254,Sheet2!$B$1:$C$62,2,FALSE)</f>
        <v>#N/A</v>
      </c>
      <c r="K254" s="27" t="e">
        <f>VLOOKUP(J254,Sheet2!$C$1:$D$61,2,FALSE)</f>
        <v>#N/A</v>
      </c>
      <c r="L254" s="27"/>
      <c r="M254" s="27"/>
      <c r="N254" s="27"/>
      <c r="O254" s="27"/>
      <c r="P254" s="28"/>
      <c r="Q254" s="5" t="str">
        <f t="shared" si="11"/>
        <v>ทันกำหนด</v>
      </c>
      <c r="R254" s="6"/>
      <c r="S254" s="7"/>
    </row>
    <row r="255" spans="1:19" ht="27.75" customHeight="1">
      <c r="A255" s="3">
        <v>254</v>
      </c>
      <c r="B255" s="27"/>
      <c r="C255" s="29"/>
      <c r="D255" s="32"/>
      <c r="E255" s="31"/>
      <c r="F255" s="31"/>
      <c r="G255" s="31">
        <f t="shared" si="9"/>
        <v>0</v>
      </c>
      <c r="H255" s="31" t="str">
        <f t="shared" si="10"/>
        <v>ครบ</v>
      </c>
      <c r="I255" s="31"/>
      <c r="J255" s="27" t="e">
        <f>VLOOKUP(I255,Sheet2!$B$1:$C$62,2,FALSE)</f>
        <v>#N/A</v>
      </c>
      <c r="K255" s="27" t="e">
        <f>VLOOKUP(J255,Sheet2!$C$1:$D$61,2,FALSE)</f>
        <v>#N/A</v>
      </c>
      <c r="L255" s="27"/>
      <c r="M255" s="27"/>
      <c r="N255" s="27"/>
      <c r="O255" s="27"/>
      <c r="P255" s="28"/>
      <c r="Q255" s="5" t="str">
        <f t="shared" si="11"/>
        <v>ทันกำหนด</v>
      </c>
      <c r="R255" s="6"/>
      <c r="S255" s="7"/>
    </row>
    <row r="256" spans="1:19" ht="27.75" customHeight="1">
      <c r="A256" s="3">
        <v>255</v>
      </c>
      <c r="B256" s="27"/>
      <c r="C256" s="29"/>
      <c r="D256" s="32"/>
      <c r="E256" s="31"/>
      <c r="F256" s="31"/>
      <c r="G256" s="31">
        <f t="shared" si="9"/>
        <v>0</v>
      </c>
      <c r="H256" s="31" t="str">
        <f t="shared" si="10"/>
        <v>ครบ</v>
      </c>
      <c r="I256" s="31"/>
      <c r="J256" s="27" t="e">
        <f>VLOOKUP(I256,Sheet2!$B$1:$C$62,2,FALSE)</f>
        <v>#N/A</v>
      </c>
      <c r="K256" s="27" t="e">
        <f>VLOOKUP(J256,Sheet2!$C$1:$D$61,2,FALSE)</f>
        <v>#N/A</v>
      </c>
      <c r="L256" s="27"/>
      <c r="M256" s="27"/>
      <c r="N256" s="27"/>
      <c r="O256" s="27"/>
      <c r="P256" s="28"/>
      <c r="Q256" s="5" t="str">
        <f t="shared" si="11"/>
        <v>ทันกำหนด</v>
      </c>
      <c r="R256" s="6"/>
      <c r="S256" s="7"/>
    </row>
    <row r="257" spans="1:19" ht="27.75" customHeight="1">
      <c r="A257" s="3">
        <v>256</v>
      </c>
      <c r="B257" s="27"/>
      <c r="C257" s="29"/>
      <c r="D257" s="32"/>
      <c r="E257" s="31"/>
      <c r="F257" s="31"/>
      <c r="G257" s="31">
        <f t="shared" si="9"/>
        <v>0</v>
      </c>
      <c r="H257" s="31" t="str">
        <f t="shared" si="10"/>
        <v>ครบ</v>
      </c>
      <c r="I257" s="31"/>
      <c r="J257" s="27" t="e">
        <f>VLOOKUP(I257,Sheet2!$B$1:$C$62,2,FALSE)</f>
        <v>#N/A</v>
      </c>
      <c r="K257" s="27" t="e">
        <f>VLOOKUP(J257,Sheet2!$C$1:$D$61,2,FALSE)</f>
        <v>#N/A</v>
      </c>
      <c r="L257" s="27"/>
      <c r="M257" s="27"/>
      <c r="N257" s="27"/>
      <c r="O257" s="27"/>
      <c r="P257" s="28"/>
      <c r="Q257" s="5" t="str">
        <f t="shared" si="11"/>
        <v>ทันกำหนด</v>
      </c>
      <c r="R257" s="6"/>
      <c r="S257" s="7"/>
    </row>
    <row r="258" spans="1:19" ht="27.75" customHeight="1">
      <c r="A258" s="3">
        <v>257</v>
      </c>
      <c r="B258" s="27"/>
      <c r="C258" s="29"/>
      <c r="D258" s="32"/>
      <c r="E258" s="31"/>
      <c r="F258" s="31"/>
      <c r="G258" s="31">
        <f t="shared" si="9"/>
        <v>0</v>
      </c>
      <c r="H258" s="31" t="str">
        <f t="shared" si="10"/>
        <v>ครบ</v>
      </c>
      <c r="I258" s="31"/>
      <c r="J258" s="27" t="e">
        <f>VLOOKUP(I258,Sheet2!$B$1:$C$62,2,FALSE)</f>
        <v>#N/A</v>
      </c>
      <c r="K258" s="27" t="e">
        <f>VLOOKUP(J258,Sheet2!$C$1:$D$61,2,FALSE)</f>
        <v>#N/A</v>
      </c>
      <c r="L258" s="27"/>
      <c r="M258" s="27"/>
      <c r="N258" s="27"/>
      <c r="O258" s="27"/>
      <c r="P258" s="28"/>
      <c r="Q258" s="5" t="str">
        <f t="shared" si="11"/>
        <v>ทันกำหนด</v>
      </c>
      <c r="R258" s="6"/>
      <c r="S258" s="7"/>
    </row>
    <row r="259" spans="1:19" ht="27.75" customHeight="1">
      <c r="A259" s="3">
        <v>258</v>
      </c>
      <c r="B259" s="27"/>
      <c r="C259" s="29"/>
      <c r="D259" s="32"/>
      <c r="E259" s="31"/>
      <c r="F259" s="31"/>
      <c r="G259" s="31">
        <f t="shared" ref="G259:G323" si="12">$E259-$F259</f>
        <v>0</v>
      </c>
      <c r="H259" s="31" t="str">
        <f t="shared" ref="H259:H323" si="13">IF($G259=0,"ครบ","ไม่ครบ")</f>
        <v>ครบ</v>
      </c>
      <c r="I259" s="31"/>
      <c r="J259" s="27" t="e">
        <f>VLOOKUP(I259,Sheet2!$B$1:$C$62,2,FALSE)</f>
        <v>#N/A</v>
      </c>
      <c r="K259" s="27" t="e">
        <f>VLOOKUP(J259,Sheet2!$C$1:$D$61,2,FALSE)</f>
        <v>#N/A</v>
      </c>
      <c r="L259" s="27"/>
      <c r="M259" s="27"/>
      <c r="N259" s="27"/>
      <c r="O259" s="27"/>
      <c r="P259" s="28"/>
      <c r="Q259" s="5" t="str">
        <f t="shared" ref="Q259:Q323" si="14">IF($N259&gt;$M259,"เกินกำหนด","ทันกำหนด")</f>
        <v>ทันกำหนด</v>
      </c>
      <c r="R259" s="6"/>
      <c r="S259" s="7"/>
    </row>
    <row r="260" spans="1:19" ht="27.75" customHeight="1">
      <c r="A260" s="3">
        <v>259</v>
      </c>
      <c r="B260" s="27"/>
      <c r="C260" s="29"/>
      <c r="D260" s="32"/>
      <c r="E260" s="31"/>
      <c r="F260" s="31"/>
      <c r="G260" s="31">
        <f t="shared" si="12"/>
        <v>0</v>
      </c>
      <c r="H260" s="31" t="str">
        <f t="shared" si="13"/>
        <v>ครบ</v>
      </c>
      <c r="I260" s="31"/>
      <c r="J260" s="27" t="e">
        <f>VLOOKUP(I260,Sheet2!$B$1:$C$62,2,FALSE)</f>
        <v>#N/A</v>
      </c>
      <c r="K260" s="27" t="e">
        <f>VLOOKUP(J260,Sheet2!$C$1:$D$61,2,FALSE)</f>
        <v>#N/A</v>
      </c>
      <c r="L260" s="27"/>
      <c r="M260" s="27"/>
      <c r="N260" s="27"/>
      <c r="O260" s="27"/>
      <c r="P260" s="28"/>
      <c r="Q260" s="5" t="str">
        <f t="shared" si="14"/>
        <v>ทันกำหนด</v>
      </c>
      <c r="R260" s="6"/>
      <c r="S260" s="7"/>
    </row>
    <row r="261" spans="1:19" ht="27.75" customHeight="1">
      <c r="A261" s="3">
        <v>260</v>
      </c>
      <c r="B261" s="27"/>
      <c r="C261" s="29"/>
      <c r="D261" s="30"/>
      <c r="E261" s="31"/>
      <c r="F261" s="31"/>
      <c r="G261" s="31">
        <f t="shared" si="12"/>
        <v>0</v>
      </c>
      <c r="H261" s="31" t="str">
        <f t="shared" si="13"/>
        <v>ครบ</v>
      </c>
      <c r="I261" s="31"/>
      <c r="J261" s="27" t="e">
        <f>VLOOKUP(I261,Sheet2!$B$1:$C$62,2,FALSE)</f>
        <v>#N/A</v>
      </c>
      <c r="K261" s="27" t="e">
        <f>VLOOKUP(J261,Sheet2!$C$1:$D$61,2,FALSE)</f>
        <v>#N/A</v>
      </c>
      <c r="L261" s="27"/>
      <c r="M261" s="27"/>
      <c r="N261" s="27"/>
      <c r="O261" s="27"/>
      <c r="P261" s="28"/>
      <c r="Q261" s="5" t="str">
        <f t="shared" si="14"/>
        <v>ทันกำหนด</v>
      </c>
      <c r="R261" s="6"/>
      <c r="S261" s="7"/>
    </row>
    <row r="262" spans="1:19" ht="27.75" customHeight="1">
      <c r="A262" s="3">
        <v>261</v>
      </c>
      <c r="B262" s="27"/>
      <c r="C262" s="29"/>
      <c r="D262" s="30"/>
      <c r="E262" s="31"/>
      <c r="F262" s="31"/>
      <c r="G262" s="31">
        <f t="shared" si="12"/>
        <v>0</v>
      </c>
      <c r="H262" s="31" t="str">
        <f t="shared" si="13"/>
        <v>ครบ</v>
      </c>
      <c r="I262" s="31"/>
      <c r="J262" s="27" t="e">
        <f>VLOOKUP(I262,Sheet2!$B$1:$C$62,2,FALSE)</f>
        <v>#N/A</v>
      </c>
      <c r="K262" s="27" t="e">
        <f>VLOOKUP(J262,Sheet2!$C$1:$D$61,2,FALSE)</f>
        <v>#N/A</v>
      </c>
      <c r="L262" s="27"/>
      <c r="M262" s="27"/>
      <c r="N262" s="27"/>
      <c r="O262" s="27"/>
      <c r="P262" s="28"/>
      <c r="Q262" s="5" t="str">
        <f t="shared" si="14"/>
        <v>ทันกำหนด</v>
      </c>
      <c r="R262" s="6"/>
      <c r="S262" s="7"/>
    </row>
    <row r="263" spans="1:19" ht="27.75" customHeight="1">
      <c r="A263" s="3">
        <v>262</v>
      </c>
      <c r="B263" s="27"/>
      <c r="C263" s="29"/>
      <c r="D263" s="30"/>
      <c r="E263" s="31"/>
      <c r="F263" s="31"/>
      <c r="G263" s="31">
        <f t="shared" si="12"/>
        <v>0</v>
      </c>
      <c r="H263" s="31" t="str">
        <f t="shared" si="13"/>
        <v>ครบ</v>
      </c>
      <c r="I263" s="31"/>
      <c r="J263" s="27" t="e">
        <f>VLOOKUP(I263,Sheet2!$B$1:$C$62,2,FALSE)</f>
        <v>#N/A</v>
      </c>
      <c r="K263" s="27" t="e">
        <f>VLOOKUP(J263,Sheet2!$C$1:$D$61,2,FALSE)</f>
        <v>#N/A</v>
      </c>
      <c r="L263" s="27"/>
      <c r="M263" s="27"/>
      <c r="N263" s="27"/>
      <c r="O263" s="27"/>
      <c r="P263" s="28"/>
      <c r="Q263" s="5" t="str">
        <f t="shared" si="14"/>
        <v>ทันกำหนด</v>
      </c>
      <c r="R263" s="6"/>
      <c r="S263" s="7"/>
    </row>
    <row r="264" spans="1:19" ht="27.75" customHeight="1">
      <c r="A264" s="3">
        <v>263</v>
      </c>
      <c r="B264" s="27"/>
      <c r="C264" s="29"/>
      <c r="D264" s="30"/>
      <c r="E264" s="31"/>
      <c r="F264" s="31"/>
      <c r="G264" s="31">
        <f t="shared" si="12"/>
        <v>0</v>
      </c>
      <c r="H264" s="31" t="str">
        <f t="shared" si="13"/>
        <v>ครบ</v>
      </c>
      <c r="I264" s="31"/>
      <c r="J264" s="27" t="e">
        <f>VLOOKUP(I264,Sheet2!$B$1:$C$62,2,FALSE)</f>
        <v>#N/A</v>
      </c>
      <c r="K264" s="27" t="e">
        <f>VLOOKUP(J264,Sheet2!$C$1:$D$61,2,FALSE)</f>
        <v>#N/A</v>
      </c>
      <c r="L264" s="27"/>
      <c r="M264" s="27"/>
      <c r="N264" s="27"/>
      <c r="O264" s="27"/>
      <c r="P264" s="28"/>
      <c r="Q264" s="5" t="str">
        <f t="shared" si="14"/>
        <v>ทันกำหนด</v>
      </c>
      <c r="R264" s="6"/>
      <c r="S264" s="7"/>
    </row>
    <row r="265" spans="1:19" ht="27.75" customHeight="1">
      <c r="A265" s="3">
        <v>264</v>
      </c>
      <c r="B265" s="27"/>
      <c r="C265" s="29"/>
      <c r="D265" s="30"/>
      <c r="E265" s="31"/>
      <c r="F265" s="31"/>
      <c r="G265" s="31">
        <f t="shared" si="12"/>
        <v>0</v>
      </c>
      <c r="H265" s="31" t="str">
        <f t="shared" si="13"/>
        <v>ครบ</v>
      </c>
      <c r="I265" s="31"/>
      <c r="J265" s="27" t="e">
        <f>VLOOKUP(I265,Sheet2!$B$1:$C$62,2,FALSE)</f>
        <v>#N/A</v>
      </c>
      <c r="K265" s="27" t="e">
        <f>VLOOKUP(J265,Sheet2!$C$1:$D$61,2,FALSE)</f>
        <v>#N/A</v>
      </c>
      <c r="L265" s="27"/>
      <c r="M265" s="27"/>
      <c r="N265" s="27"/>
      <c r="O265" s="27"/>
      <c r="P265" s="28"/>
      <c r="Q265" s="5" t="str">
        <f t="shared" si="14"/>
        <v>ทันกำหนด</v>
      </c>
      <c r="R265" s="6"/>
      <c r="S265" s="7"/>
    </row>
    <row r="266" spans="1:19" ht="27.75" customHeight="1">
      <c r="A266" s="3">
        <v>265</v>
      </c>
      <c r="B266" s="27"/>
      <c r="C266" s="29"/>
      <c r="D266" s="30"/>
      <c r="E266" s="31"/>
      <c r="F266" s="31"/>
      <c r="G266" s="31">
        <f t="shared" si="12"/>
        <v>0</v>
      </c>
      <c r="H266" s="31" t="str">
        <f t="shared" si="13"/>
        <v>ครบ</v>
      </c>
      <c r="I266" s="31"/>
      <c r="J266" s="27" t="e">
        <f>VLOOKUP(I266,Sheet2!$B$1:$C$62,2,FALSE)</f>
        <v>#N/A</v>
      </c>
      <c r="K266" s="27" t="e">
        <f>VLOOKUP(J266,Sheet2!$C$1:$D$61,2,FALSE)</f>
        <v>#N/A</v>
      </c>
      <c r="L266" s="27"/>
      <c r="M266" s="27"/>
      <c r="N266" s="27"/>
      <c r="O266" s="27"/>
      <c r="P266" s="28"/>
      <c r="Q266" s="5"/>
      <c r="R266" s="6"/>
      <c r="S266" s="7"/>
    </row>
    <row r="267" spans="1:19" ht="27.75" customHeight="1">
      <c r="A267" s="3">
        <v>266</v>
      </c>
      <c r="B267" s="27"/>
      <c r="C267" s="29"/>
      <c r="D267" s="30"/>
      <c r="E267" s="31"/>
      <c r="F267" s="31"/>
      <c r="G267" s="31">
        <f t="shared" si="12"/>
        <v>0</v>
      </c>
      <c r="H267" s="31" t="str">
        <f t="shared" si="13"/>
        <v>ครบ</v>
      </c>
      <c r="I267" s="31"/>
      <c r="J267" s="27" t="e">
        <f>VLOOKUP(I267,Sheet2!$B$1:$C$62,2,FALSE)</f>
        <v>#N/A</v>
      </c>
      <c r="K267" s="27" t="e">
        <f>VLOOKUP(J267,Sheet2!$C$1:$D$61,2,FALSE)</f>
        <v>#N/A</v>
      </c>
      <c r="L267" s="27"/>
      <c r="M267" s="27"/>
      <c r="N267" s="27"/>
      <c r="O267" s="27"/>
      <c r="P267" s="28"/>
      <c r="Q267" s="5" t="str">
        <f t="shared" si="14"/>
        <v>ทันกำหนด</v>
      </c>
      <c r="R267" s="6"/>
      <c r="S267" s="7"/>
    </row>
    <row r="268" spans="1:19" ht="27.75" customHeight="1">
      <c r="A268" s="3">
        <v>267</v>
      </c>
      <c r="B268" s="27"/>
      <c r="C268" s="29"/>
      <c r="D268" s="30"/>
      <c r="E268" s="31"/>
      <c r="F268" s="31"/>
      <c r="G268" s="31">
        <f t="shared" si="12"/>
        <v>0</v>
      </c>
      <c r="H268" s="31" t="str">
        <f t="shared" si="13"/>
        <v>ครบ</v>
      </c>
      <c r="I268" s="31"/>
      <c r="J268" s="27" t="e">
        <f>VLOOKUP(I268,Sheet2!$B$1:$C$62,2,FALSE)</f>
        <v>#N/A</v>
      </c>
      <c r="K268" s="27" t="e">
        <f>VLOOKUP(J268,Sheet2!$C$1:$D$61,2,FALSE)</f>
        <v>#N/A</v>
      </c>
      <c r="L268" s="27"/>
      <c r="M268" s="27"/>
      <c r="N268" s="27"/>
      <c r="O268" s="27"/>
      <c r="P268" s="28"/>
      <c r="Q268" s="5" t="str">
        <f t="shared" si="14"/>
        <v>ทันกำหนด</v>
      </c>
      <c r="R268" s="6"/>
      <c r="S268" s="7"/>
    </row>
    <row r="269" spans="1:19" ht="27.75" customHeight="1">
      <c r="A269" s="3">
        <v>267</v>
      </c>
      <c r="B269" s="27"/>
      <c r="C269" s="29"/>
      <c r="D269" s="30"/>
      <c r="E269" s="31"/>
      <c r="F269" s="31"/>
      <c r="G269" s="31">
        <f t="shared" si="12"/>
        <v>0</v>
      </c>
      <c r="H269" s="31" t="str">
        <f t="shared" si="13"/>
        <v>ครบ</v>
      </c>
      <c r="I269" s="31"/>
      <c r="J269" s="27" t="e">
        <f>VLOOKUP(I269,Sheet2!$B$1:$C$62,2,FALSE)</f>
        <v>#N/A</v>
      </c>
      <c r="K269" s="27" t="e">
        <f>VLOOKUP(J269,Sheet2!$C$1:$D$61,2,FALSE)</f>
        <v>#N/A</v>
      </c>
      <c r="L269" s="31"/>
      <c r="M269" s="27"/>
      <c r="N269" s="27"/>
      <c r="O269" s="27"/>
      <c r="P269" s="28"/>
      <c r="Q269" s="5" t="str">
        <f t="shared" si="14"/>
        <v>ทันกำหนด</v>
      </c>
      <c r="R269" s="6"/>
      <c r="S269" s="7"/>
    </row>
    <row r="270" spans="1:19" ht="27.75" customHeight="1">
      <c r="A270" s="3">
        <v>268</v>
      </c>
      <c r="B270" s="27"/>
      <c r="C270" s="29"/>
      <c r="D270" s="30"/>
      <c r="E270" s="31"/>
      <c r="F270" s="31"/>
      <c r="G270" s="31">
        <f t="shared" si="12"/>
        <v>0</v>
      </c>
      <c r="H270" s="31" t="str">
        <f t="shared" si="13"/>
        <v>ครบ</v>
      </c>
      <c r="I270" s="31"/>
      <c r="J270" s="27" t="e">
        <f>VLOOKUP(I270,Sheet2!$B$1:$C$62,2,FALSE)</f>
        <v>#N/A</v>
      </c>
      <c r="K270" s="27" t="e">
        <f>VLOOKUP(J270,Sheet2!$C$1:$D$61,2,FALSE)</f>
        <v>#N/A</v>
      </c>
      <c r="L270" s="31"/>
      <c r="M270" s="27"/>
      <c r="N270" s="27"/>
      <c r="O270" s="27"/>
      <c r="P270" s="28"/>
      <c r="Q270" s="5" t="str">
        <f t="shared" si="14"/>
        <v>ทันกำหนด</v>
      </c>
      <c r="R270" s="6"/>
      <c r="S270" s="7"/>
    </row>
    <row r="271" spans="1:19" ht="27.75" customHeight="1">
      <c r="A271" s="3">
        <v>269</v>
      </c>
      <c r="B271" s="27"/>
      <c r="C271" s="29"/>
      <c r="D271" s="30"/>
      <c r="E271" s="31"/>
      <c r="F271" s="31"/>
      <c r="G271" s="31">
        <f t="shared" si="12"/>
        <v>0</v>
      </c>
      <c r="H271" s="31" t="str">
        <f t="shared" si="13"/>
        <v>ครบ</v>
      </c>
      <c r="I271" s="31"/>
      <c r="J271" s="27" t="e">
        <f>VLOOKUP(I271,Sheet2!$B$1:$C$62,2,FALSE)</f>
        <v>#N/A</v>
      </c>
      <c r="K271" s="27" t="e">
        <f>VLOOKUP(J271,Sheet2!$C$1:$D$61,2,FALSE)</f>
        <v>#N/A</v>
      </c>
      <c r="L271" s="31"/>
      <c r="M271" s="27"/>
      <c r="N271" s="27"/>
      <c r="O271" s="27"/>
      <c r="P271" s="28"/>
      <c r="Q271" s="5" t="str">
        <f t="shared" si="14"/>
        <v>ทันกำหนด</v>
      </c>
      <c r="R271" s="6"/>
      <c r="S271" s="7"/>
    </row>
    <row r="272" spans="1:19" ht="27.75" customHeight="1">
      <c r="A272" s="3">
        <v>270</v>
      </c>
      <c r="B272" s="27"/>
      <c r="C272" s="29"/>
      <c r="D272" s="30"/>
      <c r="E272" s="31"/>
      <c r="F272" s="31"/>
      <c r="G272" s="31">
        <f t="shared" si="12"/>
        <v>0</v>
      </c>
      <c r="H272" s="31" t="str">
        <f t="shared" si="13"/>
        <v>ครบ</v>
      </c>
      <c r="I272" s="31"/>
      <c r="J272" s="27" t="e">
        <f>VLOOKUP(I272,Sheet2!$B$1:$C$62,2,FALSE)</f>
        <v>#N/A</v>
      </c>
      <c r="K272" s="27" t="e">
        <f>VLOOKUP(J272,Sheet2!$C$1:$D$61,2,FALSE)</f>
        <v>#N/A</v>
      </c>
      <c r="L272" s="31"/>
      <c r="M272" s="27"/>
      <c r="N272" s="27"/>
      <c r="O272" s="27"/>
      <c r="P272" s="28"/>
      <c r="Q272" s="5" t="str">
        <f t="shared" si="14"/>
        <v>ทันกำหนด</v>
      </c>
      <c r="R272" s="6"/>
      <c r="S272" s="7"/>
    </row>
    <row r="273" spans="1:19" ht="27.75" customHeight="1">
      <c r="A273" s="3">
        <v>271</v>
      </c>
      <c r="B273" s="27"/>
      <c r="C273" s="29"/>
      <c r="D273" s="30"/>
      <c r="E273" s="31"/>
      <c r="F273" s="31"/>
      <c r="G273" s="31">
        <f t="shared" si="12"/>
        <v>0</v>
      </c>
      <c r="H273" s="31" t="str">
        <f t="shared" si="13"/>
        <v>ครบ</v>
      </c>
      <c r="I273" s="31"/>
      <c r="J273" s="27" t="e">
        <f>VLOOKUP(I273,Sheet2!$B$1:$C$62,2,FALSE)</f>
        <v>#N/A</v>
      </c>
      <c r="K273" s="27" t="e">
        <f>VLOOKUP(J273,Sheet2!$C$1:$D$61,2,FALSE)</f>
        <v>#N/A</v>
      </c>
      <c r="L273" s="27"/>
      <c r="M273" s="27"/>
      <c r="N273" s="27"/>
      <c r="O273" s="27"/>
      <c r="P273" s="28"/>
      <c r="Q273" s="5" t="str">
        <f t="shared" si="14"/>
        <v>ทันกำหนด</v>
      </c>
      <c r="R273" s="6"/>
      <c r="S273" s="7"/>
    </row>
    <row r="274" spans="1:19" ht="27.75" customHeight="1">
      <c r="A274" s="3">
        <v>272</v>
      </c>
      <c r="B274" s="27"/>
      <c r="C274" s="29"/>
      <c r="D274" s="30"/>
      <c r="E274" s="31"/>
      <c r="F274" s="31"/>
      <c r="G274" s="31">
        <f t="shared" si="12"/>
        <v>0</v>
      </c>
      <c r="H274" s="31" t="str">
        <f t="shared" si="13"/>
        <v>ครบ</v>
      </c>
      <c r="I274" s="31"/>
      <c r="J274" s="27" t="e">
        <f>VLOOKUP(I274,Sheet2!$B$1:$C$62,2,FALSE)</f>
        <v>#N/A</v>
      </c>
      <c r="K274" s="27" t="e">
        <f>VLOOKUP(J274,Sheet2!$C$1:$D$61,2,FALSE)</f>
        <v>#N/A</v>
      </c>
      <c r="L274" s="27"/>
      <c r="M274" s="27"/>
      <c r="N274" s="27"/>
      <c r="O274" s="27"/>
      <c r="P274" s="28"/>
      <c r="Q274" s="5" t="str">
        <f t="shared" si="14"/>
        <v>ทันกำหนด</v>
      </c>
      <c r="R274" s="6"/>
      <c r="S274" s="7"/>
    </row>
    <row r="275" spans="1:19" ht="27.75" customHeight="1">
      <c r="A275" s="3">
        <v>273</v>
      </c>
      <c r="B275" s="27"/>
      <c r="C275" s="29"/>
      <c r="D275" s="30"/>
      <c r="E275" s="31"/>
      <c r="F275" s="31"/>
      <c r="G275" s="31">
        <f t="shared" si="12"/>
        <v>0</v>
      </c>
      <c r="H275" s="31" t="str">
        <f t="shared" si="13"/>
        <v>ครบ</v>
      </c>
      <c r="I275" s="31"/>
      <c r="J275" s="27" t="e">
        <f>VLOOKUP(I275,Sheet2!$B$1:$C$62,2,FALSE)</f>
        <v>#N/A</v>
      </c>
      <c r="K275" s="27" t="e">
        <f>VLOOKUP(J275,Sheet2!$C$1:$D$61,2,FALSE)</f>
        <v>#N/A</v>
      </c>
      <c r="L275" s="27"/>
      <c r="M275" s="27"/>
      <c r="N275" s="27"/>
      <c r="O275" s="27"/>
      <c r="P275" s="28"/>
      <c r="Q275" s="5" t="str">
        <f t="shared" si="14"/>
        <v>ทันกำหนด</v>
      </c>
      <c r="R275" s="6"/>
      <c r="S275" s="7"/>
    </row>
    <row r="276" spans="1:19" ht="27.75" customHeight="1">
      <c r="A276" s="3">
        <v>274</v>
      </c>
      <c r="B276" s="27"/>
      <c r="C276" s="29"/>
      <c r="D276" s="30"/>
      <c r="E276" s="31"/>
      <c r="F276" s="31"/>
      <c r="G276" s="31">
        <f t="shared" si="12"/>
        <v>0</v>
      </c>
      <c r="H276" s="31" t="str">
        <f t="shared" si="13"/>
        <v>ครบ</v>
      </c>
      <c r="I276" s="31"/>
      <c r="J276" s="27" t="e">
        <f>VLOOKUP(I276,Sheet2!$B$1:$C$62,2,FALSE)</f>
        <v>#N/A</v>
      </c>
      <c r="K276" s="27" t="e">
        <f>VLOOKUP(J276,Sheet2!$C$1:$D$61,2,FALSE)</f>
        <v>#N/A</v>
      </c>
      <c r="L276" s="27"/>
      <c r="M276" s="27"/>
      <c r="N276" s="27"/>
      <c r="O276" s="27"/>
      <c r="P276" s="28"/>
      <c r="Q276" s="5" t="str">
        <f t="shared" si="14"/>
        <v>ทันกำหนด</v>
      </c>
      <c r="R276" s="6"/>
      <c r="S276" s="7"/>
    </row>
    <row r="277" spans="1:19" ht="27.75" customHeight="1">
      <c r="A277" s="3">
        <v>275</v>
      </c>
      <c r="B277" s="27"/>
      <c r="C277" s="29"/>
      <c r="D277" s="30"/>
      <c r="E277" s="31"/>
      <c r="F277" s="31"/>
      <c r="G277" s="31">
        <f t="shared" si="12"/>
        <v>0</v>
      </c>
      <c r="H277" s="31" t="str">
        <f t="shared" si="13"/>
        <v>ครบ</v>
      </c>
      <c r="I277" s="31"/>
      <c r="J277" s="27" t="e">
        <f>VLOOKUP(I277,Sheet2!$B$1:$C$62,2,FALSE)</f>
        <v>#N/A</v>
      </c>
      <c r="K277" s="27" t="e">
        <f>VLOOKUP(J277,Sheet2!$C$1:$D$61,2,FALSE)</f>
        <v>#N/A</v>
      </c>
      <c r="L277" s="27"/>
      <c r="M277" s="27"/>
      <c r="N277" s="27"/>
      <c r="O277" s="27"/>
      <c r="P277" s="28"/>
      <c r="Q277" s="5" t="str">
        <f t="shared" si="14"/>
        <v>ทันกำหนด</v>
      </c>
      <c r="R277" s="6"/>
      <c r="S277" s="7"/>
    </row>
    <row r="278" spans="1:19" ht="27.75" customHeight="1">
      <c r="A278" s="3">
        <v>276</v>
      </c>
      <c r="B278" s="27"/>
      <c r="C278" s="29"/>
      <c r="D278" s="30"/>
      <c r="E278" s="31"/>
      <c r="F278" s="31"/>
      <c r="G278" s="31">
        <f t="shared" si="12"/>
        <v>0</v>
      </c>
      <c r="H278" s="31" t="str">
        <f t="shared" si="13"/>
        <v>ครบ</v>
      </c>
      <c r="I278" s="31"/>
      <c r="J278" s="27" t="e">
        <f>VLOOKUP(I278,Sheet2!$B$1:$C$62,2,FALSE)</f>
        <v>#N/A</v>
      </c>
      <c r="K278" s="27" t="e">
        <f>VLOOKUP(J278,Sheet2!$C$1:$D$61,2,FALSE)</f>
        <v>#N/A</v>
      </c>
      <c r="L278" s="27"/>
      <c r="M278" s="27"/>
      <c r="N278" s="27"/>
      <c r="O278" s="27"/>
      <c r="P278" s="28"/>
      <c r="Q278" s="5" t="str">
        <f t="shared" si="14"/>
        <v>ทันกำหนด</v>
      </c>
      <c r="R278" s="6"/>
      <c r="S278" s="7"/>
    </row>
    <row r="279" spans="1:19" ht="27.75" customHeight="1">
      <c r="A279" s="3">
        <v>277</v>
      </c>
      <c r="B279" s="27"/>
      <c r="C279" s="29"/>
      <c r="D279" s="30"/>
      <c r="E279" s="31"/>
      <c r="F279" s="31"/>
      <c r="G279" s="31">
        <f t="shared" si="12"/>
        <v>0</v>
      </c>
      <c r="H279" s="31" t="str">
        <f t="shared" si="13"/>
        <v>ครบ</v>
      </c>
      <c r="I279" s="31"/>
      <c r="J279" s="27" t="e">
        <f>VLOOKUP(I279,Sheet2!$B$1:$C$62,2,FALSE)</f>
        <v>#N/A</v>
      </c>
      <c r="K279" s="27" t="e">
        <f>VLOOKUP(J279,Sheet2!$C$1:$D$61,2,FALSE)</f>
        <v>#N/A</v>
      </c>
      <c r="L279" s="27"/>
      <c r="M279" s="27"/>
      <c r="N279" s="27"/>
      <c r="O279" s="27"/>
      <c r="P279" s="28"/>
      <c r="Q279" s="5" t="str">
        <f t="shared" si="14"/>
        <v>ทันกำหนด</v>
      </c>
      <c r="R279" s="6"/>
      <c r="S279" s="7"/>
    </row>
    <row r="280" spans="1:19" ht="27.75" customHeight="1">
      <c r="A280" s="3">
        <v>278</v>
      </c>
      <c r="B280" s="27"/>
      <c r="C280" s="29"/>
      <c r="D280" s="30"/>
      <c r="E280" s="31"/>
      <c r="F280" s="31"/>
      <c r="G280" s="31">
        <f t="shared" si="12"/>
        <v>0</v>
      </c>
      <c r="H280" s="31" t="str">
        <f t="shared" si="13"/>
        <v>ครบ</v>
      </c>
      <c r="I280" s="31"/>
      <c r="J280" s="27" t="e">
        <f>VLOOKUP(I280,Sheet2!$B$1:$C$62,2,FALSE)</f>
        <v>#N/A</v>
      </c>
      <c r="K280" s="27" t="e">
        <f>VLOOKUP(J280,Sheet2!$C$1:$D$61,2,FALSE)</f>
        <v>#N/A</v>
      </c>
      <c r="L280" s="27"/>
      <c r="M280" s="27"/>
      <c r="N280" s="27"/>
      <c r="O280" s="27"/>
      <c r="P280" s="28"/>
      <c r="Q280" s="5" t="str">
        <f t="shared" si="14"/>
        <v>ทันกำหนด</v>
      </c>
      <c r="R280" s="6"/>
      <c r="S280" s="7"/>
    </row>
    <row r="281" spans="1:19" ht="27.75" customHeight="1">
      <c r="A281" s="3">
        <v>279</v>
      </c>
      <c r="B281" s="27"/>
      <c r="C281" s="29"/>
      <c r="D281" s="30"/>
      <c r="E281" s="31"/>
      <c r="F281" s="31"/>
      <c r="G281" s="31">
        <f t="shared" si="12"/>
        <v>0</v>
      </c>
      <c r="H281" s="31" t="str">
        <f t="shared" si="13"/>
        <v>ครบ</v>
      </c>
      <c r="I281" s="31"/>
      <c r="J281" s="27" t="e">
        <f>VLOOKUP(I281,Sheet2!$B$1:$C$62,2,FALSE)</f>
        <v>#N/A</v>
      </c>
      <c r="K281" s="27" t="e">
        <f>VLOOKUP(J281,Sheet2!$C$1:$D$61,2,FALSE)</f>
        <v>#N/A</v>
      </c>
      <c r="L281" s="27"/>
      <c r="M281" s="27"/>
      <c r="N281" s="27"/>
      <c r="O281" s="27"/>
      <c r="P281" s="28"/>
      <c r="Q281" s="5" t="str">
        <f t="shared" si="14"/>
        <v>ทันกำหนด</v>
      </c>
      <c r="R281" s="6"/>
      <c r="S281" s="7"/>
    </row>
    <row r="282" spans="1:19" ht="27.75" customHeight="1">
      <c r="A282" s="3">
        <v>280</v>
      </c>
      <c r="B282" s="27"/>
      <c r="C282" s="29"/>
      <c r="D282" s="30"/>
      <c r="E282" s="31"/>
      <c r="F282" s="31"/>
      <c r="G282" s="31">
        <f t="shared" si="12"/>
        <v>0</v>
      </c>
      <c r="H282" s="31" t="str">
        <f t="shared" si="13"/>
        <v>ครบ</v>
      </c>
      <c r="I282" s="31"/>
      <c r="J282" s="27" t="e">
        <f>VLOOKUP(I282,Sheet2!$B$1:$C$62,2,FALSE)</f>
        <v>#N/A</v>
      </c>
      <c r="K282" s="27" t="e">
        <f>VLOOKUP(J282,Sheet2!$C$1:$D$61,2,FALSE)</f>
        <v>#N/A</v>
      </c>
      <c r="L282" s="27"/>
      <c r="M282" s="27"/>
      <c r="N282" s="27"/>
      <c r="O282" s="27"/>
      <c r="P282" s="28"/>
      <c r="Q282" s="5" t="str">
        <f t="shared" si="14"/>
        <v>ทันกำหนด</v>
      </c>
      <c r="R282" s="6"/>
      <c r="S282" s="7"/>
    </row>
    <row r="283" spans="1:19" ht="27.75" customHeight="1">
      <c r="A283" s="3">
        <v>281</v>
      </c>
      <c r="B283" s="27"/>
      <c r="C283" s="29"/>
      <c r="D283" s="30"/>
      <c r="E283" s="31"/>
      <c r="F283" s="31"/>
      <c r="G283" s="31">
        <f t="shared" si="12"/>
        <v>0</v>
      </c>
      <c r="H283" s="31" t="str">
        <f t="shared" si="13"/>
        <v>ครบ</v>
      </c>
      <c r="I283" s="31"/>
      <c r="J283" s="27" t="e">
        <f>VLOOKUP(I283,Sheet2!$B$1:$C$62,2,FALSE)</f>
        <v>#N/A</v>
      </c>
      <c r="K283" s="27" t="e">
        <f>VLOOKUP(J283,Sheet2!$C$1:$D$61,2,FALSE)</f>
        <v>#N/A</v>
      </c>
      <c r="L283" s="27"/>
      <c r="M283" s="27"/>
      <c r="N283" s="27"/>
      <c r="O283" s="27"/>
      <c r="P283" s="28"/>
      <c r="Q283" s="5" t="str">
        <f t="shared" si="14"/>
        <v>ทันกำหนด</v>
      </c>
      <c r="R283" s="6"/>
      <c r="S283" s="7"/>
    </row>
    <row r="284" spans="1:19" ht="27.75" customHeight="1">
      <c r="A284" s="3">
        <v>282</v>
      </c>
      <c r="B284" s="27"/>
      <c r="C284" s="29"/>
      <c r="D284" s="30"/>
      <c r="E284" s="31"/>
      <c r="F284" s="31"/>
      <c r="G284" s="31">
        <f t="shared" si="12"/>
        <v>0</v>
      </c>
      <c r="H284" s="31" t="str">
        <f t="shared" si="13"/>
        <v>ครบ</v>
      </c>
      <c r="I284" s="31"/>
      <c r="J284" s="27" t="e">
        <f>VLOOKUP(I284,Sheet2!$B$1:$C$62,2,FALSE)</f>
        <v>#N/A</v>
      </c>
      <c r="K284" s="27" t="e">
        <f>VLOOKUP(J284,Sheet2!$C$1:$D$61,2,FALSE)</f>
        <v>#N/A</v>
      </c>
      <c r="L284" s="27"/>
      <c r="M284" s="27"/>
      <c r="N284" s="27"/>
      <c r="O284" s="27"/>
      <c r="P284" s="28"/>
      <c r="Q284" s="5" t="str">
        <f t="shared" si="14"/>
        <v>ทันกำหนด</v>
      </c>
      <c r="R284" s="6"/>
      <c r="S284" s="7"/>
    </row>
    <row r="285" spans="1:19" ht="27.75" customHeight="1">
      <c r="A285" s="3">
        <v>283</v>
      </c>
      <c r="B285" s="27"/>
      <c r="C285" s="29"/>
      <c r="D285" s="30"/>
      <c r="E285" s="31"/>
      <c r="F285" s="31"/>
      <c r="G285" s="31">
        <f t="shared" si="12"/>
        <v>0</v>
      </c>
      <c r="H285" s="31" t="str">
        <f t="shared" si="13"/>
        <v>ครบ</v>
      </c>
      <c r="I285" s="31"/>
      <c r="J285" s="27" t="e">
        <f>VLOOKUP(I285,Sheet2!$B$1:$C$62,2,FALSE)</f>
        <v>#N/A</v>
      </c>
      <c r="K285" s="27" t="e">
        <f>VLOOKUP(J285,Sheet2!$C$1:$D$61,2,FALSE)</f>
        <v>#N/A</v>
      </c>
      <c r="L285" s="27"/>
      <c r="M285" s="27"/>
      <c r="N285" s="27"/>
      <c r="O285" s="27"/>
      <c r="P285" s="28"/>
      <c r="Q285" s="5" t="str">
        <f t="shared" si="14"/>
        <v>ทันกำหนด</v>
      </c>
      <c r="R285" s="6"/>
      <c r="S285" s="7"/>
    </row>
    <row r="286" spans="1:19" ht="27.75" customHeight="1">
      <c r="A286" s="3">
        <v>284</v>
      </c>
      <c r="B286" s="27"/>
      <c r="C286" s="29"/>
      <c r="D286" s="30"/>
      <c r="E286" s="31"/>
      <c r="F286" s="31"/>
      <c r="G286" s="31">
        <f t="shared" si="12"/>
        <v>0</v>
      </c>
      <c r="H286" s="31" t="str">
        <f t="shared" si="13"/>
        <v>ครบ</v>
      </c>
      <c r="I286" s="31"/>
      <c r="J286" s="27" t="e">
        <f>VLOOKUP(I286,Sheet2!$B$1:$C$62,2,FALSE)</f>
        <v>#N/A</v>
      </c>
      <c r="K286" s="27" t="e">
        <f>VLOOKUP(J286,Sheet2!$C$1:$D$61,2,FALSE)</f>
        <v>#N/A</v>
      </c>
      <c r="L286" s="27"/>
      <c r="M286" s="27"/>
      <c r="N286" s="27"/>
      <c r="O286" s="27"/>
      <c r="P286" s="27"/>
      <c r="Q286" s="5" t="str">
        <f t="shared" si="14"/>
        <v>ทันกำหนด</v>
      </c>
      <c r="R286" s="6"/>
      <c r="S286" s="7"/>
    </row>
    <row r="287" spans="1:19" ht="27.75" customHeight="1">
      <c r="A287" s="3">
        <v>285</v>
      </c>
      <c r="B287" s="27"/>
      <c r="C287" s="29"/>
      <c r="D287" s="30"/>
      <c r="E287" s="31"/>
      <c r="F287" s="31"/>
      <c r="G287" s="31">
        <f t="shared" si="12"/>
        <v>0</v>
      </c>
      <c r="H287" s="31" t="str">
        <f t="shared" si="13"/>
        <v>ครบ</v>
      </c>
      <c r="I287" s="31"/>
      <c r="J287" s="27" t="e">
        <f>VLOOKUP(I287,Sheet2!$B$1:$C$62,2,FALSE)</f>
        <v>#N/A</v>
      </c>
      <c r="K287" s="27" t="e">
        <f>VLOOKUP(J287,Sheet2!$C$1:$D$61,2,FALSE)</f>
        <v>#N/A</v>
      </c>
      <c r="L287" s="27"/>
      <c r="M287" s="27"/>
      <c r="N287" s="27"/>
      <c r="O287" s="27"/>
      <c r="P287" s="27"/>
      <c r="Q287" s="5" t="str">
        <f t="shared" si="14"/>
        <v>ทันกำหนด</v>
      </c>
      <c r="R287" s="6"/>
      <c r="S287" s="7"/>
    </row>
    <row r="288" spans="1:19" ht="27.75" customHeight="1">
      <c r="A288" s="3">
        <v>286</v>
      </c>
      <c r="B288" s="27"/>
      <c r="C288" s="29"/>
      <c r="D288" s="30"/>
      <c r="E288" s="31"/>
      <c r="F288" s="31"/>
      <c r="G288" s="31">
        <f t="shared" si="12"/>
        <v>0</v>
      </c>
      <c r="H288" s="31" t="str">
        <f t="shared" si="13"/>
        <v>ครบ</v>
      </c>
      <c r="I288" s="31"/>
      <c r="J288" s="27" t="e">
        <f>VLOOKUP(I288,Sheet2!$B$1:$C$62,2,FALSE)</f>
        <v>#N/A</v>
      </c>
      <c r="K288" s="27" t="e">
        <f>VLOOKUP(J288,Sheet2!$C$1:$D$61,2,FALSE)</f>
        <v>#N/A</v>
      </c>
      <c r="L288" s="27"/>
      <c r="M288" s="27"/>
      <c r="N288" s="27"/>
      <c r="O288" s="27"/>
      <c r="P288" s="27"/>
      <c r="Q288" s="5" t="str">
        <f t="shared" si="14"/>
        <v>ทันกำหนด</v>
      </c>
      <c r="R288" s="6"/>
      <c r="S288" s="7"/>
    </row>
    <row r="289" spans="1:19" ht="27.75" customHeight="1">
      <c r="A289" s="3">
        <v>287</v>
      </c>
      <c r="B289" s="27"/>
      <c r="C289" s="29"/>
      <c r="D289" s="30"/>
      <c r="E289" s="31"/>
      <c r="F289" s="31"/>
      <c r="G289" s="31">
        <f t="shared" si="12"/>
        <v>0</v>
      </c>
      <c r="H289" s="31" t="str">
        <f t="shared" si="13"/>
        <v>ครบ</v>
      </c>
      <c r="I289" s="31"/>
      <c r="J289" s="27" t="e">
        <f>VLOOKUP(I289,Sheet2!$B$1:$C$62,2,FALSE)</f>
        <v>#N/A</v>
      </c>
      <c r="K289" s="27" t="e">
        <f>VLOOKUP(J289,Sheet2!$C$1:$D$61,2,FALSE)</f>
        <v>#N/A</v>
      </c>
      <c r="L289" s="27"/>
      <c r="M289" s="27"/>
      <c r="N289" s="27"/>
      <c r="O289" s="27"/>
      <c r="P289" s="28"/>
      <c r="Q289" s="5" t="str">
        <f t="shared" si="14"/>
        <v>ทันกำหนด</v>
      </c>
      <c r="R289" s="6"/>
      <c r="S289" s="7"/>
    </row>
    <row r="290" spans="1:19" ht="27.75" customHeight="1">
      <c r="A290" s="3">
        <v>288</v>
      </c>
      <c r="B290" s="27"/>
      <c r="C290" s="29"/>
      <c r="D290" s="39"/>
      <c r="E290" s="31"/>
      <c r="F290" s="31"/>
      <c r="G290" s="31">
        <f t="shared" si="12"/>
        <v>0</v>
      </c>
      <c r="H290" s="31" t="str">
        <f t="shared" si="13"/>
        <v>ครบ</v>
      </c>
      <c r="I290" s="31"/>
      <c r="J290" s="27" t="e">
        <f>VLOOKUP(I290,Sheet2!$B$1:$C$62,2,FALSE)</f>
        <v>#N/A</v>
      </c>
      <c r="K290" s="27" t="e">
        <f>VLOOKUP(J290,Sheet2!$C$1:$D$61,2,FALSE)</f>
        <v>#N/A</v>
      </c>
      <c r="L290" s="27"/>
      <c r="M290" s="27"/>
      <c r="N290" s="27"/>
      <c r="O290" s="27"/>
      <c r="P290" s="28"/>
      <c r="Q290" s="5" t="str">
        <f t="shared" si="14"/>
        <v>ทันกำหนด</v>
      </c>
      <c r="R290" s="6"/>
      <c r="S290" s="7"/>
    </row>
    <row r="291" spans="1:19" ht="27.75" customHeight="1">
      <c r="A291" s="3">
        <v>289</v>
      </c>
      <c r="B291" s="27"/>
      <c r="C291" s="29"/>
      <c r="D291" s="39"/>
      <c r="E291" s="31"/>
      <c r="F291" s="31"/>
      <c r="G291" s="31">
        <f t="shared" si="12"/>
        <v>0</v>
      </c>
      <c r="H291" s="31" t="str">
        <f t="shared" si="13"/>
        <v>ครบ</v>
      </c>
      <c r="I291" s="31"/>
      <c r="J291" s="27" t="e">
        <f>VLOOKUP(I291,Sheet2!$B$1:$C$62,2,FALSE)</f>
        <v>#N/A</v>
      </c>
      <c r="K291" s="27" t="e">
        <f>VLOOKUP(J291,Sheet2!$C$1:$D$61,2,FALSE)</f>
        <v>#N/A</v>
      </c>
      <c r="L291" s="27"/>
      <c r="M291" s="27"/>
      <c r="N291" s="27"/>
      <c r="O291" s="27"/>
      <c r="P291" s="28"/>
      <c r="Q291" s="5" t="str">
        <f t="shared" si="14"/>
        <v>ทันกำหนด</v>
      </c>
      <c r="R291" s="6"/>
      <c r="S291" s="7"/>
    </row>
    <row r="292" spans="1:19" ht="27.75" customHeight="1">
      <c r="A292" s="3">
        <v>290</v>
      </c>
      <c r="B292" s="27"/>
      <c r="C292" s="29"/>
      <c r="D292" s="30"/>
      <c r="E292" s="31"/>
      <c r="F292" s="31"/>
      <c r="G292" s="31">
        <f t="shared" si="12"/>
        <v>0</v>
      </c>
      <c r="H292" s="31" t="str">
        <f t="shared" si="13"/>
        <v>ครบ</v>
      </c>
      <c r="I292" s="31"/>
      <c r="J292" s="27" t="e">
        <f>VLOOKUP(I292,Sheet2!$B$1:$C$62,2,FALSE)</f>
        <v>#N/A</v>
      </c>
      <c r="K292" s="27" t="e">
        <f>VLOOKUP(J292,Sheet2!$C$1:$D$61,2,FALSE)</f>
        <v>#N/A</v>
      </c>
      <c r="L292" s="27"/>
      <c r="M292" s="27"/>
      <c r="N292" s="27"/>
      <c r="O292" s="27"/>
      <c r="P292" s="28"/>
      <c r="Q292" s="5" t="str">
        <f t="shared" si="14"/>
        <v>ทันกำหนด</v>
      </c>
      <c r="R292" s="6"/>
      <c r="S292" s="7"/>
    </row>
    <row r="293" spans="1:19" ht="27.75" customHeight="1">
      <c r="A293" s="3">
        <v>291</v>
      </c>
      <c r="B293" s="27"/>
      <c r="C293" s="29"/>
      <c r="D293" s="30"/>
      <c r="E293" s="31"/>
      <c r="F293" s="31"/>
      <c r="G293" s="31">
        <f t="shared" si="12"/>
        <v>0</v>
      </c>
      <c r="H293" s="31" t="str">
        <f t="shared" si="13"/>
        <v>ครบ</v>
      </c>
      <c r="I293" s="31"/>
      <c r="J293" s="27" t="e">
        <f>VLOOKUP(I293,Sheet2!$B$1:$C$62,2,FALSE)</f>
        <v>#N/A</v>
      </c>
      <c r="K293" s="27" t="e">
        <f>VLOOKUP(J293,Sheet2!$C$1:$D$61,2,FALSE)</f>
        <v>#N/A</v>
      </c>
      <c r="L293" s="27"/>
      <c r="M293" s="27"/>
      <c r="N293" s="27"/>
      <c r="O293" s="27"/>
      <c r="P293" s="28"/>
      <c r="Q293" s="5" t="str">
        <f t="shared" si="14"/>
        <v>ทันกำหนด</v>
      </c>
      <c r="R293" s="6"/>
      <c r="S293" s="7"/>
    </row>
    <row r="294" spans="1:19" ht="27.75" customHeight="1">
      <c r="A294" s="3">
        <v>292</v>
      </c>
      <c r="B294" s="27"/>
      <c r="C294" s="29"/>
      <c r="D294" s="30"/>
      <c r="E294" s="31"/>
      <c r="F294" s="31"/>
      <c r="G294" s="31">
        <f t="shared" si="12"/>
        <v>0</v>
      </c>
      <c r="H294" s="31" t="str">
        <f t="shared" si="13"/>
        <v>ครบ</v>
      </c>
      <c r="I294" s="31"/>
      <c r="J294" s="27" t="e">
        <f>VLOOKUP(I294,Sheet2!$B$1:$C$62,2,FALSE)</f>
        <v>#N/A</v>
      </c>
      <c r="K294" s="27" t="e">
        <f>VLOOKUP(J294,Sheet2!$C$1:$D$61,2,FALSE)</f>
        <v>#N/A</v>
      </c>
      <c r="L294" s="27"/>
      <c r="M294" s="27"/>
      <c r="N294" s="27"/>
      <c r="O294" s="27"/>
      <c r="P294" s="28"/>
      <c r="Q294" s="5" t="str">
        <f t="shared" si="14"/>
        <v>ทันกำหนด</v>
      </c>
      <c r="R294" s="6"/>
      <c r="S294" s="7"/>
    </row>
    <row r="295" spans="1:19" ht="27.75" customHeight="1">
      <c r="A295" s="3">
        <v>293</v>
      </c>
      <c r="B295" s="27"/>
      <c r="C295" s="29"/>
      <c r="D295" s="30"/>
      <c r="E295" s="31"/>
      <c r="F295" s="31"/>
      <c r="G295" s="31">
        <f t="shared" si="12"/>
        <v>0</v>
      </c>
      <c r="H295" s="31" t="str">
        <f t="shared" si="13"/>
        <v>ครบ</v>
      </c>
      <c r="I295" s="31"/>
      <c r="J295" s="27" t="e">
        <f>VLOOKUP(I295,Sheet2!$B$1:$C$62,2,FALSE)</f>
        <v>#N/A</v>
      </c>
      <c r="K295" s="27" t="e">
        <f>VLOOKUP(J295,Sheet2!$C$1:$D$61,2,FALSE)</f>
        <v>#N/A</v>
      </c>
      <c r="L295" s="27"/>
      <c r="M295" s="27"/>
      <c r="N295" s="27"/>
      <c r="O295" s="27"/>
      <c r="P295" s="28"/>
      <c r="Q295" s="5" t="str">
        <f t="shared" si="14"/>
        <v>ทันกำหนด</v>
      </c>
      <c r="R295" s="6"/>
      <c r="S295" s="7"/>
    </row>
    <row r="296" spans="1:19" ht="27.75" customHeight="1">
      <c r="A296" s="3">
        <v>294</v>
      </c>
      <c r="B296" s="27"/>
      <c r="C296" s="29"/>
      <c r="D296" s="30"/>
      <c r="E296" s="31"/>
      <c r="F296" s="31"/>
      <c r="G296" s="31">
        <f t="shared" si="12"/>
        <v>0</v>
      </c>
      <c r="H296" s="31" t="str">
        <f t="shared" si="13"/>
        <v>ครบ</v>
      </c>
      <c r="I296" s="31"/>
      <c r="J296" s="27" t="e">
        <f>VLOOKUP(I296,Sheet2!$B$1:$C$62,2,FALSE)</f>
        <v>#N/A</v>
      </c>
      <c r="K296" s="27" t="e">
        <f>VLOOKUP(J296,Sheet2!$C$1:$D$61,2,FALSE)</f>
        <v>#N/A</v>
      </c>
      <c r="L296" s="27"/>
      <c r="M296" s="27"/>
      <c r="N296" s="27"/>
      <c r="O296" s="27"/>
      <c r="P296" s="28"/>
      <c r="Q296" s="5" t="str">
        <f t="shared" si="14"/>
        <v>ทันกำหนด</v>
      </c>
      <c r="R296" s="6"/>
      <c r="S296" s="7"/>
    </row>
    <row r="297" spans="1:19" ht="27.75" customHeight="1">
      <c r="A297" s="3">
        <v>295</v>
      </c>
      <c r="B297" s="27"/>
      <c r="C297" s="29"/>
      <c r="D297" s="30"/>
      <c r="E297" s="31"/>
      <c r="F297" s="31"/>
      <c r="G297" s="31">
        <f t="shared" si="12"/>
        <v>0</v>
      </c>
      <c r="H297" s="31" t="str">
        <f t="shared" si="13"/>
        <v>ครบ</v>
      </c>
      <c r="I297" s="31"/>
      <c r="J297" s="27" t="e">
        <f>VLOOKUP(I297,Sheet2!$B$1:$C$62,2,FALSE)</f>
        <v>#N/A</v>
      </c>
      <c r="K297" s="27" t="e">
        <f>VLOOKUP(J297,Sheet2!$C$1:$D$61,2,FALSE)</f>
        <v>#N/A</v>
      </c>
      <c r="L297" s="27"/>
      <c r="M297" s="27"/>
      <c r="N297" s="27"/>
      <c r="O297" s="27"/>
      <c r="P297" s="28"/>
      <c r="Q297" s="5" t="str">
        <f t="shared" si="14"/>
        <v>ทันกำหนด</v>
      </c>
      <c r="R297" s="6"/>
      <c r="S297" s="7"/>
    </row>
    <row r="298" spans="1:19" ht="27.75" customHeight="1">
      <c r="A298" s="3">
        <v>296</v>
      </c>
      <c r="B298" s="27"/>
      <c r="C298" s="29"/>
      <c r="D298" s="30"/>
      <c r="E298" s="31"/>
      <c r="F298" s="31"/>
      <c r="G298" s="31">
        <f t="shared" si="12"/>
        <v>0</v>
      </c>
      <c r="H298" s="31" t="str">
        <f t="shared" si="13"/>
        <v>ครบ</v>
      </c>
      <c r="I298" s="31"/>
      <c r="J298" s="27" t="e">
        <f>VLOOKUP(I298,Sheet2!$B$1:$C$62,2,FALSE)</f>
        <v>#N/A</v>
      </c>
      <c r="K298" s="27" t="e">
        <f>VLOOKUP(J298,Sheet2!$C$1:$D$61,2,FALSE)</f>
        <v>#N/A</v>
      </c>
      <c r="L298" s="27"/>
      <c r="M298" s="27"/>
      <c r="N298" s="27"/>
      <c r="O298" s="27"/>
      <c r="P298" s="28"/>
      <c r="Q298" s="5" t="str">
        <f t="shared" si="14"/>
        <v>ทันกำหนด</v>
      </c>
      <c r="R298" s="6"/>
      <c r="S298" s="7"/>
    </row>
    <row r="299" spans="1:19" ht="27.75" customHeight="1">
      <c r="A299" s="3">
        <v>297</v>
      </c>
      <c r="B299" s="27"/>
      <c r="C299" s="29"/>
      <c r="D299" s="30"/>
      <c r="E299" s="31"/>
      <c r="F299" s="31"/>
      <c r="G299" s="31">
        <f t="shared" si="12"/>
        <v>0</v>
      </c>
      <c r="H299" s="31" t="str">
        <f t="shared" si="13"/>
        <v>ครบ</v>
      </c>
      <c r="I299" s="31"/>
      <c r="J299" s="27" t="e">
        <f>VLOOKUP(I299,Sheet2!$B$1:$C$62,2,FALSE)</f>
        <v>#N/A</v>
      </c>
      <c r="K299" s="27" t="e">
        <f>VLOOKUP(J299,Sheet2!$C$1:$D$61,2,FALSE)</f>
        <v>#N/A</v>
      </c>
      <c r="L299" s="27"/>
      <c r="M299" s="27"/>
      <c r="N299" s="27"/>
      <c r="O299" s="27"/>
      <c r="P299" s="28"/>
      <c r="Q299" s="5" t="str">
        <f t="shared" si="14"/>
        <v>ทันกำหนด</v>
      </c>
      <c r="R299" s="6"/>
      <c r="S299" s="7"/>
    </row>
    <row r="300" spans="1:19" ht="27.75" customHeight="1">
      <c r="A300" s="3">
        <v>298</v>
      </c>
      <c r="B300" s="27"/>
      <c r="C300" s="29"/>
      <c r="D300" s="30"/>
      <c r="E300" s="31"/>
      <c r="F300" s="31"/>
      <c r="G300" s="31">
        <f t="shared" si="12"/>
        <v>0</v>
      </c>
      <c r="H300" s="31" t="str">
        <f t="shared" si="13"/>
        <v>ครบ</v>
      </c>
      <c r="I300" s="31"/>
      <c r="J300" s="27" t="e">
        <f>VLOOKUP(I300,Sheet2!$B$1:$C$62,2,FALSE)</f>
        <v>#N/A</v>
      </c>
      <c r="K300" s="27" t="e">
        <f>VLOOKUP(J300,Sheet2!$C$1:$D$61,2,FALSE)</f>
        <v>#N/A</v>
      </c>
      <c r="L300" s="27"/>
      <c r="M300" s="27"/>
      <c r="N300" s="27"/>
      <c r="O300" s="27"/>
      <c r="P300" s="28"/>
      <c r="Q300" s="5" t="str">
        <f t="shared" si="14"/>
        <v>ทันกำหนด</v>
      </c>
      <c r="R300" s="6"/>
      <c r="S300" s="7"/>
    </row>
    <row r="301" spans="1:19" ht="27.75" customHeight="1">
      <c r="A301" s="3">
        <v>299</v>
      </c>
      <c r="B301" s="27"/>
      <c r="C301" s="29"/>
      <c r="D301" s="30"/>
      <c r="E301" s="31"/>
      <c r="F301" s="31"/>
      <c r="G301" s="31">
        <f t="shared" si="12"/>
        <v>0</v>
      </c>
      <c r="H301" s="31" t="str">
        <f t="shared" si="13"/>
        <v>ครบ</v>
      </c>
      <c r="I301" s="31"/>
      <c r="J301" s="27" t="e">
        <f>VLOOKUP(I301,Sheet2!$B$1:$C$62,2,FALSE)</f>
        <v>#N/A</v>
      </c>
      <c r="K301" s="27" t="e">
        <f>VLOOKUP(J301,Sheet2!$C$1:$D$61,2,FALSE)</f>
        <v>#N/A</v>
      </c>
      <c r="L301" s="27"/>
      <c r="M301" s="27"/>
      <c r="N301" s="27"/>
      <c r="O301" s="27"/>
      <c r="P301" s="28"/>
      <c r="Q301" s="5" t="str">
        <f t="shared" si="14"/>
        <v>ทันกำหนด</v>
      </c>
      <c r="R301" s="6"/>
      <c r="S301" s="7"/>
    </row>
    <row r="302" spans="1:19" ht="27.75" customHeight="1">
      <c r="A302" s="3">
        <v>300</v>
      </c>
      <c r="B302" s="27"/>
      <c r="C302" s="29"/>
      <c r="D302" s="30"/>
      <c r="E302" s="31"/>
      <c r="F302" s="31"/>
      <c r="G302" s="31">
        <f t="shared" si="12"/>
        <v>0</v>
      </c>
      <c r="H302" s="31" t="str">
        <f t="shared" si="13"/>
        <v>ครบ</v>
      </c>
      <c r="I302" s="31"/>
      <c r="J302" s="27" t="e">
        <f>VLOOKUP(I302,Sheet2!$B$1:$C$62,2,FALSE)</f>
        <v>#N/A</v>
      </c>
      <c r="K302" s="27" t="e">
        <f>VLOOKUP(J302,Sheet2!$C$1:$D$61,2,FALSE)</f>
        <v>#N/A</v>
      </c>
      <c r="L302" s="27"/>
      <c r="M302" s="27"/>
      <c r="N302" s="27"/>
      <c r="O302" s="27"/>
      <c r="P302" s="28"/>
      <c r="Q302" s="5" t="str">
        <f t="shared" si="14"/>
        <v>ทันกำหนด</v>
      </c>
      <c r="R302" s="6"/>
      <c r="S302" s="7"/>
    </row>
    <row r="303" spans="1:19" ht="27.75" customHeight="1">
      <c r="A303" s="3">
        <v>301</v>
      </c>
      <c r="B303" s="27"/>
      <c r="C303" s="29"/>
      <c r="D303" s="30"/>
      <c r="E303" s="31"/>
      <c r="F303" s="31"/>
      <c r="G303" s="31">
        <f t="shared" si="12"/>
        <v>0</v>
      </c>
      <c r="H303" s="31" t="str">
        <f t="shared" si="13"/>
        <v>ครบ</v>
      </c>
      <c r="I303" s="31"/>
      <c r="J303" s="27" t="e">
        <f>VLOOKUP(I303,Sheet2!$B$1:$C$62,2,FALSE)</f>
        <v>#N/A</v>
      </c>
      <c r="K303" s="27" t="e">
        <f>VLOOKUP(J303,Sheet2!$C$1:$D$61,2,FALSE)</f>
        <v>#N/A</v>
      </c>
      <c r="L303" s="27"/>
      <c r="M303" s="27"/>
      <c r="N303" s="27"/>
      <c r="O303" s="27"/>
      <c r="P303" s="28"/>
      <c r="Q303" s="28" t="str">
        <f t="shared" si="14"/>
        <v>ทันกำหนด</v>
      </c>
      <c r="R303" s="6"/>
      <c r="S303" s="7"/>
    </row>
    <row r="304" spans="1:19" ht="27.75" customHeight="1">
      <c r="A304" s="3">
        <v>302</v>
      </c>
      <c r="B304" s="27"/>
      <c r="C304" s="29"/>
      <c r="D304" s="30"/>
      <c r="E304" s="31"/>
      <c r="F304" s="31"/>
      <c r="G304" s="31">
        <f t="shared" si="12"/>
        <v>0</v>
      </c>
      <c r="H304" s="31" t="str">
        <f t="shared" si="13"/>
        <v>ครบ</v>
      </c>
      <c r="I304" s="31"/>
      <c r="J304" s="27" t="e">
        <f>VLOOKUP(I304,Sheet2!$B$1:$C$62,2,FALSE)</f>
        <v>#N/A</v>
      </c>
      <c r="K304" s="27" t="e">
        <f>VLOOKUP(J304,Sheet2!$C$1:$D$61,2,FALSE)</f>
        <v>#N/A</v>
      </c>
      <c r="L304" s="27"/>
      <c r="M304" s="27"/>
      <c r="N304" s="27"/>
      <c r="O304" s="27"/>
      <c r="P304" s="28"/>
      <c r="Q304" s="5" t="str">
        <f t="shared" si="14"/>
        <v>ทันกำหนด</v>
      </c>
      <c r="R304" s="6"/>
      <c r="S304" s="7"/>
    </row>
    <row r="305" spans="1:19" ht="27.75" customHeight="1">
      <c r="A305" s="3">
        <v>303</v>
      </c>
      <c r="B305" s="27"/>
      <c r="C305" s="29"/>
      <c r="D305" s="30"/>
      <c r="E305" s="31"/>
      <c r="F305" s="31"/>
      <c r="G305" s="31">
        <f t="shared" si="12"/>
        <v>0</v>
      </c>
      <c r="H305" s="31" t="str">
        <f t="shared" si="13"/>
        <v>ครบ</v>
      </c>
      <c r="I305" s="31"/>
      <c r="J305" s="27" t="e">
        <f>VLOOKUP(I305,Sheet2!$B$1:$C$62,2,FALSE)</f>
        <v>#N/A</v>
      </c>
      <c r="K305" s="27" t="e">
        <f>VLOOKUP(J305,Sheet2!$C$1:$D$61,2,FALSE)</f>
        <v>#N/A</v>
      </c>
      <c r="L305" s="27"/>
      <c r="M305" s="27"/>
      <c r="N305" s="27"/>
      <c r="O305" s="27"/>
      <c r="P305" s="28"/>
      <c r="Q305" s="5" t="str">
        <f t="shared" si="14"/>
        <v>ทันกำหนด</v>
      </c>
      <c r="R305" s="6"/>
      <c r="S305" s="7"/>
    </row>
    <row r="306" spans="1:19" ht="27.75" customHeight="1">
      <c r="A306" s="3">
        <v>304</v>
      </c>
      <c r="B306" s="27"/>
      <c r="C306" s="29"/>
      <c r="D306" s="30"/>
      <c r="E306" s="31"/>
      <c r="F306" s="31"/>
      <c r="G306" s="31">
        <f t="shared" si="12"/>
        <v>0</v>
      </c>
      <c r="H306" s="31" t="str">
        <f t="shared" si="13"/>
        <v>ครบ</v>
      </c>
      <c r="I306" s="31"/>
      <c r="J306" s="27" t="e">
        <f>VLOOKUP(I306,Sheet2!$B$1:$C$62,2,FALSE)</f>
        <v>#N/A</v>
      </c>
      <c r="K306" s="27" t="e">
        <f>VLOOKUP(J306,Sheet2!$C$1:$D$61,2,FALSE)</f>
        <v>#N/A</v>
      </c>
      <c r="L306" s="27"/>
      <c r="M306" s="27"/>
      <c r="N306" s="27"/>
      <c r="O306" s="27"/>
      <c r="P306" s="28"/>
      <c r="Q306" s="5" t="str">
        <f t="shared" si="14"/>
        <v>ทันกำหนด</v>
      </c>
      <c r="R306" s="6"/>
      <c r="S306" s="7"/>
    </row>
    <row r="307" spans="1:19" ht="27.75" customHeight="1">
      <c r="A307" s="3">
        <v>305</v>
      </c>
      <c r="B307" s="27"/>
      <c r="C307" s="29"/>
      <c r="D307" s="30"/>
      <c r="E307" s="31"/>
      <c r="F307" s="31"/>
      <c r="G307" s="31">
        <f t="shared" si="12"/>
        <v>0</v>
      </c>
      <c r="H307" s="31" t="str">
        <f t="shared" si="13"/>
        <v>ครบ</v>
      </c>
      <c r="I307" s="31"/>
      <c r="J307" s="27" t="s">
        <v>29</v>
      </c>
      <c r="K307" s="27" t="str">
        <f>VLOOKUP(J307,Sheet2!$C$1:$D$61,2,FALSE)</f>
        <v>Weldding</v>
      </c>
      <c r="L307" s="27"/>
      <c r="M307" s="27"/>
      <c r="N307" s="27"/>
      <c r="O307" s="27"/>
      <c r="P307" s="28"/>
      <c r="Q307" s="5" t="str">
        <f t="shared" si="14"/>
        <v>ทันกำหนด</v>
      </c>
      <c r="R307" s="6"/>
      <c r="S307" s="7"/>
    </row>
    <row r="308" spans="1:19" ht="27.75" customHeight="1">
      <c r="A308" s="3">
        <v>306</v>
      </c>
      <c r="B308" s="27"/>
      <c r="C308" s="29"/>
      <c r="D308" s="30"/>
      <c r="E308" s="31"/>
      <c r="F308" s="31"/>
      <c r="G308" s="31">
        <f t="shared" si="12"/>
        <v>0</v>
      </c>
      <c r="H308" s="31" t="str">
        <f t="shared" si="13"/>
        <v>ครบ</v>
      </c>
      <c r="I308" s="31"/>
      <c r="J308" s="27" t="e">
        <f>VLOOKUP(I308,Sheet2!$B$1:$C$62,2,FALSE)</f>
        <v>#N/A</v>
      </c>
      <c r="K308" s="27" t="e">
        <f>VLOOKUP(J308,Sheet2!$C$1:$D$61,2,FALSE)</f>
        <v>#N/A</v>
      </c>
      <c r="L308" s="27"/>
      <c r="M308" s="27"/>
      <c r="N308" s="27"/>
      <c r="O308" s="27"/>
      <c r="P308" s="28"/>
      <c r="Q308" s="5" t="str">
        <f t="shared" si="14"/>
        <v>ทันกำหนด</v>
      </c>
      <c r="R308" s="6"/>
      <c r="S308" s="7"/>
    </row>
    <row r="309" spans="1:19" ht="27.75" customHeight="1">
      <c r="A309" s="3">
        <v>307</v>
      </c>
      <c r="B309" s="27"/>
      <c r="C309" s="29"/>
      <c r="D309" s="30"/>
      <c r="E309" s="31"/>
      <c r="F309" s="31"/>
      <c r="G309" s="31">
        <f t="shared" si="12"/>
        <v>0</v>
      </c>
      <c r="H309" s="31" t="str">
        <f t="shared" si="13"/>
        <v>ครบ</v>
      </c>
      <c r="I309" s="31"/>
      <c r="J309" s="27" t="e">
        <f>VLOOKUP(I309,Sheet2!$B$1:$C$62,2,FALSE)</f>
        <v>#N/A</v>
      </c>
      <c r="K309" s="27" t="e">
        <f>VLOOKUP(J309,Sheet2!$C$1:$D$61,2,FALSE)</f>
        <v>#N/A</v>
      </c>
      <c r="L309" s="27"/>
      <c r="M309" s="27"/>
      <c r="N309" s="27"/>
      <c r="O309" s="27"/>
      <c r="P309" s="28"/>
      <c r="Q309" s="5" t="str">
        <f t="shared" si="14"/>
        <v>ทันกำหนด</v>
      </c>
      <c r="R309" s="6"/>
      <c r="S309" s="7"/>
    </row>
    <row r="310" spans="1:19" ht="27.75" customHeight="1">
      <c r="A310" s="3">
        <v>308</v>
      </c>
      <c r="B310" s="27"/>
      <c r="C310" s="29"/>
      <c r="D310" s="30"/>
      <c r="E310" s="31"/>
      <c r="F310" s="31"/>
      <c r="G310" s="31">
        <f t="shared" si="12"/>
        <v>0</v>
      </c>
      <c r="H310" s="31" t="str">
        <f t="shared" si="13"/>
        <v>ครบ</v>
      </c>
      <c r="I310" s="31"/>
      <c r="J310" s="27" t="e">
        <f>VLOOKUP(I310,Sheet2!$B$1:$C$62,2,FALSE)</f>
        <v>#N/A</v>
      </c>
      <c r="K310" s="27" t="e">
        <f>VLOOKUP(J310,Sheet2!$C$1:$D$61,2,FALSE)</f>
        <v>#N/A</v>
      </c>
      <c r="L310" s="27"/>
      <c r="M310" s="27"/>
      <c r="N310" s="27"/>
      <c r="O310" s="27"/>
      <c r="P310" s="28"/>
      <c r="Q310" s="5" t="str">
        <f t="shared" si="14"/>
        <v>ทันกำหนด</v>
      </c>
      <c r="R310" s="6"/>
      <c r="S310" s="7"/>
    </row>
    <row r="311" spans="1:19" ht="27.75" customHeight="1">
      <c r="A311" s="3">
        <v>309</v>
      </c>
      <c r="B311" s="27"/>
      <c r="C311" s="29"/>
      <c r="D311" s="30"/>
      <c r="E311" s="31"/>
      <c r="F311" s="31"/>
      <c r="G311" s="31">
        <f t="shared" si="12"/>
        <v>0</v>
      </c>
      <c r="H311" s="31" t="str">
        <f t="shared" si="13"/>
        <v>ครบ</v>
      </c>
      <c r="I311" s="31"/>
      <c r="J311" s="27" t="e">
        <f>VLOOKUP(I311,Sheet2!$B$1:$C$62,2,FALSE)</f>
        <v>#N/A</v>
      </c>
      <c r="K311" s="27" t="e">
        <f>VLOOKUP(J311,Sheet2!$C$1:$D$61,2,FALSE)</f>
        <v>#N/A</v>
      </c>
      <c r="L311" s="27"/>
      <c r="M311" s="27"/>
      <c r="N311" s="27"/>
      <c r="O311" s="27"/>
      <c r="P311" s="28"/>
      <c r="Q311" s="5" t="str">
        <f t="shared" si="14"/>
        <v>ทันกำหนด</v>
      </c>
      <c r="R311" s="6"/>
      <c r="S311" s="7"/>
    </row>
    <row r="312" spans="1:19" ht="27.75" customHeight="1">
      <c r="A312" s="3">
        <v>310</v>
      </c>
      <c r="B312" s="27"/>
      <c r="C312" s="29"/>
      <c r="D312" s="30"/>
      <c r="E312" s="31"/>
      <c r="F312" s="31"/>
      <c r="G312" s="31">
        <f t="shared" si="12"/>
        <v>0</v>
      </c>
      <c r="H312" s="31" t="str">
        <f t="shared" si="13"/>
        <v>ครบ</v>
      </c>
      <c r="I312" s="31"/>
      <c r="J312" s="27" t="e">
        <f>VLOOKUP(I312,Sheet2!$B$1:$C$62,2,FALSE)</f>
        <v>#N/A</v>
      </c>
      <c r="K312" s="27" t="e">
        <f>VLOOKUP(J312,Sheet2!$C$1:$D$61,2,FALSE)</f>
        <v>#N/A</v>
      </c>
      <c r="L312" s="27"/>
      <c r="M312" s="27"/>
      <c r="N312" s="27"/>
      <c r="O312" s="27"/>
      <c r="P312" s="28"/>
      <c r="Q312" s="5" t="str">
        <f t="shared" si="14"/>
        <v>ทันกำหนด</v>
      </c>
      <c r="R312" s="6"/>
      <c r="S312" s="7"/>
    </row>
    <row r="313" spans="1:19" ht="27.75" customHeight="1">
      <c r="A313" s="3">
        <v>311</v>
      </c>
      <c r="B313" s="27"/>
      <c r="C313" s="29"/>
      <c r="D313" s="30"/>
      <c r="E313" s="31"/>
      <c r="F313" s="31"/>
      <c r="G313" s="31">
        <f t="shared" si="12"/>
        <v>0</v>
      </c>
      <c r="H313" s="31" t="str">
        <f t="shared" si="13"/>
        <v>ครบ</v>
      </c>
      <c r="I313" s="31"/>
      <c r="J313" s="27" t="e">
        <f>VLOOKUP(I313,Sheet2!$B$1:$C$62,2,FALSE)</f>
        <v>#N/A</v>
      </c>
      <c r="K313" s="27" t="e">
        <f>VLOOKUP(J313,Sheet2!$C$1:$D$61,2,FALSE)</f>
        <v>#N/A</v>
      </c>
      <c r="L313" s="27"/>
      <c r="M313" s="27"/>
      <c r="N313" s="27"/>
      <c r="O313" s="27"/>
      <c r="P313" s="28"/>
      <c r="Q313" s="5" t="str">
        <f t="shared" si="14"/>
        <v>ทันกำหนด</v>
      </c>
      <c r="R313" s="6"/>
      <c r="S313" s="7"/>
    </row>
    <row r="314" spans="1:19" ht="27.75" customHeight="1">
      <c r="A314" s="3">
        <v>312</v>
      </c>
      <c r="B314" s="27"/>
      <c r="C314" s="29"/>
      <c r="D314" s="30"/>
      <c r="E314" s="31"/>
      <c r="F314" s="31"/>
      <c r="G314" s="31">
        <f t="shared" si="12"/>
        <v>0</v>
      </c>
      <c r="H314" s="31" t="str">
        <f t="shared" si="13"/>
        <v>ครบ</v>
      </c>
      <c r="I314" s="31"/>
      <c r="J314" s="27" t="e">
        <f>VLOOKUP(I314,Sheet2!$B$1:$C$62,2,FALSE)</f>
        <v>#N/A</v>
      </c>
      <c r="K314" s="27" t="e">
        <f>VLOOKUP(J314,Sheet2!$C$1:$D$61,2,FALSE)</f>
        <v>#N/A</v>
      </c>
      <c r="L314" s="27"/>
      <c r="M314" s="27"/>
      <c r="N314" s="27"/>
      <c r="O314" s="27"/>
      <c r="P314" s="28"/>
      <c r="Q314" s="5" t="str">
        <f t="shared" si="14"/>
        <v>ทันกำหนด</v>
      </c>
      <c r="R314" s="6"/>
      <c r="S314" s="7"/>
    </row>
    <row r="315" spans="1:19" ht="27.75" customHeight="1">
      <c r="A315" s="3">
        <v>313</v>
      </c>
      <c r="B315" s="27"/>
      <c r="C315" s="29"/>
      <c r="D315" s="30"/>
      <c r="E315" s="31"/>
      <c r="F315" s="31"/>
      <c r="G315" s="31">
        <f t="shared" si="12"/>
        <v>0</v>
      </c>
      <c r="H315" s="31" t="str">
        <f t="shared" si="13"/>
        <v>ครบ</v>
      </c>
      <c r="I315" s="31"/>
      <c r="J315" s="27" t="e">
        <f>VLOOKUP(I315,Sheet2!$B$1:$C$62,2,FALSE)</f>
        <v>#N/A</v>
      </c>
      <c r="K315" s="27" t="e">
        <f>VLOOKUP(J315,Sheet2!$C$1:$D$61,2,FALSE)</f>
        <v>#N/A</v>
      </c>
      <c r="L315" s="27"/>
      <c r="M315" s="27"/>
      <c r="N315" s="27"/>
      <c r="O315" s="27"/>
      <c r="P315" s="28"/>
      <c r="Q315" s="5" t="str">
        <f t="shared" si="14"/>
        <v>ทันกำหนด</v>
      </c>
      <c r="R315" s="6"/>
      <c r="S315" s="7"/>
    </row>
    <row r="316" spans="1:19" ht="27.75" customHeight="1">
      <c r="A316" s="3">
        <v>314</v>
      </c>
      <c r="B316" s="27"/>
      <c r="C316" s="29"/>
      <c r="D316" s="30"/>
      <c r="E316" s="31"/>
      <c r="F316" s="31"/>
      <c r="G316" s="31">
        <f t="shared" si="12"/>
        <v>0</v>
      </c>
      <c r="H316" s="31" t="str">
        <f t="shared" si="13"/>
        <v>ครบ</v>
      </c>
      <c r="I316" s="31"/>
      <c r="J316" s="27" t="e">
        <f>VLOOKUP(I316,Sheet2!$B$1:$C$62,2,FALSE)</f>
        <v>#N/A</v>
      </c>
      <c r="K316" s="27" t="e">
        <f>VLOOKUP(J316,Sheet2!$C$1:$D$61,2,FALSE)</f>
        <v>#N/A</v>
      </c>
      <c r="L316" s="27"/>
      <c r="M316" s="27"/>
      <c r="N316" s="27"/>
      <c r="O316" s="27"/>
      <c r="P316" s="28"/>
      <c r="Q316" s="5" t="str">
        <f t="shared" si="14"/>
        <v>ทันกำหนด</v>
      </c>
      <c r="R316" s="6"/>
      <c r="S316" s="7"/>
    </row>
    <row r="317" spans="1:19" ht="27.75" customHeight="1">
      <c r="A317" s="3">
        <v>315</v>
      </c>
      <c r="B317" s="27"/>
      <c r="C317" s="29"/>
      <c r="D317" s="30"/>
      <c r="E317" s="31"/>
      <c r="F317" s="31"/>
      <c r="G317" s="31">
        <f t="shared" si="12"/>
        <v>0</v>
      </c>
      <c r="H317" s="31" t="str">
        <f t="shared" si="13"/>
        <v>ครบ</v>
      </c>
      <c r="I317" s="31"/>
      <c r="J317" s="27" t="e">
        <f>VLOOKUP(I317,Sheet2!$B$1:$C$62,2,FALSE)</f>
        <v>#N/A</v>
      </c>
      <c r="K317" s="27" t="e">
        <f>VLOOKUP(J317,Sheet2!$C$1:$D$61,2,FALSE)</f>
        <v>#N/A</v>
      </c>
      <c r="L317" s="27"/>
      <c r="M317" s="27"/>
      <c r="N317" s="27"/>
      <c r="O317" s="27"/>
      <c r="P317" s="28"/>
      <c r="Q317" s="5" t="str">
        <f t="shared" si="14"/>
        <v>ทันกำหนด</v>
      </c>
      <c r="R317" s="6"/>
      <c r="S317" s="7"/>
    </row>
    <row r="318" spans="1:19" ht="27.75" customHeight="1">
      <c r="A318" s="3">
        <v>316</v>
      </c>
      <c r="B318" s="27"/>
      <c r="C318" s="29"/>
      <c r="D318" s="30"/>
      <c r="E318" s="31"/>
      <c r="F318" s="31"/>
      <c r="G318" s="31">
        <f t="shared" si="12"/>
        <v>0</v>
      </c>
      <c r="H318" s="31" t="str">
        <f t="shared" si="13"/>
        <v>ครบ</v>
      </c>
      <c r="I318" s="31"/>
      <c r="J318" s="27" t="e">
        <f>VLOOKUP(I318,Sheet2!$B$1:$C$62,2,FALSE)</f>
        <v>#N/A</v>
      </c>
      <c r="K318" s="27" t="e">
        <f>VLOOKUP(J318,Sheet2!$C$1:$D$61,2,FALSE)</f>
        <v>#N/A</v>
      </c>
      <c r="L318" s="27"/>
      <c r="M318" s="27"/>
      <c r="N318" s="27"/>
      <c r="O318" s="27"/>
      <c r="P318" s="28"/>
      <c r="Q318" s="5" t="str">
        <f t="shared" si="14"/>
        <v>ทันกำหนด</v>
      </c>
      <c r="R318" s="6"/>
      <c r="S318" s="7"/>
    </row>
    <row r="319" spans="1:19" ht="27.75" customHeight="1">
      <c r="A319" s="3">
        <v>317</v>
      </c>
      <c r="B319" s="27"/>
      <c r="C319" s="29"/>
      <c r="D319" s="30"/>
      <c r="E319" s="31"/>
      <c r="F319" s="31"/>
      <c r="G319" s="31">
        <f t="shared" si="12"/>
        <v>0</v>
      </c>
      <c r="H319" s="31" t="str">
        <f t="shared" si="13"/>
        <v>ครบ</v>
      </c>
      <c r="I319" s="31"/>
      <c r="J319" s="27" t="e">
        <f>VLOOKUP(I319,Sheet2!$B$1:$C$62,2,FALSE)</f>
        <v>#N/A</v>
      </c>
      <c r="K319" s="27" t="e">
        <f>VLOOKUP(J319,Sheet2!$C$1:$D$61,2,FALSE)</f>
        <v>#N/A</v>
      </c>
      <c r="L319" s="27"/>
      <c r="M319" s="27"/>
      <c r="N319" s="27"/>
      <c r="O319" s="27"/>
      <c r="P319" s="28"/>
      <c r="Q319" s="5" t="str">
        <f t="shared" si="14"/>
        <v>ทันกำหนด</v>
      </c>
      <c r="R319" s="6"/>
      <c r="S319" s="7"/>
    </row>
    <row r="320" spans="1:19" ht="27.75" customHeight="1">
      <c r="A320" s="3">
        <v>318</v>
      </c>
      <c r="B320" s="27"/>
      <c r="C320" s="29"/>
      <c r="D320" s="30"/>
      <c r="E320" s="31"/>
      <c r="F320" s="31"/>
      <c r="G320" s="31">
        <f t="shared" si="12"/>
        <v>0</v>
      </c>
      <c r="H320" s="31" t="str">
        <f t="shared" si="13"/>
        <v>ครบ</v>
      </c>
      <c r="I320" s="31"/>
      <c r="J320" s="27" t="e">
        <f>VLOOKUP(I320,Sheet2!$B$1:$C$62,2,FALSE)</f>
        <v>#N/A</v>
      </c>
      <c r="K320" s="27" t="e">
        <f>VLOOKUP(J320,Sheet2!$C$1:$D$61,2,FALSE)</f>
        <v>#N/A</v>
      </c>
      <c r="L320" s="27"/>
      <c r="M320" s="27"/>
      <c r="N320" s="27"/>
      <c r="O320" s="27"/>
      <c r="P320" s="28"/>
      <c r="Q320" s="5" t="str">
        <f t="shared" si="14"/>
        <v>ทันกำหนด</v>
      </c>
      <c r="R320" s="6"/>
      <c r="S320" s="7"/>
    </row>
    <row r="321" spans="1:19" ht="27.75" customHeight="1">
      <c r="A321" s="3">
        <v>319</v>
      </c>
      <c r="B321" s="27"/>
      <c r="C321" s="29"/>
      <c r="D321" s="30"/>
      <c r="E321" s="31"/>
      <c r="F321" s="31"/>
      <c r="G321" s="31">
        <f t="shared" si="12"/>
        <v>0</v>
      </c>
      <c r="H321" s="31" t="str">
        <f t="shared" si="13"/>
        <v>ครบ</v>
      </c>
      <c r="I321" s="31"/>
      <c r="J321" s="27" t="e">
        <f>VLOOKUP(I321,Sheet2!$B$1:$C$62,2,FALSE)</f>
        <v>#N/A</v>
      </c>
      <c r="K321" s="27" t="e">
        <f>VLOOKUP(J321,Sheet2!$C$1:$D$61,2,FALSE)</f>
        <v>#N/A</v>
      </c>
      <c r="L321" s="27"/>
      <c r="M321" s="27"/>
      <c r="N321" s="27"/>
      <c r="O321" s="27"/>
      <c r="P321" s="28"/>
      <c r="Q321" s="5" t="str">
        <f t="shared" si="14"/>
        <v>ทันกำหนด</v>
      </c>
      <c r="R321" s="6"/>
      <c r="S321" s="7"/>
    </row>
    <row r="322" spans="1:19" ht="27.75" customHeight="1">
      <c r="A322" s="3">
        <v>320</v>
      </c>
      <c r="B322" s="27"/>
      <c r="C322" s="29"/>
      <c r="D322" s="30"/>
      <c r="E322" s="31"/>
      <c r="F322" s="31"/>
      <c r="G322" s="31">
        <f t="shared" si="12"/>
        <v>0</v>
      </c>
      <c r="H322" s="31" t="str">
        <f t="shared" si="13"/>
        <v>ครบ</v>
      </c>
      <c r="I322" s="31"/>
      <c r="J322" s="27" t="e">
        <f>VLOOKUP(I322,Sheet2!$B$1:$C$62,2,FALSE)</f>
        <v>#N/A</v>
      </c>
      <c r="K322" s="27" t="e">
        <f>VLOOKUP(J322,Sheet2!$C$1:$D$61,2,FALSE)</f>
        <v>#N/A</v>
      </c>
      <c r="L322" s="27"/>
      <c r="M322" s="27"/>
      <c r="N322" s="27"/>
      <c r="O322" s="27"/>
      <c r="P322" s="28"/>
      <c r="Q322" s="5" t="str">
        <f t="shared" si="14"/>
        <v>ทันกำหนด</v>
      </c>
      <c r="R322" s="6"/>
      <c r="S322" s="7"/>
    </row>
    <row r="323" spans="1:19" ht="27.75" customHeight="1">
      <c r="A323" s="3">
        <v>321</v>
      </c>
      <c r="B323" s="27"/>
      <c r="C323" s="29"/>
      <c r="D323" s="30"/>
      <c r="E323" s="31"/>
      <c r="F323" s="31"/>
      <c r="G323" s="31">
        <f t="shared" si="12"/>
        <v>0</v>
      </c>
      <c r="H323" s="31" t="str">
        <f t="shared" si="13"/>
        <v>ครบ</v>
      </c>
      <c r="I323" s="31"/>
      <c r="J323" s="27" t="e">
        <f>VLOOKUP(I323,Sheet2!$B$1:$C$62,2,FALSE)</f>
        <v>#N/A</v>
      </c>
      <c r="K323" s="27" t="e">
        <f>VLOOKUP(J323,Sheet2!$C$1:$D$61,2,FALSE)</f>
        <v>#N/A</v>
      </c>
      <c r="L323" s="27"/>
      <c r="M323" s="27"/>
      <c r="N323" s="27"/>
      <c r="O323" s="27"/>
      <c r="P323" s="28"/>
      <c r="Q323" s="5" t="str">
        <f t="shared" si="14"/>
        <v>ทันกำหนด</v>
      </c>
      <c r="R323" s="6"/>
      <c r="S323" s="7"/>
    </row>
    <row r="324" spans="1:19" ht="27.75" customHeight="1">
      <c r="A324" s="3">
        <v>322</v>
      </c>
      <c r="B324" s="27"/>
      <c r="C324" s="29"/>
      <c r="D324" s="30"/>
      <c r="E324" s="31"/>
      <c r="F324" s="31"/>
      <c r="G324" s="31">
        <f t="shared" ref="G324:G367" si="15">$E324-$F324</f>
        <v>0</v>
      </c>
      <c r="H324" s="31" t="str">
        <f t="shared" ref="H324:H387" si="16">IF($G324=0,"ครบ","ไม่ครบ")</f>
        <v>ครบ</v>
      </c>
      <c r="I324" s="31"/>
      <c r="J324" s="27" t="e">
        <f>VLOOKUP(I324,Sheet2!$B$1:$C$62,2,FALSE)</f>
        <v>#N/A</v>
      </c>
      <c r="K324" s="27" t="e">
        <f>VLOOKUP(J324,Sheet2!$C$1:$D$61,2,FALSE)</f>
        <v>#N/A</v>
      </c>
      <c r="L324" s="27"/>
      <c r="M324" s="27"/>
      <c r="N324" s="27"/>
      <c r="O324" s="27"/>
      <c r="P324" s="28"/>
      <c r="Q324" s="5" t="str">
        <f t="shared" ref="Q324:Q387" si="17">IF($N324&gt;$M324,"เกินกำหนด","ทันกำหนด")</f>
        <v>ทันกำหนด</v>
      </c>
      <c r="R324" s="6"/>
      <c r="S324" s="7"/>
    </row>
    <row r="325" spans="1:19" ht="27.75" customHeight="1">
      <c r="A325" s="3">
        <v>323</v>
      </c>
      <c r="B325" s="27"/>
      <c r="C325" s="29"/>
      <c r="D325" s="30"/>
      <c r="E325" s="31"/>
      <c r="F325" s="31"/>
      <c r="G325" s="31">
        <f t="shared" si="15"/>
        <v>0</v>
      </c>
      <c r="H325" s="31" t="str">
        <f t="shared" si="16"/>
        <v>ครบ</v>
      </c>
      <c r="I325" s="31"/>
      <c r="J325" s="27" t="e">
        <f>VLOOKUP(I325,Sheet2!$B$1:$C$62,2,FALSE)</f>
        <v>#N/A</v>
      </c>
      <c r="K325" s="27" t="e">
        <f>VLOOKUP(J325,Sheet2!$C$1:$D$61,2,FALSE)</f>
        <v>#N/A</v>
      </c>
      <c r="L325" s="27"/>
      <c r="M325" s="27"/>
      <c r="N325" s="27"/>
      <c r="O325" s="27"/>
      <c r="P325" s="28"/>
      <c r="Q325" s="5" t="str">
        <f t="shared" si="17"/>
        <v>ทันกำหนด</v>
      </c>
      <c r="R325" s="6"/>
      <c r="S325" s="7"/>
    </row>
    <row r="326" spans="1:19" ht="27.75" customHeight="1">
      <c r="A326" s="3">
        <v>324</v>
      </c>
      <c r="B326" s="27"/>
      <c r="C326" s="29"/>
      <c r="D326" s="30"/>
      <c r="E326" s="31"/>
      <c r="F326" s="31"/>
      <c r="G326" s="31">
        <f t="shared" si="15"/>
        <v>0</v>
      </c>
      <c r="H326" s="31" t="str">
        <f t="shared" si="16"/>
        <v>ครบ</v>
      </c>
      <c r="I326" s="31"/>
      <c r="J326" s="27" t="e">
        <f>VLOOKUP(I326,Sheet2!$B$1:$C$62,2,FALSE)</f>
        <v>#N/A</v>
      </c>
      <c r="K326" s="27" t="e">
        <f>VLOOKUP(J326,Sheet2!$C$1:$D$61,2,FALSE)</f>
        <v>#N/A</v>
      </c>
      <c r="L326" s="27"/>
      <c r="M326" s="27"/>
      <c r="N326" s="27"/>
      <c r="O326" s="27"/>
      <c r="P326" s="28"/>
      <c r="Q326" s="5" t="str">
        <f t="shared" si="17"/>
        <v>ทันกำหนด</v>
      </c>
      <c r="R326" s="6"/>
      <c r="S326" s="7"/>
    </row>
    <row r="327" spans="1:19" ht="27.75" customHeight="1">
      <c r="A327" s="3">
        <v>325</v>
      </c>
      <c r="B327" s="27"/>
      <c r="C327" s="29"/>
      <c r="D327" s="30"/>
      <c r="E327" s="31"/>
      <c r="F327" s="31"/>
      <c r="G327" s="31">
        <f t="shared" si="15"/>
        <v>0</v>
      </c>
      <c r="H327" s="31" t="str">
        <f t="shared" si="16"/>
        <v>ครบ</v>
      </c>
      <c r="I327" s="31"/>
      <c r="J327" s="27" t="e">
        <f>VLOOKUP(I327,Sheet2!$B$1:$C$62,2,FALSE)</f>
        <v>#N/A</v>
      </c>
      <c r="K327" s="27" t="e">
        <f>VLOOKUP(J327,Sheet2!$C$1:$D$61,2,FALSE)</f>
        <v>#N/A</v>
      </c>
      <c r="L327" s="27"/>
      <c r="M327" s="27"/>
      <c r="N327" s="27"/>
      <c r="O327" s="27"/>
      <c r="P327" s="28"/>
      <c r="Q327" s="5" t="str">
        <f t="shared" si="17"/>
        <v>ทันกำหนด</v>
      </c>
      <c r="R327" s="6"/>
      <c r="S327" s="7"/>
    </row>
    <row r="328" spans="1:19" ht="27.75" customHeight="1">
      <c r="A328" s="3">
        <v>326</v>
      </c>
      <c r="B328" s="27"/>
      <c r="C328" s="29"/>
      <c r="D328" s="30"/>
      <c r="E328" s="31"/>
      <c r="F328" s="31"/>
      <c r="G328" s="31">
        <f t="shared" si="15"/>
        <v>0</v>
      </c>
      <c r="H328" s="31" t="str">
        <f t="shared" si="16"/>
        <v>ครบ</v>
      </c>
      <c r="I328" s="31"/>
      <c r="J328" s="27" t="e">
        <f>VLOOKUP(I328,Sheet2!$B$1:$C$62,2,FALSE)</f>
        <v>#N/A</v>
      </c>
      <c r="K328" s="27" t="e">
        <f>VLOOKUP(J328,Sheet2!$C$1:$D$61,2,FALSE)</f>
        <v>#N/A</v>
      </c>
      <c r="L328" s="27"/>
      <c r="M328" s="27"/>
      <c r="N328" s="27"/>
      <c r="O328" s="27"/>
      <c r="P328" s="28"/>
      <c r="Q328" s="5" t="str">
        <f t="shared" si="17"/>
        <v>ทันกำหนด</v>
      </c>
      <c r="R328" s="6"/>
      <c r="S328" s="7"/>
    </row>
    <row r="329" spans="1:19" ht="27.75" customHeight="1">
      <c r="A329" s="3">
        <v>327</v>
      </c>
      <c r="B329" s="27"/>
      <c r="C329" s="29"/>
      <c r="D329" s="30"/>
      <c r="E329" s="31"/>
      <c r="F329" s="31"/>
      <c r="G329" s="31">
        <f t="shared" si="15"/>
        <v>0</v>
      </c>
      <c r="H329" s="31" t="str">
        <f t="shared" si="16"/>
        <v>ครบ</v>
      </c>
      <c r="I329" s="31"/>
      <c r="J329" s="27" t="e">
        <f>VLOOKUP(I329,Sheet2!$B$1:$C$62,2,FALSE)</f>
        <v>#N/A</v>
      </c>
      <c r="K329" s="27" t="e">
        <f>VLOOKUP(J329,Sheet2!$C$1:$D$61,2,FALSE)</f>
        <v>#N/A</v>
      </c>
      <c r="L329" s="27"/>
      <c r="M329" s="27"/>
      <c r="N329" s="27"/>
      <c r="O329" s="27"/>
      <c r="P329" s="28"/>
      <c r="Q329" s="5" t="str">
        <f t="shared" si="17"/>
        <v>ทันกำหนด</v>
      </c>
      <c r="R329" s="6"/>
      <c r="S329" s="7"/>
    </row>
    <row r="330" spans="1:19" ht="27.75" customHeight="1">
      <c r="A330" s="3">
        <v>328</v>
      </c>
      <c r="B330" s="27"/>
      <c r="C330" s="29"/>
      <c r="D330" s="30"/>
      <c r="E330" s="31"/>
      <c r="F330" s="31"/>
      <c r="G330" s="31">
        <f t="shared" si="15"/>
        <v>0</v>
      </c>
      <c r="H330" s="31" t="str">
        <f t="shared" si="16"/>
        <v>ครบ</v>
      </c>
      <c r="I330" s="31"/>
      <c r="J330" s="27" t="e">
        <f>VLOOKUP(I330,Sheet2!$B$1:$C$62,2,FALSE)</f>
        <v>#N/A</v>
      </c>
      <c r="K330" s="27" t="e">
        <f>VLOOKUP(J330,Sheet2!$C$1:$D$61,2,FALSE)</f>
        <v>#N/A</v>
      </c>
      <c r="L330" s="27"/>
      <c r="M330" s="27"/>
      <c r="N330" s="27"/>
      <c r="O330" s="27"/>
      <c r="P330" s="28"/>
      <c r="Q330" s="5" t="str">
        <f t="shared" si="17"/>
        <v>ทันกำหนด</v>
      </c>
      <c r="R330" s="6"/>
      <c r="S330" s="7"/>
    </row>
    <row r="331" spans="1:19" ht="27.75" customHeight="1">
      <c r="A331" s="3">
        <v>329</v>
      </c>
      <c r="B331" s="27"/>
      <c r="C331" s="29"/>
      <c r="D331" s="30"/>
      <c r="E331" s="31"/>
      <c r="F331" s="31"/>
      <c r="G331" s="31">
        <f t="shared" si="15"/>
        <v>0</v>
      </c>
      <c r="H331" s="31" t="str">
        <f t="shared" si="16"/>
        <v>ครบ</v>
      </c>
      <c r="I331" s="31"/>
      <c r="J331" s="27" t="e">
        <f>VLOOKUP(I331,Sheet2!$B$1:$C$62,2,FALSE)</f>
        <v>#N/A</v>
      </c>
      <c r="K331" s="27" t="e">
        <f>VLOOKUP(J331,Sheet2!$C$1:$D$61,2,FALSE)</f>
        <v>#N/A</v>
      </c>
      <c r="L331" s="27"/>
      <c r="M331" s="27"/>
      <c r="N331" s="27"/>
      <c r="O331" s="27"/>
      <c r="P331" s="28"/>
      <c r="Q331" s="5" t="str">
        <f t="shared" si="17"/>
        <v>ทันกำหนด</v>
      </c>
      <c r="R331" s="6"/>
      <c r="S331" s="7"/>
    </row>
    <row r="332" spans="1:19" ht="27.75" customHeight="1">
      <c r="A332" s="3">
        <v>330</v>
      </c>
      <c r="B332" s="27"/>
      <c r="C332" s="29"/>
      <c r="D332" s="30"/>
      <c r="E332" s="31"/>
      <c r="F332" s="31"/>
      <c r="G332" s="31">
        <f t="shared" si="15"/>
        <v>0</v>
      </c>
      <c r="H332" s="31" t="str">
        <f t="shared" si="16"/>
        <v>ครบ</v>
      </c>
      <c r="I332" s="31"/>
      <c r="J332" s="27" t="e">
        <f>VLOOKUP(I332,Sheet2!$B$1:$C$62,2,FALSE)</f>
        <v>#N/A</v>
      </c>
      <c r="K332" s="27" t="e">
        <f>VLOOKUP(J332,Sheet2!$C$1:$D$61,2,FALSE)</f>
        <v>#N/A</v>
      </c>
      <c r="L332" s="27"/>
      <c r="M332" s="27"/>
      <c r="N332" s="27"/>
      <c r="O332" s="27"/>
      <c r="P332" s="28"/>
      <c r="Q332" s="5" t="str">
        <f t="shared" si="17"/>
        <v>ทันกำหนด</v>
      </c>
      <c r="R332" s="6"/>
      <c r="S332" s="7"/>
    </row>
    <row r="333" spans="1:19" ht="27.75" customHeight="1">
      <c r="A333" s="3">
        <v>331</v>
      </c>
      <c r="B333" s="27"/>
      <c r="C333" s="29"/>
      <c r="D333" s="30"/>
      <c r="E333" s="31"/>
      <c r="F333" s="31"/>
      <c r="G333" s="31">
        <f t="shared" si="15"/>
        <v>0</v>
      </c>
      <c r="H333" s="31" t="str">
        <f t="shared" si="16"/>
        <v>ครบ</v>
      </c>
      <c r="I333" s="31"/>
      <c r="J333" s="27" t="e">
        <f>VLOOKUP(I333,Sheet2!$B$1:$C$62,2,FALSE)</f>
        <v>#N/A</v>
      </c>
      <c r="K333" s="27" t="e">
        <f>VLOOKUP(J333,Sheet2!$C$1:$D$61,2,FALSE)</f>
        <v>#N/A</v>
      </c>
      <c r="L333" s="27"/>
      <c r="M333" s="27"/>
      <c r="N333" s="27"/>
      <c r="O333" s="27"/>
      <c r="P333" s="28"/>
      <c r="Q333" s="5" t="str">
        <f t="shared" si="17"/>
        <v>ทันกำหนด</v>
      </c>
      <c r="R333" s="6"/>
      <c r="S333" s="7"/>
    </row>
    <row r="334" spans="1:19" ht="27.75" customHeight="1">
      <c r="A334" s="3">
        <v>332</v>
      </c>
      <c r="B334" s="27"/>
      <c r="C334" s="29"/>
      <c r="D334" s="30"/>
      <c r="E334" s="31"/>
      <c r="F334" s="31"/>
      <c r="G334" s="31">
        <f t="shared" si="15"/>
        <v>0</v>
      </c>
      <c r="H334" s="31" t="str">
        <f t="shared" si="16"/>
        <v>ครบ</v>
      </c>
      <c r="I334" s="31"/>
      <c r="J334" s="27" t="e">
        <f>VLOOKUP(I334,Sheet2!$B$1:$C$62,2,FALSE)</f>
        <v>#N/A</v>
      </c>
      <c r="K334" s="27" t="e">
        <f>VLOOKUP(J334,Sheet2!$C$1:$D$61,2,FALSE)</f>
        <v>#N/A</v>
      </c>
      <c r="L334" s="27"/>
      <c r="M334" s="27"/>
      <c r="N334" s="27"/>
      <c r="O334" s="27"/>
      <c r="P334" s="28"/>
      <c r="Q334" s="5" t="str">
        <f t="shared" si="17"/>
        <v>ทันกำหนด</v>
      </c>
      <c r="R334" s="6"/>
      <c r="S334" s="7"/>
    </row>
    <row r="335" spans="1:19" ht="27.75" customHeight="1">
      <c r="A335" s="3">
        <v>333</v>
      </c>
      <c r="B335" s="27"/>
      <c r="C335" s="29"/>
      <c r="D335" s="30"/>
      <c r="E335" s="31"/>
      <c r="F335" s="31"/>
      <c r="G335" s="31">
        <f t="shared" si="15"/>
        <v>0</v>
      </c>
      <c r="H335" s="31" t="str">
        <f t="shared" si="16"/>
        <v>ครบ</v>
      </c>
      <c r="I335" s="31"/>
      <c r="J335" s="27" t="e">
        <f>VLOOKUP(I335,Sheet2!$B$1:$C$62,2,FALSE)</f>
        <v>#N/A</v>
      </c>
      <c r="K335" s="27" t="e">
        <f>VLOOKUP(J335,Sheet2!$C$1:$D$61,2,FALSE)</f>
        <v>#N/A</v>
      </c>
      <c r="L335" s="27"/>
      <c r="M335" s="27"/>
      <c r="N335" s="27"/>
      <c r="O335" s="27"/>
      <c r="P335" s="28"/>
      <c r="Q335" s="5" t="str">
        <f t="shared" si="17"/>
        <v>ทันกำหนด</v>
      </c>
      <c r="R335" s="6"/>
      <c r="S335" s="7"/>
    </row>
    <row r="336" spans="1:19" ht="27.75" customHeight="1">
      <c r="A336" s="3">
        <v>334</v>
      </c>
      <c r="B336" s="27"/>
      <c r="C336" s="29"/>
      <c r="D336" s="30"/>
      <c r="E336" s="31"/>
      <c r="F336" s="31"/>
      <c r="G336" s="31">
        <f t="shared" si="15"/>
        <v>0</v>
      </c>
      <c r="H336" s="31" t="str">
        <f t="shared" si="16"/>
        <v>ครบ</v>
      </c>
      <c r="I336" s="31"/>
      <c r="J336" s="27" t="e">
        <f>VLOOKUP(I336,Sheet2!$B$1:$C$62,2,FALSE)</f>
        <v>#N/A</v>
      </c>
      <c r="K336" s="27" t="e">
        <f>VLOOKUP(J336,Sheet2!$C$1:$D$61,2,FALSE)</f>
        <v>#N/A</v>
      </c>
      <c r="L336" s="27"/>
      <c r="M336" s="27"/>
      <c r="N336" s="27"/>
      <c r="O336" s="27"/>
      <c r="P336" s="28"/>
      <c r="Q336" s="5" t="str">
        <f t="shared" si="17"/>
        <v>ทันกำหนด</v>
      </c>
      <c r="R336" s="6"/>
      <c r="S336" s="7"/>
    </row>
    <row r="337" spans="1:19" ht="27.75" customHeight="1">
      <c r="A337" s="3">
        <v>335</v>
      </c>
      <c r="B337" s="27"/>
      <c r="C337" s="29"/>
      <c r="D337" s="30"/>
      <c r="E337" s="31"/>
      <c r="F337" s="31"/>
      <c r="G337" s="31">
        <f t="shared" si="15"/>
        <v>0</v>
      </c>
      <c r="H337" s="31" t="str">
        <f t="shared" si="16"/>
        <v>ครบ</v>
      </c>
      <c r="I337" s="31"/>
      <c r="J337" s="27" t="e">
        <f>VLOOKUP(I337,Sheet2!$B$1:$C$62,2,FALSE)</f>
        <v>#N/A</v>
      </c>
      <c r="K337" s="27" t="e">
        <f>VLOOKUP(J337,Sheet2!$C$1:$D$61,2,FALSE)</f>
        <v>#N/A</v>
      </c>
      <c r="L337" s="27"/>
      <c r="M337" s="27"/>
      <c r="N337" s="27"/>
      <c r="O337" s="27"/>
      <c r="P337" s="28"/>
      <c r="Q337" s="5" t="str">
        <f t="shared" si="17"/>
        <v>ทันกำหนด</v>
      </c>
      <c r="R337" s="6"/>
      <c r="S337" s="7"/>
    </row>
    <row r="338" spans="1:19" ht="27.75" customHeight="1">
      <c r="A338" s="3">
        <v>336</v>
      </c>
      <c r="B338" s="27"/>
      <c r="C338" s="29"/>
      <c r="D338" s="30"/>
      <c r="E338" s="31"/>
      <c r="F338" s="31"/>
      <c r="G338" s="31">
        <f t="shared" si="15"/>
        <v>0</v>
      </c>
      <c r="H338" s="31" t="str">
        <f t="shared" si="16"/>
        <v>ครบ</v>
      </c>
      <c r="I338" s="31"/>
      <c r="J338" s="27" t="e">
        <f>VLOOKUP(I338,Sheet2!$B$1:$C$62,2,FALSE)</f>
        <v>#N/A</v>
      </c>
      <c r="K338" s="27" t="e">
        <f>VLOOKUP(J338,Sheet2!$C$1:$D$61,2,FALSE)</f>
        <v>#N/A</v>
      </c>
      <c r="L338" s="27"/>
      <c r="M338" s="27"/>
      <c r="N338" s="27"/>
      <c r="O338" s="27"/>
      <c r="P338" s="28"/>
      <c r="Q338" s="5" t="str">
        <f t="shared" si="17"/>
        <v>ทันกำหนด</v>
      </c>
      <c r="R338" s="6"/>
      <c r="S338" s="7"/>
    </row>
    <row r="339" spans="1:19" ht="27.75" customHeight="1">
      <c r="A339" s="3">
        <v>337</v>
      </c>
      <c r="B339" s="27"/>
      <c r="C339" s="29"/>
      <c r="D339" s="30"/>
      <c r="E339" s="31"/>
      <c r="F339" s="31"/>
      <c r="G339" s="31">
        <f t="shared" si="15"/>
        <v>0</v>
      </c>
      <c r="H339" s="31" t="str">
        <f t="shared" si="16"/>
        <v>ครบ</v>
      </c>
      <c r="I339" s="31"/>
      <c r="J339" s="27" t="e">
        <f>VLOOKUP(I339,Sheet2!$B$1:$C$62,2,FALSE)</f>
        <v>#N/A</v>
      </c>
      <c r="K339" s="27" t="e">
        <f>VLOOKUP(J339,Sheet2!$C$1:$D$61,2,FALSE)</f>
        <v>#N/A</v>
      </c>
      <c r="L339" s="27"/>
      <c r="M339" s="27"/>
      <c r="N339" s="27"/>
      <c r="O339" s="27"/>
      <c r="P339" s="28"/>
      <c r="Q339" s="5" t="str">
        <f t="shared" si="17"/>
        <v>ทันกำหนด</v>
      </c>
      <c r="R339" s="6"/>
      <c r="S339" s="7"/>
    </row>
    <row r="340" spans="1:19" ht="27.75" customHeight="1">
      <c r="A340" s="3">
        <v>338</v>
      </c>
      <c r="B340" s="27"/>
      <c r="C340" s="29"/>
      <c r="D340" s="30"/>
      <c r="E340" s="31"/>
      <c r="F340" s="31"/>
      <c r="G340" s="31">
        <f t="shared" si="15"/>
        <v>0</v>
      </c>
      <c r="H340" s="31" t="str">
        <f t="shared" si="16"/>
        <v>ครบ</v>
      </c>
      <c r="I340" s="31"/>
      <c r="J340" s="27" t="e">
        <f>VLOOKUP(I340,Sheet2!$B$1:$C$62,2,FALSE)</f>
        <v>#N/A</v>
      </c>
      <c r="K340" s="27" t="e">
        <f>VLOOKUP(J340,Sheet2!$C$1:$D$61,2,FALSE)</f>
        <v>#N/A</v>
      </c>
      <c r="L340" s="27"/>
      <c r="M340" s="27"/>
      <c r="N340" s="27"/>
      <c r="O340" s="27"/>
      <c r="P340" s="28"/>
      <c r="Q340" s="5" t="str">
        <f t="shared" si="17"/>
        <v>ทันกำหนด</v>
      </c>
      <c r="R340" s="6"/>
      <c r="S340" s="7"/>
    </row>
    <row r="341" spans="1:19" ht="27.75" customHeight="1">
      <c r="A341" s="3">
        <v>339</v>
      </c>
      <c r="B341" s="27"/>
      <c r="C341" s="29"/>
      <c r="D341" s="30"/>
      <c r="E341" s="31"/>
      <c r="F341" s="31"/>
      <c r="G341" s="31">
        <f t="shared" si="15"/>
        <v>0</v>
      </c>
      <c r="H341" s="31" t="str">
        <f t="shared" si="16"/>
        <v>ครบ</v>
      </c>
      <c r="I341" s="31"/>
      <c r="J341" s="27" t="e">
        <f>VLOOKUP(I341,Sheet2!$B$1:$C$62,2,FALSE)</f>
        <v>#N/A</v>
      </c>
      <c r="K341" s="27" t="e">
        <f>VLOOKUP(J341,Sheet2!$C$1:$D$61,2,FALSE)</f>
        <v>#N/A</v>
      </c>
      <c r="L341" s="27"/>
      <c r="M341" s="27"/>
      <c r="N341" s="27"/>
      <c r="O341" s="27"/>
      <c r="P341" s="28"/>
      <c r="Q341" s="5" t="str">
        <f t="shared" si="17"/>
        <v>ทันกำหนด</v>
      </c>
      <c r="R341" s="6"/>
      <c r="S341" s="7"/>
    </row>
    <row r="342" spans="1:19" ht="27.75" customHeight="1">
      <c r="A342" s="3">
        <v>340</v>
      </c>
      <c r="B342" s="27"/>
      <c r="C342" s="29"/>
      <c r="D342" s="30"/>
      <c r="E342" s="31"/>
      <c r="F342" s="31"/>
      <c r="G342" s="31">
        <f t="shared" si="15"/>
        <v>0</v>
      </c>
      <c r="H342" s="31" t="str">
        <f t="shared" si="16"/>
        <v>ครบ</v>
      </c>
      <c r="I342" s="31"/>
      <c r="J342" s="27" t="e">
        <f>VLOOKUP(I342,Sheet2!$B$1:$C$62,2,FALSE)</f>
        <v>#N/A</v>
      </c>
      <c r="K342" s="27" t="e">
        <f>VLOOKUP(J342,Sheet2!$C$1:$D$61,2,FALSE)</f>
        <v>#N/A</v>
      </c>
      <c r="L342" s="27"/>
      <c r="M342" s="27"/>
      <c r="N342" s="27"/>
      <c r="O342" s="27"/>
      <c r="P342" s="28"/>
      <c r="Q342" s="5" t="str">
        <f t="shared" si="17"/>
        <v>ทันกำหนด</v>
      </c>
      <c r="R342" s="6"/>
      <c r="S342" s="7"/>
    </row>
    <row r="343" spans="1:19" ht="27.75" customHeight="1">
      <c r="A343" s="3">
        <v>341</v>
      </c>
      <c r="B343" s="27"/>
      <c r="C343" s="29"/>
      <c r="D343" s="30"/>
      <c r="E343" s="31"/>
      <c r="F343" s="31"/>
      <c r="G343" s="31">
        <f t="shared" si="15"/>
        <v>0</v>
      </c>
      <c r="H343" s="31" t="str">
        <f t="shared" si="16"/>
        <v>ครบ</v>
      </c>
      <c r="I343" s="31"/>
      <c r="J343" s="27" t="e">
        <f>VLOOKUP(I343,Sheet2!$B$1:$C$62,2,FALSE)</f>
        <v>#N/A</v>
      </c>
      <c r="K343" s="27" t="e">
        <f>VLOOKUP(J343,Sheet2!$C$1:$D$61,2,FALSE)</f>
        <v>#N/A</v>
      </c>
      <c r="L343" s="27"/>
      <c r="M343" s="27"/>
      <c r="N343" s="27"/>
      <c r="O343" s="27"/>
      <c r="P343" s="28"/>
      <c r="Q343" s="5" t="str">
        <f t="shared" si="17"/>
        <v>ทันกำหนด</v>
      </c>
      <c r="R343" s="6"/>
      <c r="S343" s="7"/>
    </row>
    <row r="344" spans="1:19" ht="27.75" customHeight="1">
      <c r="A344" s="3">
        <v>342</v>
      </c>
      <c r="B344" s="27"/>
      <c r="C344" s="29"/>
      <c r="D344" s="30"/>
      <c r="E344" s="31"/>
      <c r="F344" s="31"/>
      <c r="G344" s="31">
        <f t="shared" si="15"/>
        <v>0</v>
      </c>
      <c r="H344" s="31" t="str">
        <f t="shared" si="16"/>
        <v>ครบ</v>
      </c>
      <c r="I344" s="31"/>
      <c r="J344" s="27" t="e">
        <f>VLOOKUP(I344,Sheet2!$B$1:$C$62,2,FALSE)</f>
        <v>#N/A</v>
      </c>
      <c r="K344" s="27" t="e">
        <f>VLOOKUP(J344,Sheet2!$C$1:$D$61,2,FALSE)</f>
        <v>#N/A</v>
      </c>
      <c r="L344" s="27"/>
      <c r="M344" s="27"/>
      <c r="N344" s="27"/>
      <c r="O344" s="27"/>
      <c r="P344" s="28"/>
      <c r="Q344" s="5" t="str">
        <f t="shared" si="17"/>
        <v>ทันกำหนด</v>
      </c>
      <c r="R344" s="6"/>
      <c r="S344" s="7"/>
    </row>
    <row r="345" spans="1:19" ht="27.75" customHeight="1">
      <c r="A345" s="3">
        <v>343</v>
      </c>
      <c r="B345" s="27"/>
      <c r="C345" s="29"/>
      <c r="D345" s="30"/>
      <c r="E345" s="31"/>
      <c r="F345" s="31"/>
      <c r="G345" s="31">
        <f t="shared" si="15"/>
        <v>0</v>
      </c>
      <c r="H345" s="31" t="str">
        <f t="shared" si="16"/>
        <v>ครบ</v>
      </c>
      <c r="I345" s="31"/>
      <c r="J345" s="27" t="e">
        <f>VLOOKUP(I345,Sheet2!$B$1:$C$62,2,FALSE)</f>
        <v>#N/A</v>
      </c>
      <c r="K345" s="27" t="e">
        <f>VLOOKUP(J345,Sheet2!$C$1:$D$61,2,FALSE)</f>
        <v>#N/A</v>
      </c>
      <c r="L345" s="27"/>
      <c r="M345" s="27"/>
      <c r="N345" s="27"/>
      <c r="O345" s="27"/>
      <c r="P345" s="28"/>
      <c r="Q345" s="5" t="str">
        <f t="shared" si="17"/>
        <v>ทันกำหนด</v>
      </c>
      <c r="R345" s="6"/>
      <c r="S345" s="7"/>
    </row>
    <row r="346" spans="1:19" ht="27.75" customHeight="1">
      <c r="A346" s="3">
        <v>344</v>
      </c>
      <c r="B346" s="27"/>
      <c r="C346" s="29"/>
      <c r="D346" s="30"/>
      <c r="E346" s="31"/>
      <c r="F346" s="31"/>
      <c r="G346" s="31">
        <f t="shared" si="15"/>
        <v>0</v>
      </c>
      <c r="H346" s="31" t="str">
        <f t="shared" si="16"/>
        <v>ครบ</v>
      </c>
      <c r="I346" s="31"/>
      <c r="J346" s="27" t="e">
        <f>VLOOKUP(I346,Sheet2!$B$1:$C$62,2,FALSE)</f>
        <v>#N/A</v>
      </c>
      <c r="K346" s="27" t="e">
        <f>VLOOKUP(J346,Sheet2!$C$1:$D$61,2,FALSE)</f>
        <v>#N/A</v>
      </c>
      <c r="L346" s="27"/>
      <c r="M346" s="27"/>
      <c r="N346" s="27"/>
      <c r="O346" s="27"/>
      <c r="P346" s="28"/>
      <c r="Q346" s="5" t="str">
        <f t="shared" si="17"/>
        <v>ทันกำหนด</v>
      </c>
      <c r="R346" s="6"/>
      <c r="S346" s="7"/>
    </row>
    <row r="347" spans="1:19" ht="27.75" customHeight="1">
      <c r="A347" s="3">
        <v>345</v>
      </c>
      <c r="B347" s="27"/>
      <c r="C347" s="29"/>
      <c r="D347" s="30"/>
      <c r="E347" s="31"/>
      <c r="F347" s="31"/>
      <c r="G347" s="31">
        <f t="shared" si="15"/>
        <v>0</v>
      </c>
      <c r="H347" s="31" t="str">
        <f t="shared" si="16"/>
        <v>ครบ</v>
      </c>
      <c r="I347" s="31"/>
      <c r="J347" s="27" t="e">
        <f>VLOOKUP(I347,Sheet2!$B$1:$C$62,2,FALSE)</f>
        <v>#N/A</v>
      </c>
      <c r="K347" s="27" t="e">
        <f>VLOOKUP(J347,Sheet2!$C$1:$D$61,2,FALSE)</f>
        <v>#N/A</v>
      </c>
      <c r="L347" s="27"/>
      <c r="M347" s="27"/>
      <c r="N347" s="27"/>
      <c r="O347" s="27"/>
      <c r="P347" s="28"/>
      <c r="Q347" s="5" t="str">
        <f t="shared" si="17"/>
        <v>ทันกำหนด</v>
      </c>
      <c r="R347" s="6"/>
      <c r="S347" s="7"/>
    </row>
    <row r="348" spans="1:19" ht="27.75" customHeight="1">
      <c r="A348" s="3">
        <v>346</v>
      </c>
      <c r="B348" s="27"/>
      <c r="C348" s="29"/>
      <c r="D348" s="30"/>
      <c r="E348" s="31"/>
      <c r="F348" s="31"/>
      <c r="G348" s="31">
        <f t="shared" si="15"/>
        <v>0</v>
      </c>
      <c r="H348" s="31" t="str">
        <f t="shared" si="16"/>
        <v>ครบ</v>
      </c>
      <c r="I348" s="31"/>
      <c r="J348" s="27" t="e">
        <f>VLOOKUP(I348,Sheet2!$B$1:$C$62,2,FALSE)</f>
        <v>#N/A</v>
      </c>
      <c r="K348" s="27" t="e">
        <f>VLOOKUP(J348,Sheet2!$C$1:$D$61,2,FALSE)</f>
        <v>#N/A</v>
      </c>
      <c r="L348" s="27"/>
      <c r="M348" s="27"/>
      <c r="N348" s="27"/>
      <c r="O348" s="27"/>
      <c r="P348" s="28"/>
      <c r="Q348" s="5" t="str">
        <f t="shared" si="17"/>
        <v>ทันกำหนด</v>
      </c>
      <c r="R348" s="6"/>
      <c r="S348" s="7"/>
    </row>
    <row r="349" spans="1:19" ht="27.75" customHeight="1">
      <c r="A349" s="3">
        <v>347</v>
      </c>
      <c r="B349" s="27"/>
      <c r="C349" s="29"/>
      <c r="D349" s="30"/>
      <c r="E349" s="31"/>
      <c r="F349" s="31"/>
      <c r="G349" s="31">
        <f t="shared" si="15"/>
        <v>0</v>
      </c>
      <c r="H349" s="31" t="str">
        <f t="shared" si="16"/>
        <v>ครบ</v>
      </c>
      <c r="I349" s="31"/>
      <c r="J349" s="27" t="e">
        <f>VLOOKUP(I349,Sheet2!$B$1:$C$62,2,FALSE)</f>
        <v>#N/A</v>
      </c>
      <c r="K349" s="27" t="e">
        <f>VLOOKUP(J349,Sheet2!$C$1:$D$61,2,FALSE)</f>
        <v>#N/A</v>
      </c>
      <c r="L349" s="27"/>
      <c r="M349" s="27"/>
      <c r="N349" s="27"/>
      <c r="O349" s="27"/>
      <c r="P349" s="28"/>
      <c r="Q349" s="5" t="str">
        <f t="shared" si="17"/>
        <v>ทันกำหนด</v>
      </c>
      <c r="R349" s="6"/>
      <c r="S349" s="7"/>
    </row>
    <row r="350" spans="1:19" ht="27.75" customHeight="1">
      <c r="A350" s="3">
        <v>348</v>
      </c>
      <c r="B350" s="27"/>
      <c r="C350" s="29"/>
      <c r="D350" s="30"/>
      <c r="E350" s="31"/>
      <c r="F350" s="31"/>
      <c r="G350" s="31">
        <f t="shared" si="15"/>
        <v>0</v>
      </c>
      <c r="H350" s="31" t="str">
        <f t="shared" si="16"/>
        <v>ครบ</v>
      </c>
      <c r="I350" s="31"/>
      <c r="J350" s="27" t="e">
        <f>VLOOKUP(I350,Sheet2!$B$1:$C$62,2,FALSE)</f>
        <v>#N/A</v>
      </c>
      <c r="K350" s="27" t="e">
        <f>VLOOKUP(J350,Sheet2!$C$1:$D$61,2,FALSE)</f>
        <v>#N/A</v>
      </c>
      <c r="L350" s="27"/>
      <c r="M350" s="27"/>
      <c r="N350" s="27"/>
      <c r="O350" s="27"/>
      <c r="P350" s="28"/>
      <c r="Q350" s="5" t="str">
        <f t="shared" si="17"/>
        <v>ทันกำหนด</v>
      </c>
      <c r="R350" s="6"/>
      <c r="S350" s="7"/>
    </row>
    <row r="351" spans="1:19" ht="27.75" customHeight="1">
      <c r="A351" s="3">
        <v>349</v>
      </c>
      <c r="B351" s="27"/>
      <c r="C351" s="29"/>
      <c r="D351" s="30"/>
      <c r="E351" s="31"/>
      <c r="F351" s="31"/>
      <c r="G351" s="31">
        <f t="shared" si="15"/>
        <v>0</v>
      </c>
      <c r="H351" s="31" t="str">
        <f t="shared" si="16"/>
        <v>ครบ</v>
      </c>
      <c r="I351" s="31"/>
      <c r="J351" s="27" t="e">
        <f>VLOOKUP(I351,Sheet2!$B$1:$C$62,2,FALSE)</f>
        <v>#N/A</v>
      </c>
      <c r="K351" s="27" t="e">
        <f>VLOOKUP(J351,Sheet2!$C$1:$D$61,2,FALSE)</f>
        <v>#N/A</v>
      </c>
      <c r="L351" s="27"/>
      <c r="M351" s="27"/>
      <c r="N351" s="27"/>
      <c r="O351" s="27"/>
      <c r="P351" s="28"/>
      <c r="Q351" s="5" t="str">
        <f t="shared" si="17"/>
        <v>ทันกำหนด</v>
      </c>
      <c r="R351" s="6"/>
      <c r="S351" s="7"/>
    </row>
    <row r="352" spans="1:19" ht="27.75" customHeight="1">
      <c r="A352" s="3">
        <v>350</v>
      </c>
      <c r="B352" s="27"/>
      <c r="C352" s="29"/>
      <c r="D352" s="30"/>
      <c r="E352" s="31"/>
      <c r="F352" s="31"/>
      <c r="G352" s="31">
        <f t="shared" si="15"/>
        <v>0</v>
      </c>
      <c r="H352" s="31" t="str">
        <f t="shared" si="16"/>
        <v>ครบ</v>
      </c>
      <c r="I352" s="31"/>
      <c r="J352" s="27" t="e">
        <f>VLOOKUP(I352,Sheet2!$B$1:$C$62,2,FALSE)</f>
        <v>#N/A</v>
      </c>
      <c r="K352" s="27" t="e">
        <f>VLOOKUP(J352,Sheet2!$C$1:$D$61,2,FALSE)</f>
        <v>#N/A</v>
      </c>
      <c r="L352" s="27"/>
      <c r="M352" s="27"/>
      <c r="N352" s="27"/>
      <c r="O352" s="27"/>
      <c r="P352" s="28"/>
      <c r="Q352" s="5" t="str">
        <f t="shared" si="17"/>
        <v>ทันกำหนด</v>
      </c>
      <c r="R352" s="6"/>
      <c r="S352" s="7"/>
    </row>
    <row r="353" spans="1:19" ht="27.75" customHeight="1">
      <c r="A353" s="3">
        <v>351</v>
      </c>
      <c r="B353" s="27"/>
      <c r="C353" s="29"/>
      <c r="D353" s="30"/>
      <c r="E353" s="31"/>
      <c r="F353" s="31"/>
      <c r="G353" s="31">
        <f t="shared" si="15"/>
        <v>0</v>
      </c>
      <c r="H353" s="31" t="str">
        <f t="shared" si="16"/>
        <v>ครบ</v>
      </c>
      <c r="I353" s="31"/>
      <c r="J353" s="27" t="e">
        <f>VLOOKUP(I353,Sheet2!$B$1:$C$62,2,FALSE)</f>
        <v>#N/A</v>
      </c>
      <c r="K353" s="27" t="e">
        <f>VLOOKUP(J353,Sheet2!$C$1:$D$61,2,FALSE)</f>
        <v>#N/A</v>
      </c>
      <c r="L353" s="27"/>
      <c r="M353" s="27"/>
      <c r="N353" s="27"/>
      <c r="O353" s="27"/>
      <c r="P353" s="28"/>
      <c r="Q353" s="5" t="str">
        <f t="shared" si="17"/>
        <v>ทันกำหนด</v>
      </c>
      <c r="R353" s="6"/>
      <c r="S353" s="7"/>
    </row>
    <row r="354" spans="1:19" ht="27.75" customHeight="1">
      <c r="A354" s="3">
        <v>352</v>
      </c>
      <c r="B354" s="27"/>
      <c r="C354" s="29"/>
      <c r="D354" s="30"/>
      <c r="E354" s="31"/>
      <c r="F354" s="31"/>
      <c r="G354" s="31">
        <f t="shared" si="15"/>
        <v>0</v>
      </c>
      <c r="H354" s="31" t="str">
        <f t="shared" si="16"/>
        <v>ครบ</v>
      </c>
      <c r="I354" s="31"/>
      <c r="J354" s="27" t="e">
        <f>VLOOKUP(I354,Sheet2!$B$1:$C$62,2,FALSE)</f>
        <v>#N/A</v>
      </c>
      <c r="K354" s="27" t="e">
        <f>VLOOKUP(J354,Sheet2!$C$1:$D$61,2,FALSE)</f>
        <v>#N/A</v>
      </c>
      <c r="L354" s="27"/>
      <c r="M354" s="27"/>
      <c r="N354" s="27"/>
      <c r="O354" s="27"/>
      <c r="P354" s="28"/>
      <c r="Q354" s="5" t="str">
        <f t="shared" si="17"/>
        <v>ทันกำหนด</v>
      </c>
      <c r="R354" s="6"/>
      <c r="S354" s="7"/>
    </row>
    <row r="355" spans="1:19" ht="27.75" customHeight="1">
      <c r="A355" s="3">
        <v>353</v>
      </c>
      <c r="B355" s="27"/>
      <c r="C355" s="29"/>
      <c r="D355" s="30"/>
      <c r="E355" s="31"/>
      <c r="F355" s="31"/>
      <c r="G355" s="31">
        <f t="shared" si="15"/>
        <v>0</v>
      </c>
      <c r="H355" s="31" t="str">
        <f t="shared" si="16"/>
        <v>ครบ</v>
      </c>
      <c r="I355" s="31"/>
      <c r="J355" s="27" t="e">
        <f>VLOOKUP(I355,Sheet2!$B$1:$C$62,2,FALSE)</f>
        <v>#N/A</v>
      </c>
      <c r="K355" s="27" t="e">
        <f>VLOOKUP(J355,Sheet2!$C$1:$D$61,2,FALSE)</f>
        <v>#N/A</v>
      </c>
      <c r="L355" s="27"/>
      <c r="M355" s="27"/>
      <c r="N355" s="27"/>
      <c r="O355" s="27"/>
      <c r="P355" s="28"/>
      <c r="Q355" s="5" t="str">
        <f t="shared" si="17"/>
        <v>ทันกำหนด</v>
      </c>
      <c r="R355" s="6"/>
      <c r="S355" s="7"/>
    </row>
    <row r="356" spans="1:19" ht="27.75" customHeight="1">
      <c r="A356" s="3">
        <v>354</v>
      </c>
      <c r="B356" s="27"/>
      <c r="C356" s="29"/>
      <c r="D356" s="30"/>
      <c r="E356" s="31"/>
      <c r="F356" s="31"/>
      <c r="G356" s="31">
        <f t="shared" si="15"/>
        <v>0</v>
      </c>
      <c r="H356" s="31" t="str">
        <f t="shared" si="16"/>
        <v>ครบ</v>
      </c>
      <c r="I356" s="31"/>
      <c r="J356" s="27" t="e">
        <f>VLOOKUP(I356,Sheet2!$B$1:$C$62,2,FALSE)</f>
        <v>#N/A</v>
      </c>
      <c r="K356" s="27" t="e">
        <f>VLOOKUP(J356,Sheet2!$C$1:$D$61,2,FALSE)</f>
        <v>#N/A</v>
      </c>
      <c r="L356" s="27"/>
      <c r="M356" s="27"/>
      <c r="N356" s="27"/>
      <c r="O356" s="27"/>
      <c r="P356" s="28"/>
      <c r="Q356" s="5" t="str">
        <f t="shared" si="17"/>
        <v>ทันกำหนด</v>
      </c>
      <c r="R356" s="6"/>
      <c r="S356" s="7"/>
    </row>
    <row r="357" spans="1:19" ht="27.75" customHeight="1">
      <c r="A357" s="3">
        <v>355</v>
      </c>
      <c r="B357" s="27"/>
      <c r="C357" s="29"/>
      <c r="D357" s="30"/>
      <c r="E357" s="31"/>
      <c r="F357" s="31"/>
      <c r="G357" s="31">
        <f t="shared" si="15"/>
        <v>0</v>
      </c>
      <c r="H357" s="31" t="str">
        <f t="shared" si="16"/>
        <v>ครบ</v>
      </c>
      <c r="I357" s="31"/>
      <c r="J357" s="27" t="e">
        <f>VLOOKUP(I357,Sheet2!$B$1:$C$62,2,FALSE)</f>
        <v>#N/A</v>
      </c>
      <c r="K357" s="27" t="e">
        <f>VLOOKUP(J357,Sheet2!$C$1:$D$61,2,FALSE)</f>
        <v>#N/A</v>
      </c>
      <c r="L357" s="27"/>
      <c r="M357" s="27"/>
      <c r="N357" s="27"/>
      <c r="O357" s="27"/>
      <c r="P357" s="28"/>
      <c r="Q357" s="5" t="str">
        <f t="shared" si="17"/>
        <v>ทันกำหนด</v>
      </c>
      <c r="R357" s="6"/>
      <c r="S357" s="7"/>
    </row>
    <row r="358" spans="1:19" ht="27.75" customHeight="1">
      <c r="A358" s="3">
        <v>356</v>
      </c>
      <c r="B358" s="27"/>
      <c r="C358" s="29"/>
      <c r="D358" s="30"/>
      <c r="E358" s="31"/>
      <c r="F358" s="31"/>
      <c r="G358" s="31">
        <f t="shared" si="15"/>
        <v>0</v>
      </c>
      <c r="H358" s="31" t="str">
        <f t="shared" si="16"/>
        <v>ครบ</v>
      </c>
      <c r="I358" s="31"/>
      <c r="J358" s="27" t="e">
        <f>VLOOKUP(I358,Sheet2!$B$1:$C$62,2,FALSE)</f>
        <v>#N/A</v>
      </c>
      <c r="K358" s="27" t="e">
        <f>VLOOKUP(J358,Sheet2!$C$1:$D$61,2,FALSE)</f>
        <v>#N/A</v>
      </c>
      <c r="L358" s="27"/>
      <c r="M358" s="27"/>
      <c r="N358" s="27"/>
      <c r="O358" s="27"/>
      <c r="P358" s="28"/>
      <c r="Q358" s="5" t="str">
        <f t="shared" si="17"/>
        <v>ทันกำหนด</v>
      </c>
      <c r="R358" s="6"/>
      <c r="S358" s="7"/>
    </row>
    <row r="359" spans="1:19" ht="27.75" customHeight="1">
      <c r="A359" s="3">
        <v>357</v>
      </c>
      <c r="B359" s="27"/>
      <c r="C359" s="29"/>
      <c r="D359" s="30"/>
      <c r="E359" s="31"/>
      <c r="F359" s="31"/>
      <c r="G359" s="31">
        <f t="shared" si="15"/>
        <v>0</v>
      </c>
      <c r="H359" s="31" t="str">
        <f t="shared" si="16"/>
        <v>ครบ</v>
      </c>
      <c r="I359" s="31"/>
      <c r="J359" s="27" t="e">
        <f>VLOOKUP(I359,Sheet2!$B$1:$C$62,2,FALSE)</f>
        <v>#N/A</v>
      </c>
      <c r="K359" s="27" t="e">
        <f>VLOOKUP(J359,Sheet2!$C$1:$D$61,2,FALSE)</f>
        <v>#N/A</v>
      </c>
      <c r="L359" s="27"/>
      <c r="M359" s="27"/>
      <c r="N359" s="27"/>
      <c r="O359" s="27"/>
      <c r="P359" s="28"/>
      <c r="Q359" s="5" t="str">
        <f t="shared" si="17"/>
        <v>ทันกำหนด</v>
      </c>
      <c r="R359" s="6"/>
      <c r="S359" s="7"/>
    </row>
    <row r="360" spans="1:19" ht="27.75" customHeight="1">
      <c r="A360" s="3">
        <v>358</v>
      </c>
      <c r="B360" s="27"/>
      <c r="C360" s="29"/>
      <c r="D360" s="30"/>
      <c r="E360" s="31"/>
      <c r="F360" s="31"/>
      <c r="G360" s="31">
        <f t="shared" si="15"/>
        <v>0</v>
      </c>
      <c r="H360" s="31" t="str">
        <f t="shared" si="16"/>
        <v>ครบ</v>
      </c>
      <c r="I360" s="31"/>
      <c r="J360" s="27" t="e">
        <f>VLOOKUP(I360,Sheet2!$B$1:$C$62,2,FALSE)</f>
        <v>#N/A</v>
      </c>
      <c r="K360" s="27" t="e">
        <f>VLOOKUP(J360,Sheet2!$C$1:$D$61,2,FALSE)</f>
        <v>#N/A</v>
      </c>
      <c r="L360" s="27"/>
      <c r="M360" s="27"/>
      <c r="N360" s="27"/>
      <c r="O360" s="27"/>
      <c r="P360" s="28"/>
      <c r="Q360" s="5" t="str">
        <f t="shared" si="17"/>
        <v>ทันกำหนด</v>
      </c>
      <c r="R360" s="6"/>
      <c r="S360" s="7"/>
    </row>
    <row r="361" spans="1:19" ht="27.75" customHeight="1">
      <c r="A361" s="3">
        <v>359</v>
      </c>
      <c r="B361" s="27"/>
      <c r="C361" s="29"/>
      <c r="D361" s="30"/>
      <c r="E361" s="31"/>
      <c r="F361" s="31"/>
      <c r="G361" s="31">
        <f t="shared" si="15"/>
        <v>0</v>
      </c>
      <c r="H361" s="31" t="str">
        <f t="shared" si="16"/>
        <v>ครบ</v>
      </c>
      <c r="I361" s="31"/>
      <c r="J361" s="27" t="e">
        <f>VLOOKUP(I361,Sheet2!$B$1:$C$62,2,FALSE)</f>
        <v>#N/A</v>
      </c>
      <c r="K361" s="27" t="e">
        <f>VLOOKUP(J361,Sheet2!$C$1:$D$61,2,FALSE)</f>
        <v>#N/A</v>
      </c>
      <c r="L361" s="27"/>
      <c r="M361" s="27"/>
      <c r="N361" s="27"/>
      <c r="O361" s="27"/>
      <c r="P361" s="28"/>
      <c r="Q361" s="5" t="str">
        <f t="shared" si="17"/>
        <v>ทันกำหนด</v>
      </c>
      <c r="R361" s="6"/>
      <c r="S361" s="7"/>
    </row>
    <row r="362" spans="1:19" ht="27.75" customHeight="1">
      <c r="A362" s="3">
        <v>360</v>
      </c>
      <c r="B362" s="27"/>
      <c r="C362" s="29"/>
      <c r="D362" s="30"/>
      <c r="E362" s="31"/>
      <c r="F362" s="31"/>
      <c r="G362" s="31">
        <f t="shared" si="15"/>
        <v>0</v>
      </c>
      <c r="H362" s="31" t="str">
        <f t="shared" si="16"/>
        <v>ครบ</v>
      </c>
      <c r="I362" s="31"/>
      <c r="J362" s="27" t="e">
        <f>VLOOKUP(I362,Sheet2!$B$1:$C$62,2,FALSE)</f>
        <v>#N/A</v>
      </c>
      <c r="K362" s="27" t="e">
        <f>VLOOKUP(J362,Sheet2!$C$1:$D$61,2,FALSE)</f>
        <v>#N/A</v>
      </c>
      <c r="L362" s="27"/>
      <c r="M362" s="27"/>
      <c r="N362" s="27"/>
      <c r="O362" s="27"/>
      <c r="P362" s="28"/>
      <c r="Q362" s="5" t="str">
        <f t="shared" si="17"/>
        <v>ทันกำหนด</v>
      </c>
      <c r="R362" s="6"/>
      <c r="S362" s="7"/>
    </row>
    <row r="363" spans="1:19" ht="27.75" customHeight="1">
      <c r="A363" s="3">
        <v>361</v>
      </c>
      <c r="B363" s="27"/>
      <c r="C363" s="29"/>
      <c r="D363" s="30"/>
      <c r="E363" s="31"/>
      <c r="F363" s="31"/>
      <c r="G363" s="31">
        <f t="shared" si="15"/>
        <v>0</v>
      </c>
      <c r="H363" s="31" t="str">
        <f t="shared" si="16"/>
        <v>ครบ</v>
      </c>
      <c r="I363" s="31"/>
      <c r="J363" s="27" t="e">
        <f>VLOOKUP(I363,Sheet2!$B$1:$C$62,2,FALSE)</f>
        <v>#N/A</v>
      </c>
      <c r="K363" s="27" t="e">
        <f>VLOOKUP(J363,Sheet2!$C$1:$D$61,2,FALSE)</f>
        <v>#N/A</v>
      </c>
      <c r="L363" s="27"/>
      <c r="M363" s="27"/>
      <c r="N363" s="27"/>
      <c r="O363" s="27"/>
      <c r="P363" s="28"/>
      <c r="Q363" s="5" t="str">
        <f t="shared" si="17"/>
        <v>ทันกำหนด</v>
      </c>
      <c r="R363" s="6"/>
      <c r="S363" s="7"/>
    </row>
    <row r="364" spans="1:19" ht="27.75" customHeight="1">
      <c r="A364" s="3">
        <v>362</v>
      </c>
      <c r="B364" s="27"/>
      <c r="C364" s="29"/>
      <c r="D364" s="30"/>
      <c r="E364" s="31"/>
      <c r="F364" s="31"/>
      <c r="G364" s="31">
        <f t="shared" si="15"/>
        <v>0</v>
      </c>
      <c r="H364" s="31" t="str">
        <f t="shared" si="16"/>
        <v>ครบ</v>
      </c>
      <c r="I364" s="31"/>
      <c r="J364" s="27" t="e">
        <f>VLOOKUP(I364,Sheet2!$B$1:$C$62,2,FALSE)</f>
        <v>#N/A</v>
      </c>
      <c r="K364" s="27" t="e">
        <f>VLOOKUP(J364,Sheet2!$C$1:$D$61,2,FALSE)</f>
        <v>#N/A</v>
      </c>
      <c r="L364" s="27"/>
      <c r="M364" s="27"/>
      <c r="N364" s="27"/>
      <c r="O364" s="27"/>
      <c r="P364" s="28"/>
      <c r="Q364" s="5" t="str">
        <f t="shared" si="17"/>
        <v>ทันกำหนด</v>
      </c>
      <c r="R364" s="6"/>
      <c r="S364" s="7"/>
    </row>
    <row r="365" spans="1:19" ht="27.75" customHeight="1">
      <c r="A365" s="3">
        <v>363</v>
      </c>
      <c r="B365" s="27"/>
      <c r="C365" s="29"/>
      <c r="D365" s="30"/>
      <c r="E365" s="31"/>
      <c r="F365" s="31"/>
      <c r="G365" s="31">
        <f t="shared" si="15"/>
        <v>0</v>
      </c>
      <c r="H365" s="31" t="str">
        <f t="shared" si="16"/>
        <v>ครบ</v>
      </c>
      <c r="I365" s="31"/>
      <c r="J365" s="27" t="e">
        <f>VLOOKUP(I365,Sheet2!$B$1:$C$62,2,FALSE)</f>
        <v>#N/A</v>
      </c>
      <c r="K365" s="27" t="e">
        <f>VLOOKUP(J365,Sheet2!$C$1:$D$61,2,FALSE)</f>
        <v>#N/A</v>
      </c>
      <c r="L365" s="27"/>
      <c r="M365" s="27"/>
      <c r="N365" s="27"/>
      <c r="O365" s="27"/>
      <c r="P365" s="28"/>
      <c r="Q365" s="5" t="str">
        <f t="shared" si="17"/>
        <v>ทันกำหนด</v>
      </c>
      <c r="R365" s="6"/>
      <c r="S365" s="7"/>
    </row>
    <row r="366" spans="1:19" ht="27.75" customHeight="1">
      <c r="A366" s="3">
        <v>364</v>
      </c>
      <c r="B366" s="27"/>
      <c r="C366" s="29"/>
      <c r="D366" s="30"/>
      <c r="E366" s="31"/>
      <c r="F366" s="31"/>
      <c r="G366" s="31">
        <f t="shared" si="15"/>
        <v>0</v>
      </c>
      <c r="H366" s="31" t="str">
        <f t="shared" si="16"/>
        <v>ครบ</v>
      </c>
      <c r="I366" s="31"/>
      <c r="J366" s="27" t="e">
        <f>VLOOKUP(I366,Sheet2!$B$1:$C$62,2,FALSE)</f>
        <v>#N/A</v>
      </c>
      <c r="K366" s="27" t="e">
        <f>VLOOKUP(J366,Sheet2!$C$1:$D$61,2,FALSE)</f>
        <v>#N/A</v>
      </c>
      <c r="L366" s="27"/>
      <c r="M366" s="27"/>
      <c r="N366" s="27"/>
      <c r="O366" s="27"/>
      <c r="P366" s="28"/>
      <c r="Q366" s="5" t="str">
        <f t="shared" si="17"/>
        <v>ทันกำหนด</v>
      </c>
      <c r="R366" s="6"/>
      <c r="S366" s="7"/>
    </row>
    <row r="367" spans="1:19" ht="27.75" customHeight="1">
      <c r="A367" s="3">
        <v>365</v>
      </c>
      <c r="B367" s="27"/>
      <c r="C367" s="29"/>
      <c r="D367" s="30"/>
      <c r="E367" s="31"/>
      <c r="F367" s="31"/>
      <c r="G367" s="31">
        <f t="shared" si="15"/>
        <v>0</v>
      </c>
      <c r="H367" s="31" t="str">
        <f t="shared" si="16"/>
        <v>ครบ</v>
      </c>
      <c r="I367" s="31"/>
      <c r="J367" s="27" t="e">
        <f>VLOOKUP(I367,Sheet2!$B$1:$C$62,2,FALSE)</f>
        <v>#N/A</v>
      </c>
      <c r="K367" s="27" t="e">
        <f>VLOOKUP(J367,Sheet2!$C$1:$D$61,2,FALSE)</f>
        <v>#N/A</v>
      </c>
      <c r="L367" s="27"/>
      <c r="M367" s="27"/>
      <c r="N367" s="27"/>
      <c r="O367" s="27"/>
      <c r="P367" s="28"/>
      <c r="Q367" s="5" t="str">
        <f t="shared" si="17"/>
        <v>ทันกำหนด</v>
      </c>
      <c r="R367" s="6"/>
      <c r="S367" s="7"/>
    </row>
    <row r="368" spans="1:19" ht="27.75" customHeight="1">
      <c r="A368" s="3">
        <v>366</v>
      </c>
      <c r="B368" s="27"/>
      <c r="C368" s="29"/>
      <c r="D368" s="30"/>
      <c r="E368" s="31"/>
      <c r="F368" s="31"/>
      <c r="G368" s="31">
        <f t="shared" ref="G368:G431" si="18">$E368-$F368</f>
        <v>0</v>
      </c>
      <c r="H368" s="31" t="str">
        <f t="shared" si="16"/>
        <v>ครบ</v>
      </c>
      <c r="I368" s="31"/>
      <c r="J368" s="27" t="e">
        <f>VLOOKUP(I368,Sheet2!$B$1:$C$62,2,FALSE)</f>
        <v>#N/A</v>
      </c>
      <c r="K368" s="27" t="e">
        <f>VLOOKUP(J368,Sheet2!$C$1:$D$61,2,FALSE)</f>
        <v>#N/A</v>
      </c>
      <c r="L368" s="27"/>
      <c r="M368" s="27"/>
      <c r="N368" s="27"/>
      <c r="O368" s="27"/>
      <c r="P368" s="28"/>
      <c r="Q368" s="5" t="str">
        <f t="shared" si="17"/>
        <v>ทันกำหนด</v>
      </c>
      <c r="R368" s="6"/>
      <c r="S368" s="7"/>
    </row>
    <row r="369" spans="1:19" ht="27.75" customHeight="1">
      <c r="A369" s="3">
        <v>367</v>
      </c>
      <c r="B369" s="27"/>
      <c r="C369" s="29"/>
      <c r="D369" s="30"/>
      <c r="E369" s="31"/>
      <c r="F369" s="31"/>
      <c r="G369" s="31">
        <f t="shared" si="18"/>
        <v>0</v>
      </c>
      <c r="H369" s="31" t="str">
        <f t="shared" si="16"/>
        <v>ครบ</v>
      </c>
      <c r="I369" s="31"/>
      <c r="J369" s="27" t="e">
        <f>VLOOKUP(I369,Sheet2!$B$1:$C$62,2,FALSE)</f>
        <v>#N/A</v>
      </c>
      <c r="K369" s="27" t="e">
        <f>VLOOKUP(J369,Sheet2!$C$1:$D$61,2,FALSE)</f>
        <v>#N/A</v>
      </c>
      <c r="L369" s="27"/>
      <c r="M369" s="27"/>
      <c r="N369" s="27"/>
      <c r="O369" s="27"/>
      <c r="P369" s="28"/>
      <c r="Q369" s="5" t="str">
        <f t="shared" si="17"/>
        <v>ทันกำหนด</v>
      </c>
      <c r="R369" s="6"/>
      <c r="S369" s="7"/>
    </row>
    <row r="370" spans="1:19" ht="27.75" customHeight="1">
      <c r="A370" s="3">
        <v>368</v>
      </c>
      <c r="B370" s="27"/>
      <c r="C370" s="29"/>
      <c r="D370" s="30"/>
      <c r="E370" s="31"/>
      <c r="F370" s="31"/>
      <c r="G370" s="31">
        <f t="shared" si="18"/>
        <v>0</v>
      </c>
      <c r="H370" s="31" t="str">
        <f t="shared" si="16"/>
        <v>ครบ</v>
      </c>
      <c r="I370" s="31"/>
      <c r="J370" s="27" t="e">
        <f>VLOOKUP(I370,Sheet2!$B$1:$C$62,2,FALSE)</f>
        <v>#N/A</v>
      </c>
      <c r="K370" s="27" t="e">
        <f>VLOOKUP(J370,Sheet2!$C$1:$D$61,2,FALSE)</f>
        <v>#N/A</v>
      </c>
      <c r="L370" s="27"/>
      <c r="M370" s="27"/>
      <c r="N370" s="27"/>
      <c r="O370" s="27"/>
      <c r="P370" s="28"/>
      <c r="Q370" s="5" t="str">
        <f t="shared" si="17"/>
        <v>ทันกำหนด</v>
      </c>
      <c r="R370" s="6"/>
      <c r="S370" s="7"/>
    </row>
    <row r="371" spans="1:19" ht="27.75" customHeight="1">
      <c r="A371" s="3">
        <v>369</v>
      </c>
      <c r="B371" s="27"/>
      <c r="C371" s="29"/>
      <c r="D371" s="30"/>
      <c r="E371" s="31"/>
      <c r="F371" s="31"/>
      <c r="G371" s="31">
        <f t="shared" si="18"/>
        <v>0</v>
      </c>
      <c r="H371" s="31" t="str">
        <f t="shared" si="16"/>
        <v>ครบ</v>
      </c>
      <c r="I371" s="31"/>
      <c r="J371" s="27" t="e">
        <f>VLOOKUP(I371,Sheet2!$B$1:$C$62,2,FALSE)</f>
        <v>#N/A</v>
      </c>
      <c r="K371" s="27" t="e">
        <f>VLOOKUP(J371,Sheet2!$C$1:$D$61,2,FALSE)</f>
        <v>#N/A</v>
      </c>
      <c r="L371" s="27"/>
      <c r="M371" s="27"/>
      <c r="N371" s="27"/>
      <c r="O371" s="27"/>
      <c r="P371" s="28"/>
      <c r="Q371" s="5" t="str">
        <f t="shared" si="17"/>
        <v>ทันกำหนด</v>
      </c>
      <c r="R371" s="6"/>
      <c r="S371" s="7" t="s">
        <v>31</v>
      </c>
    </row>
    <row r="372" spans="1:19" ht="27.75" customHeight="1">
      <c r="A372" s="3">
        <v>370</v>
      </c>
      <c r="B372" s="27"/>
      <c r="C372" s="29"/>
      <c r="D372" s="30"/>
      <c r="E372" s="31"/>
      <c r="F372" s="31"/>
      <c r="G372" s="31">
        <f t="shared" si="18"/>
        <v>0</v>
      </c>
      <c r="H372" s="31" t="str">
        <f t="shared" si="16"/>
        <v>ครบ</v>
      </c>
      <c r="I372" s="31"/>
      <c r="J372" s="27" t="e">
        <f>VLOOKUP(I372,Sheet2!$B$1:$C$62,2,FALSE)</f>
        <v>#N/A</v>
      </c>
      <c r="K372" s="27" t="e">
        <f>VLOOKUP(J372,Sheet2!$C$1:$D$61,2,FALSE)</f>
        <v>#N/A</v>
      </c>
      <c r="L372" s="27"/>
      <c r="M372" s="27"/>
      <c r="N372" s="27"/>
      <c r="O372" s="27"/>
      <c r="P372" s="28"/>
      <c r="Q372" s="5" t="str">
        <f t="shared" si="17"/>
        <v>ทันกำหนด</v>
      </c>
      <c r="R372" s="6"/>
      <c r="S372" s="7"/>
    </row>
    <row r="373" spans="1:19" ht="27.75" customHeight="1">
      <c r="A373" s="3">
        <v>371</v>
      </c>
      <c r="B373" s="27"/>
      <c r="C373" s="29"/>
      <c r="D373" s="30"/>
      <c r="E373" s="31"/>
      <c r="F373" s="31"/>
      <c r="G373" s="31">
        <f t="shared" si="18"/>
        <v>0</v>
      </c>
      <c r="H373" s="31" t="str">
        <f t="shared" si="16"/>
        <v>ครบ</v>
      </c>
      <c r="I373" s="31"/>
      <c r="J373" s="27" t="e">
        <f>VLOOKUP(I373,Sheet2!$B$1:$C$62,2,FALSE)</f>
        <v>#N/A</v>
      </c>
      <c r="K373" s="27" t="e">
        <f>VLOOKUP(J373,Sheet2!$C$1:$D$61,2,FALSE)</f>
        <v>#N/A</v>
      </c>
      <c r="L373" s="27"/>
      <c r="M373" s="27"/>
      <c r="N373" s="27"/>
      <c r="O373" s="27"/>
      <c r="P373" s="28"/>
      <c r="Q373" s="5" t="str">
        <f t="shared" si="17"/>
        <v>ทันกำหนด</v>
      </c>
      <c r="R373" s="6"/>
      <c r="S373" s="7"/>
    </row>
    <row r="374" spans="1:19" ht="27.75" customHeight="1">
      <c r="A374" s="3">
        <v>372</v>
      </c>
      <c r="B374" s="27"/>
      <c r="C374" s="29"/>
      <c r="D374" s="30"/>
      <c r="E374" s="31"/>
      <c r="F374" s="31"/>
      <c r="G374" s="31">
        <f t="shared" si="18"/>
        <v>0</v>
      </c>
      <c r="H374" s="31" t="str">
        <f t="shared" si="16"/>
        <v>ครบ</v>
      </c>
      <c r="I374" s="31"/>
      <c r="J374" s="27" t="e">
        <f>VLOOKUP(I374,Sheet2!$B$1:$C$62,2,FALSE)</f>
        <v>#N/A</v>
      </c>
      <c r="K374" s="27" t="e">
        <f>VLOOKUP(J374,Sheet2!$C$1:$D$61,2,FALSE)</f>
        <v>#N/A</v>
      </c>
      <c r="L374" s="27"/>
      <c r="M374" s="27"/>
      <c r="N374" s="27"/>
      <c r="O374" s="27"/>
      <c r="P374" s="28"/>
      <c r="Q374" s="5" t="str">
        <f t="shared" si="17"/>
        <v>ทันกำหนด</v>
      </c>
      <c r="R374" s="6"/>
      <c r="S374" s="7"/>
    </row>
    <row r="375" spans="1:19" ht="27.75" customHeight="1">
      <c r="A375" s="3">
        <v>373</v>
      </c>
      <c r="B375" s="27"/>
      <c r="C375" s="29"/>
      <c r="D375" s="30"/>
      <c r="E375" s="31"/>
      <c r="F375" s="31"/>
      <c r="G375" s="31">
        <f t="shared" si="18"/>
        <v>0</v>
      </c>
      <c r="H375" s="31" t="str">
        <f t="shared" si="16"/>
        <v>ครบ</v>
      </c>
      <c r="I375" s="31"/>
      <c r="J375" s="27" t="e">
        <f>VLOOKUP(I375,Sheet2!$B$1:$C$62,2,FALSE)</f>
        <v>#N/A</v>
      </c>
      <c r="K375" s="27" t="e">
        <f>VLOOKUP(J375,Sheet2!$C$1:$D$61,2,FALSE)</f>
        <v>#N/A</v>
      </c>
      <c r="L375" s="27"/>
      <c r="M375" s="27"/>
      <c r="N375" s="27"/>
      <c r="O375" s="27"/>
      <c r="P375" s="28"/>
      <c r="Q375" s="5" t="str">
        <f t="shared" si="17"/>
        <v>ทันกำหนด</v>
      </c>
      <c r="R375" s="6"/>
      <c r="S375" s="7"/>
    </row>
    <row r="376" spans="1:19" ht="27.75" customHeight="1">
      <c r="A376" s="3">
        <v>374</v>
      </c>
      <c r="B376" s="27"/>
      <c r="C376" s="29"/>
      <c r="D376" s="30"/>
      <c r="E376" s="31"/>
      <c r="F376" s="31"/>
      <c r="G376" s="31">
        <f t="shared" si="18"/>
        <v>0</v>
      </c>
      <c r="H376" s="31" t="str">
        <f t="shared" si="16"/>
        <v>ครบ</v>
      </c>
      <c r="I376" s="31"/>
      <c r="J376" s="27" t="e">
        <f>VLOOKUP(I376,Sheet2!$B$1:$C$62,2,FALSE)</f>
        <v>#N/A</v>
      </c>
      <c r="K376" s="27" t="e">
        <f>VLOOKUP(J376,Sheet2!$C$1:$D$61,2,FALSE)</f>
        <v>#N/A</v>
      </c>
      <c r="L376" s="27"/>
      <c r="M376" s="27"/>
      <c r="N376" s="27"/>
      <c r="O376" s="27"/>
      <c r="P376" s="28"/>
      <c r="Q376" s="5" t="str">
        <f t="shared" si="17"/>
        <v>ทันกำหนด</v>
      </c>
      <c r="R376" s="6"/>
      <c r="S376" s="7"/>
    </row>
    <row r="377" spans="1:19" ht="27.75" customHeight="1">
      <c r="A377" s="3">
        <v>375</v>
      </c>
      <c r="B377" s="27"/>
      <c r="C377" s="29"/>
      <c r="D377" s="30"/>
      <c r="E377" s="31"/>
      <c r="F377" s="31"/>
      <c r="G377" s="31">
        <f t="shared" si="18"/>
        <v>0</v>
      </c>
      <c r="H377" s="31" t="str">
        <f t="shared" si="16"/>
        <v>ครบ</v>
      </c>
      <c r="I377" s="31"/>
      <c r="J377" s="27" t="e">
        <f>VLOOKUP(I377,Sheet2!$B$1:$C$62,2,FALSE)</f>
        <v>#N/A</v>
      </c>
      <c r="K377" s="27" t="e">
        <f>VLOOKUP(J377,Sheet2!$C$1:$D$61,2,FALSE)</f>
        <v>#N/A</v>
      </c>
      <c r="L377" s="27"/>
      <c r="M377" s="27"/>
      <c r="N377" s="27"/>
      <c r="O377" s="27"/>
      <c r="P377" s="28"/>
      <c r="Q377" s="5" t="str">
        <f t="shared" si="17"/>
        <v>ทันกำหนด</v>
      </c>
      <c r="R377" s="6"/>
      <c r="S377" s="7"/>
    </row>
    <row r="378" spans="1:19" ht="27.75" customHeight="1">
      <c r="A378" s="3">
        <v>376</v>
      </c>
      <c r="B378" s="27"/>
      <c r="C378" s="29"/>
      <c r="D378" s="30"/>
      <c r="E378" s="31"/>
      <c r="F378" s="31"/>
      <c r="G378" s="31">
        <f t="shared" si="18"/>
        <v>0</v>
      </c>
      <c r="H378" s="31" t="str">
        <f t="shared" si="16"/>
        <v>ครบ</v>
      </c>
      <c r="I378" s="31"/>
      <c r="J378" s="27" t="e">
        <f>VLOOKUP(I378,Sheet2!$B$1:$C$62,2,FALSE)</f>
        <v>#N/A</v>
      </c>
      <c r="K378" s="27" t="e">
        <f>VLOOKUP(J378,Sheet2!$C$1:$D$61,2,FALSE)</f>
        <v>#N/A</v>
      </c>
      <c r="L378" s="27"/>
      <c r="M378" s="27"/>
      <c r="N378" s="27"/>
      <c r="O378" s="27"/>
      <c r="P378" s="28"/>
      <c r="Q378" s="5" t="str">
        <f t="shared" si="17"/>
        <v>ทันกำหนด</v>
      </c>
      <c r="R378" s="6"/>
      <c r="S378" s="7"/>
    </row>
    <row r="379" spans="1:19" ht="27.75" customHeight="1">
      <c r="A379" s="3">
        <v>377</v>
      </c>
      <c r="B379" s="27"/>
      <c r="C379" s="29"/>
      <c r="D379" s="30"/>
      <c r="E379" s="31"/>
      <c r="F379" s="31"/>
      <c r="G379" s="31">
        <f t="shared" si="18"/>
        <v>0</v>
      </c>
      <c r="H379" s="31" t="str">
        <f t="shared" si="16"/>
        <v>ครบ</v>
      </c>
      <c r="I379" s="31"/>
      <c r="J379" s="27" t="e">
        <f>VLOOKUP(I379,Sheet2!$B$1:$C$62,2,FALSE)</f>
        <v>#N/A</v>
      </c>
      <c r="K379" s="27" t="e">
        <f>VLOOKUP(J379,Sheet2!$C$1:$D$61,2,FALSE)</f>
        <v>#N/A</v>
      </c>
      <c r="L379" s="27"/>
      <c r="M379" s="27"/>
      <c r="N379" s="27"/>
      <c r="O379" s="27"/>
      <c r="P379" s="28"/>
      <c r="Q379" s="5" t="str">
        <f t="shared" si="17"/>
        <v>ทันกำหนด</v>
      </c>
      <c r="R379" s="6"/>
      <c r="S379" s="7"/>
    </row>
    <row r="380" spans="1:19" ht="27.75" customHeight="1">
      <c r="A380" s="3">
        <v>378</v>
      </c>
      <c r="B380" s="27"/>
      <c r="C380" s="29"/>
      <c r="D380" s="30"/>
      <c r="E380" s="31"/>
      <c r="F380" s="31"/>
      <c r="G380" s="31">
        <f t="shared" si="18"/>
        <v>0</v>
      </c>
      <c r="H380" s="31" t="str">
        <f t="shared" si="16"/>
        <v>ครบ</v>
      </c>
      <c r="I380" s="31"/>
      <c r="J380" s="27" t="e">
        <f>VLOOKUP(I380,Sheet2!$B$1:$C$62,2,FALSE)</f>
        <v>#N/A</v>
      </c>
      <c r="K380" s="27" t="e">
        <f>VLOOKUP(J380,Sheet2!$C$1:$D$61,2,FALSE)</f>
        <v>#N/A</v>
      </c>
      <c r="L380" s="27"/>
      <c r="M380" s="27"/>
      <c r="N380" s="27"/>
      <c r="O380" s="27"/>
      <c r="P380" s="28"/>
      <c r="Q380" s="5" t="str">
        <f t="shared" si="17"/>
        <v>ทันกำหนด</v>
      </c>
      <c r="R380" s="6"/>
      <c r="S380" s="7"/>
    </row>
    <row r="381" spans="1:19" ht="27.75" customHeight="1">
      <c r="A381" s="3">
        <v>379</v>
      </c>
      <c r="B381" s="27"/>
      <c r="C381" s="29"/>
      <c r="D381" s="30"/>
      <c r="E381" s="31"/>
      <c r="F381" s="31"/>
      <c r="G381" s="31">
        <f t="shared" si="18"/>
        <v>0</v>
      </c>
      <c r="H381" s="31" t="str">
        <f t="shared" si="16"/>
        <v>ครบ</v>
      </c>
      <c r="I381" s="31"/>
      <c r="J381" s="27" t="e">
        <f>VLOOKUP(I381,Sheet2!$B$1:$C$62,2,FALSE)</f>
        <v>#N/A</v>
      </c>
      <c r="K381" s="27" t="e">
        <f>VLOOKUP(J381,Sheet2!$C$1:$D$61,2,FALSE)</f>
        <v>#N/A</v>
      </c>
      <c r="L381" s="27"/>
      <c r="M381" s="27"/>
      <c r="N381" s="27"/>
      <c r="O381" s="27"/>
      <c r="P381" s="27"/>
      <c r="Q381" s="5" t="str">
        <f t="shared" si="17"/>
        <v>ทันกำหนด</v>
      </c>
      <c r="R381" s="6"/>
      <c r="S381" s="7" t="s">
        <v>31</v>
      </c>
    </row>
    <row r="382" spans="1:19" ht="27.75" customHeight="1">
      <c r="A382" s="3">
        <v>380</v>
      </c>
      <c r="B382" s="27"/>
      <c r="C382" s="29"/>
      <c r="D382" s="30"/>
      <c r="E382" s="31"/>
      <c r="F382" s="31"/>
      <c r="G382" s="31">
        <f t="shared" si="18"/>
        <v>0</v>
      </c>
      <c r="H382" s="31" t="str">
        <f t="shared" si="16"/>
        <v>ครบ</v>
      </c>
      <c r="I382" s="31"/>
      <c r="J382" s="27" t="e">
        <f>VLOOKUP(I382,Sheet2!$B$1:$C$62,2,FALSE)</f>
        <v>#N/A</v>
      </c>
      <c r="K382" s="27" t="e">
        <f>VLOOKUP(J382,Sheet2!$C$1:$D$61,2,FALSE)</f>
        <v>#N/A</v>
      </c>
      <c r="L382" s="27"/>
      <c r="M382" s="27"/>
      <c r="N382" s="27"/>
      <c r="O382" s="27"/>
      <c r="P382" s="28"/>
      <c r="Q382" s="5" t="str">
        <f t="shared" si="17"/>
        <v>ทันกำหนด</v>
      </c>
      <c r="R382" s="6"/>
      <c r="S382" s="7"/>
    </row>
    <row r="383" spans="1:19" ht="27.75" customHeight="1">
      <c r="A383" s="3">
        <v>381</v>
      </c>
      <c r="B383" s="27"/>
      <c r="C383" s="29"/>
      <c r="D383" s="30"/>
      <c r="E383" s="31"/>
      <c r="F383" s="31"/>
      <c r="G383" s="31">
        <f t="shared" si="18"/>
        <v>0</v>
      </c>
      <c r="H383" s="31" t="str">
        <f t="shared" si="16"/>
        <v>ครบ</v>
      </c>
      <c r="I383" s="31"/>
      <c r="J383" s="27" t="e">
        <f>VLOOKUP(I383,Sheet2!$B$1:$C$62,2,FALSE)</f>
        <v>#N/A</v>
      </c>
      <c r="K383" s="27" t="e">
        <f>VLOOKUP(J383,Sheet2!$C$1:$D$61,2,FALSE)</f>
        <v>#N/A</v>
      </c>
      <c r="L383" s="27"/>
      <c r="M383" s="27"/>
      <c r="N383" s="27"/>
      <c r="O383" s="27"/>
      <c r="P383" s="28"/>
      <c r="Q383" s="5" t="str">
        <f t="shared" si="17"/>
        <v>ทันกำหนด</v>
      </c>
      <c r="R383" s="6"/>
      <c r="S383" s="7"/>
    </row>
    <row r="384" spans="1:19" ht="27.75" customHeight="1">
      <c r="A384" s="3">
        <v>382</v>
      </c>
      <c r="B384" s="27"/>
      <c r="C384" s="29"/>
      <c r="D384" s="30"/>
      <c r="E384" s="31"/>
      <c r="F384" s="31"/>
      <c r="G384" s="31">
        <f t="shared" si="18"/>
        <v>0</v>
      </c>
      <c r="H384" s="31" t="str">
        <f t="shared" si="16"/>
        <v>ครบ</v>
      </c>
      <c r="I384" s="31"/>
      <c r="J384" s="27" t="e">
        <f>VLOOKUP(I384,Sheet2!$B$1:$C$62,2,FALSE)</f>
        <v>#N/A</v>
      </c>
      <c r="K384" s="27" t="e">
        <f>VLOOKUP(J384,Sheet2!$C$1:$D$61,2,FALSE)</f>
        <v>#N/A</v>
      </c>
      <c r="L384" s="27"/>
      <c r="M384" s="27"/>
      <c r="N384" s="27"/>
      <c r="O384" s="27"/>
      <c r="P384" s="28"/>
      <c r="Q384" s="5" t="str">
        <f t="shared" si="17"/>
        <v>ทันกำหนด</v>
      </c>
      <c r="R384" s="6"/>
      <c r="S384" s="7"/>
    </row>
    <row r="385" spans="1:19" ht="27.75" customHeight="1">
      <c r="A385" s="3">
        <v>383</v>
      </c>
      <c r="B385" s="27"/>
      <c r="C385" s="29"/>
      <c r="D385" s="30"/>
      <c r="E385" s="31"/>
      <c r="F385" s="31"/>
      <c r="G385" s="31">
        <f t="shared" si="18"/>
        <v>0</v>
      </c>
      <c r="H385" s="31" t="str">
        <f t="shared" si="16"/>
        <v>ครบ</v>
      </c>
      <c r="I385" s="31"/>
      <c r="J385" s="27" t="e">
        <f>VLOOKUP(I385,Sheet2!$B$1:$C$62,2,FALSE)</f>
        <v>#N/A</v>
      </c>
      <c r="K385" s="27" t="e">
        <f>VLOOKUP(J385,Sheet2!$C$1:$D$61,2,FALSE)</f>
        <v>#N/A</v>
      </c>
      <c r="L385" s="27"/>
      <c r="M385" s="27"/>
      <c r="N385" s="27"/>
      <c r="O385" s="27"/>
      <c r="P385" s="28"/>
      <c r="Q385" s="5" t="str">
        <f t="shared" si="17"/>
        <v>ทันกำหนด</v>
      </c>
      <c r="R385" s="6"/>
      <c r="S385" s="7"/>
    </row>
    <row r="386" spans="1:19" ht="27.75" customHeight="1">
      <c r="A386" s="3">
        <v>384</v>
      </c>
      <c r="B386" s="27"/>
      <c r="C386" s="29"/>
      <c r="D386" s="30"/>
      <c r="E386" s="31"/>
      <c r="F386" s="31"/>
      <c r="G386" s="31">
        <f t="shared" si="18"/>
        <v>0</v>
      </c>
      <c r="H386" s="31" t="str">
        <f t="shared" si="16"/>
        <v>ครบ</v>
      </c>
      <c r="I386" s="31"/>
      <c r="J386" s="27" t="e">
        <f>VLOOKUP(I386,Sheet2!$B$1:$C$62,2,FALSE)</f>
        <v>#N/A</v>
      </c>
      <c r="K386" s="27" t="e">
        <f>VLOOKUP(J386,Sheet2!$C$1:$D$61,2,FALSE)</f>
        <v>#N/A</v>
      </c>
      <c r="L386" s="27"/>
      <c r="M386" s="27"/>
      <c r="N386" s="27"/>
      <c r="O386" s="27"/>
      <c r="P386" s="28"/>
      <c r="Q386" s="5" t="str">
        <f t="shared" si="17"/>
        <v>ทันกำหนด</v>
      </c>
      <c r="R386" s="6"/>
      <c r="S386" s="7"/>
    </row>
    <row r="387" spans="1:19" ht="27.75" customHeight="1">
      <c r="A387" s="3">
        <v>385</v>
      </c>
      <c r="B387" s="27"/>
      <c r="C387" s="29"/>
      <c r="D387" s="30"/>
      <c r="E387" s="31"/>
      <c r="F387" s="31"/>
      <c r="G387" s="31">
        <f t="shared" si="18"/>
        <v>0</v>
      </c>
      <c r="H387" s="31" t="str">
        <f t="shared" si="16"/>
        <v>ครบ</v>
      </c>
      <c r="I387" s="31"/>
      <c r="J387" s="27" t="e">
        <f>VLOOKUP(I387,Sheet2!$B$1:$C$62,2,FALSE)</f>
        <v>#N/A</v>
      </c>
      <c r="K387" s="27" t="e">
        <f>VLOOKUP(J387,Sheet2!$C$1:$D$61,2,FALSE)</f>
        <v>#N/A</v>
      </c>
      <c r="L387" s="27"/>
      <c r="M387" s="27"/>
      <c r="N387" s="27"/>
      <c r="O387" s="27"/>
      <c r="P387" s="28"/>
      <c r="Q387" s="5" t="str">
        <f t="shared" si="17"/>
        <v>ทันกำหนด</v>
      </c>
      <c r="R387" s="6"/>
      <c r="S387" s="7"/>
    </row>
    <row r="388" spans="1:19" ht="27.75" customHeight="1">
      <c r="A388" s="3">
        <v>386</v>
      </c>
      <c r="B388" s="27"/>
      <c r="C388" s="29"/>
      <c r="D388" s="30"/>
      <c r="E388" s="31"/>
      <c r="F388" s="31"/>
      <c r="G388" s="31">
        <f t="shared" si="18"/>
        <v>0</v>
      </c>
      <c r="H388" s="31" t="str">
        <f t="shared" ref="H388:H451" si="19">IF($G388=0,"ครบ","ไม่ครบ")</f>
        <v>ครบ</v>
      </c>
      <c r="I388" s="31"/>
      <c r="J388" s="27" t="e">
        <f>VLOOKUP(I388,Sheet2!$B$1:$C$62,2,FALSE)</f>
        <v>#N/A</v>
      </c>
      <c r="K388" s="27" t="e">
        <f>VLOOKUP(J388,Sheet2!$C$1:$D$61,2,FALSE)</f>
        <v>#N/A</v>
      </c>
      <c r="L388" s="27"/>
      <c r="M388" s="27"/>
      <c r="N388" s="27"/>
      <c r="O388" s="27"/>
      <c r="P388" s="28"/>
      <c r="Q388" s="5" t="str">
        <f t="shared" ref="Q388:Q451" si="20">IF($N388&gt;$M388,"เกินกำหนด","ทันกำหนด")</f>
        <v>ทันกำหนด</v>
      </c>
      <c r="R388" s="6"/>
      <c r="S388" s="7"/>
    </row>
    <row r="389" spans="1:19" ht="27.75" customHeight="1">
      <c r="A389" s="3">
        <v>387</v>
      </c>
      <c r="B389" s="27"/>
      <c r="C389" s="29"/>
      <c r="D389" s="30"/>
      <c r="E389" s="31"/>
      <c r="F389" s="31"/>
      <c r="G389" s="31">
        <f t="shared" si="18"/>
        <v>0</v>
      </c>
      <c r="H389" s="31" t="str">
        <f t="shared" si="19"/>
        <v>ครบ</v>
      </c>
      <c r="I389" s="31"/>
      <c r="J389" s="27" t="e">
        <f>VLOOKUP(I389,Sheet2!$B$1:$C$62,2,FALSE)</f>
        <v>#N/A</v>
      </c>
      <c r="K389" s="27" t="e">
        <f>VLOOKUP(J389,Sheet2!$C$1:$D$61,2,FALSE)</f>
        <v>#N/A</v>
      </c>
      <c r="L389" s="27"/>
      <c r="M389" s="27"/>
      <c r="N389" s="27"/>
      <c r="O389" s="27"/>
      <c r="P389" s="28"/>
      <c r="Q389" s="5" t="str">
        <f t="shared" si="20"/>
        <v>ทันกำหนด</v>
      </c>
      <c r="R389" s="6"/>
      <c r="S389" s="7"/>
    </row>
    <row r="390" spans="1:19" ht="27.75" customHeight="1">
      <c r="A390" s="3">
        <v>388</v>
      </c>
      <c r="B390" s="27"/>
      <c r="C390" s="29"/>
      <c r="D390" s="30"/>
      <c r="E390" s="31"/>
      <c r="F390" s="31"/>
      <c r="G390" s="31">
        <f t="shared" si="18"/>
        <v>0</v>
      </c>
      <c r="H390" s="31" t="str">
        <f t="shared" si="19"/>
        <v>ครบ</v>
      </c>
      <c r="I390" s="31"/>
      <c r="J390" s="27" t="e">
        <f>VLOOKUP(I390,Sheet2!$B$1:$C$62,2,FALSE)</f>
        <v>#N/A</v>
      </c>
      <c r="K390" s="27" t="e">
        <f>VLOOKUP(J390,Sheet2!$C$1:$D$61,2,FALSE)</f>
        <v>#N/A</v>
      </c>
      <c r="L390" s="27"/>
      <c r="M390" s="27"/>
      <c r="N390" s="27"/>
      <c r="O390" s="27"/>
      <c r="P390" s="28"/>
      <c r="Q390" s="5" t="str">
        <f t="shared" si="20"/>
        <v>ทันกำหนด</v>
      </c>
      <c r="R390" s="6"/>
      <c r="S390" s="7"/>
    </row>
    <row r="391" spans="1:19" ht="27.75" customHeight="1">
      <c r="A391" s="3">
        <v>389</v>
      </c>
      <c r="B391" s="27"/>
      <c r="C391" s="29"/>
      <c r="D391" s="30"/>
      <c r="E391" s="31"/>
      <c r="F391" s="31"/>
      <c r="G391" s="31">
        <f t="shared" si="18"/>
        <v>0</v>
      </c>
      <c r="H391" s="31" t="str">
        <f t="shared" si="19"/>
        <v>ครบ</v>
      </c>
      <c r="I391" s="31"/>
      <c r="J391" s="27" t="e">
        <f>VLOOKUP(I391,Sheet2!$B$1:$C$62,2,FALSE)</f>
        <v>#N/A</v>
      </c>
      <c r="K391" s="27" t="e">
        <f>VLOOKUP(J391,Sheet2!$C$1:$D$61,2,FALSE)</f>
        <v>#N/A</v>
      </c>
      <c r="L391" s="27"/>
      <c r="M391" s="27"/>
      <c r="N391" s="27"/>
      <c r="O391" s="27"/>
      <c r="P391" s="28"/>
      <c r="Q391" s="5" t="str">
        <f t="shared" si="20"/>
        <v>ทันกำหนด</v>
      </c>
      <c r="R391" s="6"/>
      <c r="S391" s="7"/>
    </row>
    <row r="392" spans="1:19" ht="27.75" customHeight="1">
      <c r="A392" s="3">
        <v>390</v>
      </c>
      <c r="B392" s="27"/>
      <c r="C392" s="29"/>
      <c r="D392" s="30"/>
      <c r="E392" s="31"/>
      <c r="F392" s="31"/>
      <c r="G392" s="31">
        <f t="shared" si="18"/>
        <v>0</v>
      </c>
      <c r="H392" s="31" t="str">
        <f t="shared" si="19"/>
        <v>ครบ</v>
      </c>
      <c r="I392" s="31"/>
      <c r="J392" s="27" t="e">
        <f>VLOOKUP(I392,Sheet2!$B$1:$C$62,2,FALSE)</f>
        <v>#N/A</v>
      </c>
      <c r="K392" s="27" t="e">
        <f>VLOOKUP(J392,Sheet2!$C$1:$D$61,2,FALSE)</f>
        <v>#N/A</v>
      </c>
      <c r="L392" s="27"/>
      <c r="M392" s="27"/>
      <c r="N392" s="27"/>
      <c r="O392" s="27"/>
      <c r="P392" s="28"/>
      <c r="Q392" s="5" t="str">
        <f t="shared" si="20"/>
        <v>ทันกำหนด</v>
      </c>
      <c r="R392" s="6"/>
      <c r="S392" s="7"/>
    </row>
    <row r="393" spans="1:19" ht="27.75" customHeight="1">
      <c r="A393" s="3">
        <v>391</v>
      </c>
      <c r="B393" s="27"/>
      <c r="C393" s="29"/>
      <c r="D393" s="30"/>
      <c r="E393" s="31"/>
      <c r="F393" s="31"/>
      <c r="G393" s="31">
        <f t="shared" si="18"/>
        <v>0</v>
      </c>
      <c r="H393" s="31" t="str">
        <f t="shared" si="19"/>
        <v>ครบ</v>
      </c>
      <c r="I393" s="31"/>
      <c r="J393" s="27" t="e">
        <f>VLOOKUP(I393,Sheet2!$B$1:$C$62,2,FALSE)</f>
        <v>#N/A</v>
      </c>
      <c r="K393" s="27" t="e">
        <f>VLOOKUP(J393,Sheet2!$C$1:$D$61,2,FALSE)</f>
        <v>#N/A</v>
      </c>
      <c r="L393" s="27"/>
      <c r="M393" s="27"/>
      <c r="N393" s="27"/>
      <c r="O393" s="27"/>
      <c r="P393" s="28"/>
      <c r="Q393" s="5" t="str">
        <f t="shared" si="20"/>
        <v>ทันกำหนด</v>
      </c>
      <c r="R393" s="6"/>
      <c r="S393" s="7"/>
    </row>
    <row r="394" spans="1:19" ht="27.75" customHeight="1">
      <c r="A394" s="3">
        <v>392</v>
      </c>
      <c r="B394" s="27"/>
      <c r="C394" s="29"/>
      <c r="D394" s="30"/>
      <c r="E394" s="31"/>
      <c r="F394" s="31"/>
      <c r="G394" s="31">
        <f t="shared" si="18"/>
        <v>0</v>
      </c>
      <c r="H394" s="31" t="str">
        <f t="shared" si="19"/>
        <v>ครบ</v>
      </c>
      <c r="I394" s="31"/>
      <c r="J394" s="27" t="e">
        <f>VLOOKUP(I394,Sheet2!$B$1:$C$62,2,FALSE)</f>
        <v>#N/A</v>
      </c>
      <c r="K394" s="27" t="e">
        <f>VLOOKUP(J394,Sheet2!$C$1:$D$61,2,FALSE)</f>
        <v>#N/A</v>
      </c>
      <c r="L394" s="27"/>
      <c r="M394" s="27"/>
      <c r="N394" s="27"/>
      <c r="O394" s="27"/>
      <c r="P394" s="28"/>
      <c r="Q394" s="5" t="str">
        <f t="shared" si="20"/>
        <v>ทันกำหนด</v>
      </c>
      <c r="R394" s="6"/>
      <c r="S394" s="7"/>
    </row>
    <row r="395" spans="1:19" ht="27.75" customHeight="1">
      <c r="A395" s="3">
        <v>393</v>
      </c>
      <c r="B395" s="27"/>
      <c r="C395" s="29"/>
      <c r="D395" s="30"/>
      <c r="E395" s="31"/>
      <c r="F395" s="31"/>
      <c r="G395" s="31">
        <f t="shared" si="18"/>
        <v>0</v>
      </c>
      <c r="H395" s="31" t="str">
        <f t="shared" si="19"/>
        <v>ครบ</v>
      </c>
      <c r="I395" s="31"/>
      <c r="J395" s="27" t="e">
        <f>VLOOKUP(I395,Sheet2!$B$1:$C$62,2,FALSE)</f>
        <v>#N/A</v>
      </c>
      <c r="K395" s="27" t="e">
        <f>VLOOKUP(J395,Sheet2!$C$1:$D$61,2,FALSE)</f>
        <v>#N/A</v>
      </c>
      <c r="L395" s="27"/>
      <c r="M395" s="27"/>
      <c r="N395" s="27"/>
      <c r="O395" s="27"/>
      <c r="P395" s="28"/>
      <c r="Q395" s="5" t="str">
        <f t="shared" si="20"/>
        <v>ทันกำหนด</v>
      </c>
      <c r="R395" s="6"/>
      <c r="S395" s="7"/>
    </row>
    <row r="396" spans="1:19" ht="27.75" customHeight="1">
      <c r="A396" s="3">
        <v>394</v>
      </c>
      <c r="B396" s="27"/>
      <c r="C396" s="29"/>
      <c r="D396" s="30"/>
      <c r="E396" s="31"/>
      <c r="F396" s="31"/>
      <c r="G396" s="31">
        <f t="shared" si="18"/>
        <v>0</v>
      </c>
      <c r="H396" s="31" t="str">
        <f t="shared" si="19"/>
        <v>ครบ</v>
      </c>
      <c r="I396" s="31"/>
      <c r="J396" s="27" t="e">
        <f>VLOOKUP(I396,Sheet2!$B$1:$C$62,2,FALSE)</f>
        <v>#N/A</v>
      </c>
      <c r="K396" s="27" t="e">
        <f>VLOOKUP(J396,Sheet2!$C$1:$D$61,2,FALSE)</f>
        <v>#N/A</v>
      </c>
      <c r="L396" s="27"/>
      <c r="M396" s="27"/>
      <c r="N396" s="27"/>
      <c r="O396" s="27"/>
      <c r="P396" s="28"/>
      <c r="Q396" s="5" t="str">
        <f t="shared" si="20"/>
        <v>ทันกำหนด</v>
      </c>
      <c r="R396" s="6"/>
      <c r="S396" s="7"/>
    </row>
    <row r="397" spans="1:19" ht="27.75" customHeight="1">
      <c r="A397" s="3">
        <v>395</v>
      </c>
      <c r="B397" s="27"/>
      <c r="C397" s="29"/>
      <c r="D397" s="30"/>
      <c r="E397" s="31"/>
      <c r="F397" s="31"/>
      <c r="G397" s="31">
        <f t="shared" si="18"/>
        <v>0</v>
      </c>
      <c r="H397" s="31" t="str">
        <f t="shared" si="19"/>
        <v>ครบ</v>
      </c>
      <c r="I397" s="31"/>
      <c r="J397" s="27" t="e">
        <f>VLOOKUP(I397,Sheet2!$B$1:$C$62,2,FALSE)</f>
        <v>#N/A</v>
      </c>
      <c r="K397" s="27" t="e">
        <f>VLOOKUP(J397,Sheet2!$C$1:$D$61,2,FALSE)</f>
        <v>#N/A</v>
      </c>
      <c r="L397" s="27"/>
      <c r="M397" s="27"/>
      <c r="N397" s="27"/>
      <c r="O397" s="27"/>
      <c r="P397" s="28"/>
      <c r="Q397" s="5" t="str">
        <f t="shared" si="20"/>
        <v>ทันกำหนด</v>
      </c>
      <c r="R397" s="6"/>
      <c r="S397" s="7"/>
    </row>
    <row r="398" spans="1:19" ht="27.75" customHeight="1">
      <c r="A398" s="3">
        <v>396</v>
      </c>
      <c r="B398" s="27"/>
      <c r="C398" s="29"/>
      <c r="D398" s="30"/>
      <c r="E398" s="31"/>
      <c r="F398" s="31"/>
      <c r="G398" s="31">
        <f t="shared" si="18"/>
        <v>0</v>
      </c>
      <c r="H398" s="31" t="str">
        <f t="shared" si="19"/>
        <v>ครบ</v>
      </c>
      <c r="I398" s="31"/>
      <c r="J398" s="27" t="e">
        <f>VLOOKUP(I398,Sheet2!$B$1:$C$62,2,FALSE)</f>
        <v>#N/A</v>
      </c>
      <c r="K398" s="27" t="e">
        <f>VLOOKUP(J398,Sheet2!$C$1:$D$61,2,FALSE)</f>
        <v>#N/A</v>
      </c>
      <c r="L398" s="27"/>
      <c r="M398" s="27"/>
      <c r="N398" s="27"/>
      <c r="O398" s="27"/>
      <c r="P398" s="28"/>
      <c r="Q398" s="5" t="str">
        <f t="shared" si="20"/>
        <v>ทันกำหนด</v>
      </c>
      <c r="R398" s="6"/>
      <c r="S398" s="7"/>
    </row>
    <row r="399" spans="1:19" ht="27.75" customHeight="1">
      <c r="A399" s="3">
        <v>397</v>
      </c>
      <c r="B399" s="27"/>
      <c r="C399" s="29"/>
      <c r="D399" s="30"/>
      <c r="E399" s="31"/>
      <c r="F399" s="31"/>
      <c r="G399" s="31">
        <f t="shared" si="18"/>
        <v>0</v>
      </c>
      <c r="H399" s="31" t="str">
        <f t="shared" si="19"/>
        <v>ครบ</v>
      </c>
      <c r="I399" s="31"/>
      <c r="J399" s="27" t="e">
        <f>VLOOKUP(I399,Sheet2!$B$1:$C$62,2,FALSE)</f>
        <v>#N/A</v>
      </c>
      <c r="K399" s="27" t="e">
        <f>VLOOKUP(J399,Sheet2!$C$1:$D$61,2,FALSE)</f>
        <v>#N/A</v>
      </c>
      <c r="L399" s="27"/>
      <c r="M399" s="27"/>
      <c r="N399" s="27"/>
      <c r="O399" s="27"/>
      <c r="P399" s="28"/>
      <c r="Q399" s="5" t="str">
        <f t="shared" si="20"/>
        <v>ทันกำหนด</v>
      </c>
      <c r="R399" s="6"/>
      <c r="S399" s="7"/>
    </row>
    <row r="400" spans="1:19" ht="27.75" customHeight="1">
      <c r="A400" s="3">
        <v>398</v>
      </c>
      <c r="B400" s="27"/>
      <c r="C400" s="29"/>
      <c r="D400" s="30"/>
      <c r="E400" s="31"/>
      <c r="F400" s="31"/>
      <c r="G400" s="31">
        <f t="shared" si="18"/>
        <v>0</v>
      </c>
      <c r="H400" s="31" t="str">
        <f t="shared" si="19"/>
        <v>ครบ</v>
      </c>
      <c r="I400" s="31"/>
      <c r="J400" s="27" t="e">
        <f>VLOOKUP(I400,Sheet2!$B$1:$C$62,2,FALSE)</f>
        <v>#N/A</v>
      </c>
      <c r="K400" s="27" t="e">
        <f>VLOOKUP(J400,Sheet2!$C$1:$D$61,2,FALSE)</f>
        <v>#N/A</v>
      </c>
      <c r="L400" s="27"/>
      <c r="M400" s="27"/>
      <c r="N400" s="27"/>
      <c r="O400" s="27"/>
      <c r="P400" s="28"/>
      <c r="Q400" s="5" t="str">
        <f t="shared" si="20"/>
        <v>ทันกำหนด</v>
      </c>
      <c r="R400" s="6"/>
      <c r="S400" s="7"/>
    </row>
    <row r="401" spans="1:19" ht="27.75" customHeight="1">
      <c r="A401" s="3">
        <v>399</v>
      </c>
      <c r="B401" s="27"/>
      <c r="C401" s="29"/>
      <c r="D401" s="30"/>
      <c r="E401" s="31"/>
      <c r="F401" s="31"/>
      <c r="G401" s="31">
        <f t="shared" si="18"/>
        <v>0</v>
      </c>
      <c r="H401" s="31" t="str">
        <f t="shared" si="19"/>
        <v>ครบ</v>
      </c>
      <c r="I401" s="31"/>
      <c r="J401" s="27" t="e">
        <f>VLOOKUP(I401,Sheet2!$B$1:$C$62,2,FALSE)</f>
        <v>#N/A</v>
      </c>
      <c r="K401" s="27" t="e">
        <f>VLOOKUP(J401,Sheet2!$C$1:$D$61,2,FALSE)</f>
        <v>#N/A</v>
      </c>
      <c r="L401" s="27"/>
      <c r="M401" s="27"/>
      <c r="N401" s="27"/>
      <c r="O401" s="27"/>
      <c r="P401" s="28"/>
      <c r="Q401" s="5" t="str">
        <f t="shared" si="20"/>
        <v>ทันกำหนด</v>
      </c>
      <c r="R401" s="6"/>
      <c r="S401" s="7"/>
    </row>
    <row r="402" spans="1:19" ht="27.75" customHeight="1">
      <c r="A402" s="3">
        <v>400</v>
      </c>
      <c r="B402" s="27"/>
      <c r="C402" s="29"/>
      <c r="D402" s="30"/>
      <c r="E402" s="31"/>
      <c r="F402" s="31"/>
      <c r="G402" s="31">
        <f t="shared" si="18"/>
        <v>0</v>
      </c>
      <c r="H402" s="31" t="str">
        <f t="shared" si="19"/>
        <v>ครบ</v>
      </c>
      <c r="I402" s="31"/>
      <c r="J402" s="27" t="e">
        <f>VLOOKUP(I402,Sheet2!$B$1:$C$62,2,FALSE)</f>
        <v>#N/A</v>
      </c>
      <c r="K402" s="27" t="e">
        <f>VLOOKUP(J402,Sheet2!$C$1:$D$61,2,FALSE)</f>
        <v>#N/A</v>
      </c>
      <c r="L402" s="27"/>
      <c r="M402" s="27"/>
      <c r="N402" s="27"/>
      <c r="O402" s="27"/>
      <c r="P402" s="28"/>
      <c r="Q402" s="5" t="str">
        <f t="shared" si="20"/>
        <v>ทันกำหนด</v>
      </c>
      <c r="R402" s="6"/>
      <c r="S402" s="7"/>
    </row>
    <row r="403" spans="1:19" ht="27.75" customHeight="1">
      <c r="A403" s="3">
        <v>401</v>
      </c>
      <c r="B403" s="27"/>
      <c r="C403" s="29"/>
      <c r="D403" s="30"/>
      <c r="E403" s="31"/>
      <c r="F403" s="31"/>
      <c r="G403" s="31">
        <f t="shared" si="18"/>
        <v>0</v>
      </c>
      <c r="H403" s="31" t="str">
        <f t="shared" si="19"/>
        <v>ครบ</v>
      </c>
      <c r="I403" s="31"/>
      <c r="J403" s="27" t="e">
        <f>VLOOKUP(I403,Sheet2!$B$1:$C$62,2,FALSE)</f>
        <v>#N/A</v>
      </c>
      <c r="K403" s="27" t="e">
        <f>VLOOKUP(J403,Sheet2!$C$1:$D$61,2,FALSE)</f>
        <v>#N/A</v>
      </c>
      <c r="L403" s="27"/>
      <c r="M403" s="27"/>
      <c r="N403" s="27"/>
      <c r="O403" s="27"/>
      <c r="P403" s="28"/>
      <c r="Q403" s="5" t="str">
        <f t="shared" si="20"/>
        <v>ทันกำหนด</v>
      </c>
      <c r="R403" s="6"/>
      <c r="S403" s="7"/>
    </row>
    <row r="404" spans="1:19" ht="27.75" customHeight="1">
      <c r="A404" s="3">
        <v>402</v>
      </c>
      <c r="B404" s="27"/>
      <c r="C404" s="29"/>
      <c r="D404" s="30"/>
      <c r="E404" s="31"/>
      <c r="F404" s="31"/>
      <c r="G404" s="31">
        <f t="shared" si="18"/>
        <v>0</v>
      </c>
      <c r="H404" s="31" t="str">
        <f t="shared" si="19"/>
        <v>ครบ</v>
      </c>
      <c r="I404" s="31"/>
      <c r="J404" s="27" t="e">
        <f>VLOOKUP(I404,Sheet2!$B$1:$C$62,2,FALSE)</f>
        <v>#N/A</v>
      </c>
      <c r="K404" s="27" t="e">
        <f>VLOOKUP(J404,Sheet2!$C$1:$D$61,2,FALSE)</f>
        <v>#N/A</v>
      </c>
      <c r="L404" s="27"/>
      <c r="M404" s="27"/>
      <c r="N404" s="27"/>
      <c r="O404" s="27"/>
      <c r="P404" s="28"/>
      <c r="Q404" s="5" t="str">
        <f t="shared" si="20"/>
        <v>ทันกำหนด</v>
      </c>
      <c r="R404" s="6"/>
      <c r="S404" s="7"/>
    </row>
    <row r="405" spans="1:19" ht="27.75" customHeight="1">
      <c r="A405" s="3">
        <v>403</v>
      </c>
      <c r="B405" s="27"/>
      <c r="C405" s="29"/>
      <c r="D405" s="30"/>
      <c r="E405" s="31"/>
      <c r="F405" s="31"/>
      <c r="G405" s="31">
        <f t="shared" si="18"/>
        <v>0</v>
      </c>
      <c r="H405" s="31" t="str">
        <f t="shared" si="19"/>
        <v>ครบ</v>
      </c>
      <c r="I405" s="31"/>
      <c r="J405" s="27" t="e">
        <f>VLOOKUP(I405,Sheet2!$B$1:$C$62,2,FALSE)</f>
        <v>#N/A</v>
      </c>
      <c r="K405" s="27" t="e">
        <f>VLOOKUP(J405,Sheet2!$C$1:$D$61,2,FALSE)</f>
        <v>#N/A</v>
      </c>
      <c r="L405" s="27"/>
      <c r="M405" s="27"/>
      <c r="N405" s="27"/>
      <c r="O405" s="27"/>
      <c r="P405" s="28"/>
      <c r="Q405" s="5" t="str">
        <f t="shared" si="20"/>
        <v>ทันกำหนด</v>
      </c>
      <c r="R405" s="6"/>
      <c r="S405" s="7"/>
    </row>
    <row r="406" spans="1:19" ht="27.75" customHeight="1">
      <c r="A406" s="3">
        <v>404</v>
      </c>
      <c r="B406" s="27"/>
      <c r="C406" s="29"/>
      <c r="D406" s="30"/>
      <c r="E406" s="31"/>
      <c r="F406" s="31"/>
      <c r="G406" s="31">
        <f t="shared" si="18"/>
        <v>0</v>
      </c>
      <c r="H406" s="31" t="str">
        <f t="shared" si="19"/>
        <v>ครบ</v>
      </c>
      <c r="I406" s="31"/>
      <c r="J406" s="27" t="e">
        <f>VLOOKUP(I406,Sheet2!$B$1:$C$62,2,FALSE)</f>
        <v>#N/A</v>
      </c>
      <c r="K406" s="27" t="e">
        <f>VLOOKUP(J406,Sheet2!$C$1:$D$61,2,FALSE)</f>
        <v>#N/A</v>
      </c>
      <c r="L406" s="27"/>
      <c r="M406" s="27"/>
      <c r="N406" s="27"/>
      <c r="O406" s="27"/>
      <c r="P406" s="28"/>
      <c r="Q406" s="5" t="str">
        <f t="shared" si="20"/>
        <v>ทันกำหนด</v>
      </c>
      <c r="R406" s="6"/>
      <c r="S406" s="7"/>
    </row>
    <row r="407" spans="1:19" ht="27.75" customHeight="1">
      <c r="A407" s="3">
        <v>405</v>
      </c>
      <c r="B407" s="27"/>
      <c r="C407" s="29"/>
      <c r="D407" s="30"/>
      <c r="E407" s="31"/>
      <c r="F407" s="31"/>
      <c r="G407" s="31">
        <f t="shared" si="18"/>
        <v>0</v>
      </c>
      <c r="H407" s="31" t="str">
        <f t="shared" si="19"/>
        <v>ครบ</v>
      </c>
      <c r="I407" s="31"/>
      <c r="J407" s="27" t="e">
        <f>VLOOKUP(I407,Sheet2!$B$1:$C$62,2,FALSE)</f>
        <v>#N/A</v>
      </c>
      <c r="K407" s="27" t="e">
        <f>VLOOKUP(J407,Sheet2!$C$1:$D$61,2,FALSE)</f>
        <v>#N/A</v>
      </c>
      <c r="L407" s="27"/>
      <c r="M407" s="27"/>
      <c r="N407" s="27"/>
      <c r="O407" s="27"/>
      <c r="P407" s="28"/>
      <c r="Q407" s="5" t="str">
        <f t="shared" si="20"/>
        <v>ทันกำหนด</v>
      </c>
      <c r="R407" s="6"/>
      <c r="S407" s="7"/>
    </row>
    <row r="408" spans="1:19" ht="27.75" customHeight="1">
      <c r="A408" s="3">
        <v>406</v>
      </c>
      <c r="B408" s="27"/>
      <c r="C408" s="29"/>
      <c r="D408" s="30"/>
      <c r="E408" s="31"/>
      <c r="F408" s="31"/>
      <c r="G408" s="31">
        <f t="shared" si="18"/>
        <v>0</v>
      </c>
      <c r="H408" s="31" t="str">
        <f t="shared" si="19"/>
        <v>ครบ</v>
      </c>
      <c r="I408" s="31"/>
      <c r="J408" s="27" t="e">
        <f>VLOOKUP(I408,Sheet2!$B$1:$C$62,2,FALSE)</f>
        <v>#N/A</v>
      </c>
      <c r="K408" s="27" t="e">
        <f>VLOOKUP(J408,Sheet2!$C$1:$D$61,2,FALSE)</f>
        <v>#N/A</v>
      </c>
      <c r="L408" s="27"/>
      <c r="M408" s="27"/>
      <c r="N408" s="27"/>
      <c r="O408" s="27"/>
      <c r="P408" s="28"/>
      <c r="Q408" s="5" t="str">
        <f t="shared" si="20"/>
        <v>ทันกำหนด</v>
      </c>
      <c r="R408" s="6"/>
      <c r="S408" s="7"/>
    </row>
    <row r="409" spans="1:19" ht="27.75" customHeight="1">
      <c r="A409" s="3">
        <v>407</v>
      </c>
      <c r="B409" s="27"/>
      <c r="C409" s="29"/>
      <c r="D409" s="30"/>
      <c r="E409" s="31"/>
      <c r="F409" s="31"/>
      <c r="G409" s="31">
        <f t="shared" si="18"/>
        <v>0</v>
      </c>
      <c r="H409" s="31" t="str">
        <f t="shared" si="19"/>
        <v>ครบ</v>
      </c>
      <c r="I409" s="31"/>
      <c r="J409" s="27" t="e">
        <f>VLOOKUP(I409,Sheet2!$B$1:$C$62,2,FALSE)</f>
        <v>#N/A</v>
      </c>
      <c r="K409" s="27" t="e">
        <f>VLOOKUP(J409,Sheet2!$C$1:$D$61,2,FALSE)</f>
        <v>#N/A</v>
      </c>
      <c r="L409" s="27"/>
      <c r="M409" s="27"/>
      <c r="N409" s="27"/>
      <c r="O409" s="27"/>
      <c r="P409" s="28"/>
      <c r="Q409" s="5" t="str">
        <f t="shared" si="20"/>
        <v>ทันกำหนด</v>
      </c>
      <c r="R409" s="6"/>
      <c r="S409" s="7"/>
    </row>
    <row r="410" spans="1:19" ht="27.75" customHeight="1">
      <c r="A410" s="3">
        <v>408</v>
      </c>
      <c r="B410" s="27"/>
      <c r="C410" s="29"/>
      <c r="D410" s="30"/>
      <c r="E410" s="31"/>
      <c r="F410" s="31"/>
      <c r="G410" s="31">
        <f t="shared" si="18"/>
        <v>0</v>
      </c>
      <c r="H410" s="31" t="str">
        <f t="shared" si="19"/>
        <v>ครบ</v>
      </c>
      <c r="I410" s="31"/>
      <c r="J410" s="27" t="e">
        <f>VLOOKUP(I410,Sheet2!$B$1:$C$62,2,FALSE)</f>
        <v>#N/A</v>
      </c>
      <c r="K410" s="27" t="e">
        <f>VLOOKUP(J410,Sheet2!$C$1:$D$61,2,FALSE)</f>
        <v>#N/A</v>
      </c>
      <c r="L410" s="27"/>
      <c r="M410" s="27"/>
      <c r="N410" s="27"/>
      <c r="O410" s="27"/>
      <c r="P410" s="28"/>
      <c r="Q410" s="5" t="str">
        <f t="shared" si="20"/>
        <v>ทันกำหนด</v>
      </c>
      <c r="R410" s="6"/>
      <c r="S410" s="7"/>
    </row>
    <row r="411" spans="1:19" ht="27.75" customHeight="1">
      <c r="A411" s="3">
        <v>409</v>
      </c>
      <c r="B411" s="27"/>
      <c r="C411" s="29"/>
      <c r="D411" s="30"/>
      <c r="E411" s="31"/>
      <c r="F411" s="31"/>
      <c r="G411" s="31">
        <f t="shared" si="18"/>
        <v>0</v>
      </c>
      <c r="H411" s="31" t="str">
        <f t="shared" si="19"/>
        <v>ครบ</v>
      </c>
      <c r="I411" s="31"/>
      <c r="J411" s="27" t="e">
        <f>VLOOKUP(I411,Sheet2!$B$1:$C$62,2,FALSE)</f>
        <v>#N/A</v>
      </c>
      <c r="K411" s="27" t="e">
        <f>VLOOKUP(J411,Sheet2!$C$1:$D$61,2,FALSE)</f>
        <v>#N/A</v>
      </c>
      <c r="L411" s="27"/>
      <c r="M411" s="27"/>
      <c r="N411" s="27"/>
      <c r="O411" s="27"/>
      <c r="P411" s="28"/>
      <c r="Q411" s="5" t="str">
        <f t="shared" si="20"/>
        <v>ทันกำหนด</v>
      </c>
      <c r="R411" s="6"/>
      <c r="S411" s="7"/>
    </row>
    <row r="412" spans="1:19" ht="27.75" customHeight="1">
      <c r="A412" s="3">
        <v>410</v>
      </c>
      <c r="B412" s="27"/>
      <c r="C412" s="29"/>
      <c r="D412" s="30"/>
      <c r="E412" s="31"/>
      <c r="F412" s="31"/>
      <c r="G412" s="31">
        <f t="shared" si="18"/>
        <v>0</v>
      </c>
      <c r="H412" s="31" t="str">
        <f t="shared" si="19"/>
        <v>ครบ</v>
      </c>
      <c r="I412" s="31"/>
      <c r="J412" s="27" t="e">
        <f>VLOOKUP(I412,Sheet2!$B$1:$C$62,2,FALSE)</f>
        <v>#N/A</v>
      </c>
      <c r="K412" s="27" t="e">
        <f>VLOOKUP(J412,Sheet2!$C$1:$D$61,2,FALSE)</f>
        <v>#N/A</v>
      </c>
      <c r="L412" s="27"/>
      <c r="M412" s="27"/>
      <c r="N412" s="27"/>
      <c r="O412" s="27"/>
      <c r="P412" s="28"/>
      <c r="Q412" s="5" t="str">
        <f t="shared" si="20"/>
        <v>ทันกำหนด</v>
      </c>
      <c r="R412" s="6"/>
      <c r="S412" s="7"/>
    </row>
    <row r="413" spans="1:19" ht="27.75" customHeight="1">
      <c r="A413" s="3">
        <v>411</v>
      </c>
      <c r="B413" s="27"/>
      <c r="C413" s="29"/>
      <c r="D413" s="30"/>
      <c r="E413" s="31"/>
      <c r="F413" s="31"/>
      <c r="G413" s="31">
        <f t="shared" si="18"/>
        <v>0</v>
      </c>
      <c r="H413" s="31" t="str">
        <f t="shared" si="19"/>
        <v>ครบ</v>
      </c>
      <c r="I413" s="31"/>
      <c r="J413" s="27" t="e">
        <f>VLOOKUP(I413,Sheet2!$B$1:$C$62,2,FALSE)</f>
        <v>#N/A</v>
      </c>
      <c r="K413" s="27" t="e">
        <f>VLOOKUP(J413,Sheet2!$C$1:$D$61,2,FALSE)</f>
        <v>#N/A</v>
      </c>
      <c r="L413" s="27"/>
      <c r="M413" s="27"/>
      <c r="N413" s="27"/>
      <c r="O413" s="27"/>
      <c r="P413" s="28"/>
      <c r="Q413" s="5" t="str">
        <f t="shared" si="20"/>
        <v>ทันกำหนด</v>
      </c>
      <c r="R413" s="6"/>
      <c r="S413" s="7"/>
    </row>
    <row r="414" spans="1:19" ht="27.75" customHeight="1">
      <c r="A414" s="3">
        <v>412</v>
      </c>
      <c r="B414" s="27"/>
      <c r="C414" s="29"/>
      <c r="D414" s="30"/>
      <c r="E414" s="31"/>
      <c r="F414" s="31"/>
      <c r="G414" s="31">
        <f t="shared" si="18"/>
        <v>0</v>
      </c>
      <c r="H414" s="31" t="str">
        <f t="shared" si="19"/>
        <v>ครบ</v>
      </c>
      <c r="I414" s="31"/>
      <c r="J414" s="27" t="e">
        <f>VLOOKUP(I414,Sheet2!$B$1:$C$62,2,FALSE)</f>
        <v>#N/A</v>
      </c>
      <c r="K414" s="27" t="e">
        <f>VLOOKUP(J414,Sheet2!$C$1:$D$61,2,FALSE)</f>
        <v>#N/A</v>
      </c>
      <c r="L414" s="27"/>
      <c r="M414" s="27"/>
      <c r="N414" s="27"/>
      <c r="O414" s="27"/>
      <c r="P414" s="28"/>
      <c r="Q414" s="5" t="str">
        <f t="shared" si="20"/>
        <v>ทันกำหนด</v>
      </c>
      <c r="R414" s="6"/>
      <c r="S414" s="7"/>
    </row>
    <row r="415" spans="1:19" ht="27.75" customHeight="1">
      <c r="A415" s="3">
        <v>413</v>
      </c>
      <c r="B415" s="27"/>
      <c r="C415" s="29"/>
      <c r="D415" s="30"/>
      <c r="E415" s="31"/>
      <c r="F415" s="31"/>
      <c r="G415" s="31">
        <f t="shared" si="18"/>
        <v>0</v>
      </c>
      <c r="H415" s="31" t="str">
        <f t="shared" si="19"/>
        <v>ครบ</v>
      </c>
      <c r="I415" s="31"/>
      <c r="J415" s="27" t="e">
        <f>VLOOKUP(I415,Sheet2!$B$1:$C$62,2,FALSE)</f>
        <v>#N/A</v>
      </c>
      <c r="K415" s="27" t="e">
        <f>VLOOKUP(J415,Sheet2!$C$1:$D$61,2,FALSE)</f>
        <v>#N/A</v>
      </c>
      <c r="L415" s="27"/>
      <c r="M415" s="27"/>
      <c r="N415" s="27"/>
      <c r="O415" s="27"/>
      <c r="P415" s="28"/>
      <c r="Q415" s="5" t="str">
        <f t="shared" si="20"/>
        <v>ทันกำหนด</v>
      </c>
      <c r="R415" s="6"/>
      <c r="S415" s="7"/>
    </row>
    <row r="416" spans="1:19" ht="27.75" customHeight="1">
      <c r="A416" s="3">
        <v>414</v>
      </c>
      <c r="B416" s="27"/>
      <c r="C416" s="29"/>
      <c r="D416" s="30"/>
      <c r="E416" s="31"/>
      <c r="F416" s="31"/>
      <c r="G416" s="31">
        <f t="shared" si="18"/>
        <v>0</v>
      </c>
      <c r="H416" s="31" t="str">
        <f t="shared" si="19"/>
        <v>ครบ</v>
      </c>
      <c r="I416" s="31"/>
      <c r="J416" s="27" t="e">
        <f>VLOOKUP(I416,Sheet2!$B$1:$C$62,2,FALSE)</f>
        <v>#N/A</v>
      </c>
      <c r="K416" s="27" t="e">
        <f>VLOOKUP(J416,Sheet2!$C$1:$D$61,2,FALSE)</f>
        <v>#N/A</v>
      </c>
      <c r="L416" s="27"/>
      <c r="M416" s="27"/>
      <c r="N416" s="27"/>
      <c r="O416" s="27"/>
      <c r="P416" s="28"/>
      <c r="Q416" s="5" t="str">
        <f t="shared" si="20"/>
        <v>ทันกำหนด</v>
      </c>
      <c r="R416" s="6"/>
      <c r="S416" s="7"/>
    </row>
    <row r="417" spans="1:19" ht="27.75" customHeight="1">
      <c r="A417" s="3">
        <v>415</v>
      </c>
      <c r="B417" s="27"/>
      <c r="C417" s="29"/>
      <c r="D417" s="30"/>
      <c r="E417" s="31"/>
      <c r="F417" s="31"/>
      <c r="G417" s="31">
        <f t="shared" si="18"/>
        <v>0</v>
      </c>
      <c r="H417" s="31" t="str">
        <f t="shared" si="19"/>
        <v>ครบ</v>
      </c>
      <c r="I417" s="31"/>
      <c r="J417" s="27" t="e">
        <f>VLOOKUP(I417,Sheet2!$B$1:$C$62,2,FALSE)</f>
        <v>#N/A</v>
      </c>
      <c r="K417" s="27" t="e">
        <f>VLOOKUP(J417,Sheet2!$C$1:$D$61,2,FALSE)</f>
        <v>#N/A</v>
      </c>
      <c r="L417" s="27"/>
      <c r="M417" s="27"/>
      <c r="N417" s="27"/>
      <c r="O417" s="27"/>
      <c r="P417" s="28"/>
      <c r="Q417" s="5" t="str">
        <f t="shared" si="20"/>
        <v>ทันกำหนด</v>
      </c>
      <c r="R417" s="6"/>
      <c r="S417" s="7"/>
    </row>
    <row r="418" spans="1:19" ht="27.75" customHeight="1">
      <c r="A418" s="3">
        <v>416</v>
      </c>
      <c r="B418" s="27"/>
      <c r="C418" s="29"/>
      <c r="D418" s="30"/>
      <c r="E418" s="31"/>
      <c r="F418" s="31"/>
      <c r="G418" s="31">
        <f t="shared" si="18"/>
        <v>0</v>
      </c>
      <c r="H418" s="31" t="str">
        <f t="shared" si="19"/>
        <v>ครบ</v>
      </c>
      <c r="I418" s="31"/>
      <c r="J418" s="27" t="e">
        <f>VLOOKUP(I418,Sheet2!$B$1:$C$62,2,FALSE)</f>
        <v>#N/A</v>
      </c>
      <c r="K418" s="27" t="e">
        <f>VLOOKUP(J418,Sheet2!$C$1:$D$61,2,FALSE)</f>
        <v>#N/A</v>
      </c>
      <c r="L418" s="27"/>
      <c r="M418" s="27"/>
      <c r="N418" s="27"/>
      <c r="O418" s="27"/>
      <c r="P418" s="28"/>
      <c r="Q418" s="5" t="str">
        <f t="shared" si="20"/>
        <v>ทันกำหนด</v>
      </c>
      <c r="R418" s="6"/>
      <c r="S418" s="7"/>
    </row>
    <row r="419" spans="1:19" ht="27.75" customHeight="1">
      <c r="A419" s="3">
        <v>417</v>
      </c>
      <c r="B419" s="27"/>
      <c r="C419" s="29"/>
      <c r="D419" s="30"/>
      <c r="E419" s="31"/>
      <c r="F419" s="31"/>
      <c r="G419" s="31">
        <f t="shared" si="18"/>
        <v>0</v>
      </c>
      <c r="H419" s="31" t="str">
        <f t="shared" si="19"/>
        <v>ครบ</v>
      </c>
      <c r="I419" s="31"/>
      <c r="J419" s="27" t="e">
        <f>VLOOKUP(I419,Sheet2!$B$1:$C$62,2,FALSE)</f>
        <v>#N/A</v>
      </c>
      <c r="K419" s="27" t="e">
        <f>VLOOKUP(J419,Sheet2!$C$1:$D$61,2,FALSE)</f>
        <v>#N/A</v>
      </c>
      <c r="L419" s="27"/>
      <c r="M419" s="27"/>
      <c r="N419" s="27"/>
      <c r="O419" s="27"/>
      <c r="P419" s="28"/>
      <c r="Q419" s="5" t="str">
        <f t="shared" si="20"/>
        <v>ทันกำหนด</v>
      </c>
      <c r="R419" s="6"/>
      <c r="S419" s="7"/>
    </row>
    <row r="420" spans="1:19" ht="27.75" customHeight="1">
      <c r="A420" s="3">
        <v>418</v>
      </c>
      <c r="B420" s="27"/>
      <c r="C420" s="29"/>
      <c r="D420" s="30"/>
      <c r="E420" s="31"/>
      <c r="F420" s="31"/>
      <c r="G420" s="31">
        <f t="shared" si="18"/>
        <v>0</v>
      </c>
      <c r="H420" s="31" t="str">
        <f t="shared" si="19"/>
        <v>ครบ</v>
      </c>
      <c r="I420" s="31"/>
      <c r="J420" s="27" t="e">
        <f>VLOOKUP(I420,Sheet2!$B$1:$C$62,2,FALSE)</f>
        <v>#N/A</v>
      </c>
      <c r="K420" s="27" t="e">
        <f>VLOOKUP(J420,Sheet2!$C$1:$D$61,2,FALSE)</f>
        <v>#N/A</v>
      </c>
      <c r="L420" s="27"/>
      <c r="M420" s="27"/>
      <c r="N420" s="27"/>
      <c r="O420" s="27"/>
      <c r="P420" s="28"/>
      <c r="Q420" s="5" t="str">
        <f t="shared" si="20"/>
        <v>ทันกำหนด</v>
      </c>
      <c r="R420" s="6"/>
      <c r="S420" s="7"/>
    </row>
    <row r="421" spans="1:19" ht="27.75" customHeight="1">
      <c r="A421" s="3">
        <v>419</v>
      </c>
      <c r="B421" s="27"/>
      <c r="C421" s="29"/>
      <c r="D421" s="30"/>
      <c r="E421" s="31"/>
      <c r="F421" s="31"/>
      <c r="G421" s="31">
        <f t="shared" si="18"/>
        <v>0</v>
      </c>
      <c r="H421" s="31" t="str">
        <f t="shared" si="19"/>
        <v>ครบ</v>
      </c>
      <c r="I421" s="31"/>
      <c r="J421" s="27" t="e">
        <f>VLOOKUP(I421,Sheet2!$B$1:$C$62,2,FALSE)</f>
        <v>#N/A</v>
      </c>
      <c r="K421" s="27" t="e">
        <f>VLOOKUP(J421,Sheet2!$C$1:$D$61,2,FALSE)</f>
        <v>#N/A</v>
      </c>
      <c r="L421" s="27"/>
      <c r="M421" s="27"/>
      <c r="N421" s="27"/>
      <c r="O421" s="27"/>
      <c r="P421" s="28"/>
      <c r="Q421" s="5" t="str">
        <f t="shared" si="20"/>
        <v>ทันกำหนด</v>
      </c>
      <c r="R421" s="6"/>
      <c r="S421" s="7"/>
    </row>
    <row r="422" spans="1:19" ht="27.75" customHeight="1">
      <c r="A422" s="3">
        <v>420</v>
      </c>
      <c r="B422" s="27"/>
      <c r="C422" s="29"/>
      <c r="D422" s="30"/>
      <c r="E422" s="31"/>
      <c r="F422" s="31"/>
      <c r="G422" s="31">
        <f t="shared" si="18"/>
        <v>0</v>
      </c>
      <c r="H422" s="31" t="str">
        <f t="shared" si="19"/>
        <v>ครบ</v>
      </c>
      <c r="I422" s="31"/>
      <c r="J422" s="27" t="e">
        <f>VLOOKUP(I422,Sheet2!$B$1:$C$62,2,FALSE)</f>
        <v>#N/A</v>
      </c>
      <c r="K422" s="27" t="e">
        <f>VLOOKUP(J422,Sheet2!$C$1:$D$61,2,FALSE)</f>
        <v>#N/A</v>
      </c>
      <c r="L422" s="27"/>
      <c r="M422" s="27"/>
      <c r="N422" s="27"/>
      <c r="O422" s="27"/>
      <c r="P422" s="28"/>
      <c r="Q422" s="5" t="str">
        <f t="shared" si="20"/>
        <v>ทันกำหนด</v>
      </c>
      <c r="R422" s="6"/>
      <c r="S422" s="7"/>
    </row>
    <row r="423" spans="1:19" ht="27.75" customHeight="1">
      <c r="A423" s="3">
        <v>421</v>
      </c>
      <c r="B423" s="27"/>
      <c r="C423" s="29"/>
      <c r="D423" s="30"/>
      <c r="E423" s="31"/>
      <c r="F423" s="31"/>
      <c r="G423" s="31">
        <f t="shared" si="18"/>
        <v>0</v>
      </c>
      <c r="H423" s="31" t="str">
        <f t="shared" si="19"/>
        <v>ครบ</v>
      </c>
      <c r="I423" s="31"/>
      <c r="J423" s="27" t="e">
        <f>VLOOKUP(I423,Sheet2!$B$1:$C$62,2,FALSE)</f>
        <v>#N/A</v>
      </c>
      <c r="K423" s="27" t="e">
        <f>VLOOKUP(J423,Sheet2!$C$1:$D$61,2,FALSE)</f>
        <v>#N/A</v>
      </c>
      <c r="L423" s="27"/>
      <c r="M423" s="27"/>
      <c r="N423" s="27"/>
      <c r="O423" s="27"/>
      <c r="P423" s="28"/>
      <c r="Q423" s="5" t="str">
        <f t="shared" si="20"/>
        <v>ทันกำหนด</v>
      </c>
      <c r="R423" s="6"/>
      <c r="S423" s="7"/>
    </row>
    <row r="424" spans="1:19" ht="27.75" customHeight="1">
      <c r="A424" s="3">
        <v>422</v>
      </c>
      <c r="B424" s="27"/>
      <c r="C424" s="29"/>
      <c r="D424" s="30"/>
      <c r="E424" s="31"/>
      <c r="F424" s="31"/>
      <c r="G424" s="31">
        <f t="shared" si="18"/>
        <v>0</v>
      </c>
      <c r="H424" s="31" t="str">
        <f t="shared" si="19"/>
        <v>ครบ</v>
      </c>
      <c r="I424" s="31"/>
      <c r="J424" s="27" t="e">
        <f>VLOOKUP(I424,Sheet2!$B$1:$C$62,2,FALSE)</f>
        <v>#N/A</v>
      </c>
      <c r="K424" s="27" t="e">
        <f>VLOOKUP(J424,Sheet2!$C$1:$D$61,2,FALSE)</f>
        <v>#N/A</v>
      </c>
      <c r="L424" s="27"/>
      <c r="M424" s="27"/>
      <c r="N424" s="27"/>
      <c r="O424" s="27"/>
      <c r="P424" s="28"/>
      <c r="Q424" s="5" t="str">
        <f t="shared" si="20"/>
        <v>ทันกำหนด</v>
      </c>
      <c r="R424" s="6"/>
      <c r="S424" s="7"/>
    </row>
    <row r="425" spans="1:19" ht="27.75" customHeight="1">
      <c r="A425" s="3">
        <v>423</v>
      </c>
      <c r="B425" s="27"/>
      <c r="C425" s="29"/>
      <c r="D425" s="30"/>
      <c r="E425" s="31"/>
      <c r="F425" s="31"/>
      <c r="G425" s="31">
        <f t="shared" si="18"/>
        <v>0</v>
      </c>
      <c r="H425" s="31" t="str">
        <f t="shared" si="19"/>
        <v>ครบ</v>
      </c>
      <c r="I425" s="31"/>
      <c r="J425" s="27" t="e">
        <f>VLOOKUP(I425,Sheet2!$B$1:$C$62,2,FALSE)</f>
        <v>#N/A</v>
      </c>
      <c r="K425" s="27" t="e">
        <f>VLOOKUP(J425,Sheet2!$C$1:$D$61,2,FALSE)</f>
        <v>#N/A</v>
      </c>
      <c r="L425" s="27"/>
      <c r="M425" s="27"/>
      <c r="N425" s="27"/>
      <c r="O425" s="27"/>
      <c r="P425" s="28"/>
      <c r="Q425" s="5" t="str">
        <f t="shared" si="20"/>
        <v>ทันกำหนด</v>
      </c>
      <c r="R425" s="6"/>
      <c r="S425" s="7"/>
    </row>
    <row r="426" spans="1:19" ht="27.75" customHeight="1">
      <c r="A426" s="3">
        <v>424</v>
      </c>
      <c r="B426" s="27"/>
      <c r="C426" s="29"/>
      <c r="D426" s="30"/>
      <c r="E426" s="31"/>
      <c r="F426" s="31"/>
      <c r="G426" s="31">
        <f t="shared" si="18"/>
        <v>0</v>
      </c>
      <c r="H426" s="31" t="str">
        <f t="shared" si="19"/>
        <v>ครบ</v>
      </c>
      <c r="I426" s="31"/>
      <c r="J426" s="27" t="e">
        <f>VLOOKUP(I426,Sheet2!$B$1:$C$62,2,FALSE)</f>
        <v>#N/A</v>
      </c>
      <c r="K426" s="27" t="e">
        <f>VLOOKUP(J426,Sheet2!$C$1:$D$61,2,FALSE)</f>
        <v>#N/A</v>
      </c>
      <c r="L426" s="27"/>
      <c r="M426" s="27"/>
      <c r="N426" s="27"/>
      <c r="O426" s="27"/>
      <c r="P426" s="28"/>
      <c r="Q426" s="5" t="str">
        <f t="shared" si="20"/>
        <v>ทันกำหนด</v>
      </c>
      <c r="R426" s="6"/>
      <c r="S426" s="7"/>
    </row>
    <row r="427" spans="1:19" ht="27.75" customHeight="1">
      <c r="A427" s="3">
        <v>425</v>
      </c>
      <c r="B427" s="27"/>
      <c r="C427" s="29"/>
      <c r="D427" s="30"/>
      <c r="E427" s="31"/>
      <c r="F427" s="31"/>
      <c r="G427" s="31">
        <f t="shared" si="18"/>
        <v>0</v>
      </c>
      <c r="H427" s="31" t="str">
        <f t="shared" si="19"/>
        <v>ครบ</v>
      </c>
      <c r="I427" s="31"/>
      <c r="J427" s="27" t="e">
        <f>VLOOKUP(I427,Sheet2!$B$1:$C$62,2,FALSE)</f>
        <v>#N/A</v>
      </c>
      <c r="K427" s="27" t="e">
        <f>VLOOKUP(J427,Sheet2!$C$1:$D$61,2,FALSE)</f>
        <v>#N/A</v>
      </c>
      <c r="L427" s="27"/>
      <c r="M427" s="27"/>
      <c r="N427" s="27"/>
      <c r="O427" s="27"/>
      <c r="P427" s="28"/>
      <c r="Q427" s="5" t="str">
        <f t="shared" si="20"/>
        <v>ทันกำหนด</v>
      </c>
      <c r="R427" s="6"/>
      <c r="S427" s="7"/>
    </row>
    <row r="428" spans="1:19" ht="27.75" customHeight="1">
      <c r="A428" s="3">
        <v>426</v>
      </c>
      <c r="B428" s="27"/>
      <c r="C428" s="29"/>
      <c r="D428" s="30"/>
      <c r="E428" s="31"/>
      <c r="F428" s="31"/>
      <c r="G428" s="31">
        <f t="shared" si="18"/>
        <v>0</v>
      </c>
      <c r="H428" s="31" t="str">
        <f t="shared" si="19"/>
        <v>ครบ</v>
      </c>
      <c r="I428" s="31"/>
      <c r="J428" s="27" t="e">
        <f>VLOOKUP(I428,Sheet2!$B$1:$C$62,2,FALSE)</f>
        <v>#N/A</v>
      </c>
      <c r="K428" s="27" t="e">
        <f>VLOOKUP(J428,Sheet2!$C$1:$D$61,2,FALSE)</f>
        <v>#N/A</v>
      </c>
      <c r="L428" s="27"/>
      <c r="M428" s="27"/>
      <c r="N428" s="27"/>
      <c r="O428" s="27"/>
      <c r="P428" s="28"/>
      <c r="Q428" s="5" t="str">
        <f t="shared" si="20"/>
        <v>ทันกำหนด</v>
      </c>
      <c r="R428" s="6"/>
      <c r="S428" s="7"/>
    </row>
    <row r="429" spans="1:19" ht="27.75" customHeight="1">
      <c r="A429" s="3">
        <v>427</v>
      </c>
      <c r="B429" s="27"/>
      <c r="C429" s="29"/>
      <c r="D429" s="30"/>
      <c r="E429" s="31"/>
      <c r="F429" s="31"/>
      <c r="G429" s="31">
        <f t="shared" si="18"/>
        <v>0</v>
      </c>
      <c r="H429" s="31" t="str">
        <f t="shared" si="19"/>
        <v>ครบ</v>
      </c>
      <c r="I429" s="31"/>
      <c r="J429" s="27" t="e">
        <f>VLOOKUP(I429,Sheet2!$B$1:$C$62,2,FALSE)</f>
        <v>#N/A</v>
      </c>
      <c r="K429" s="27" t="e">
        <f>VLOOKUP(J429,Sheet2!$C$1:$D$61,2,FALSE)</f>
        <v>#N/A</v>
      </c>
      <c r="L429" s="27"/>
      <c r="M429" s="27"/>
      <c r="N429" s="27"/>
      <c r="O429" s="27"/>
      <c r="P429" s="28"/>
      <c r="Q429" s="5" t="str">
        <f t="shared" si="20"/>
        <v>ทันกำหนด</v>
      </c>
      <c r="R429" s="6"/>
      <c r="S429" s="7"/>
    </row>
    <row r="430" spans="1:19" ht="27.75" customHeight="1">
      <c r="A430" s="3">
        <v>428</v>
      </c>
      <c r="B430" s="27"/>
      <c r="C430" s="29"/>
      <c r="D430" s="30"/>
      <c r="E430" s="31"/>
      <c r="F430" s="31"/>
      <c r="G430" s="31">
        <f t="shared" si="18"/>
        <v>0</v>
      </c>
      <c r="H430" s="31" t="str">
        <f t="shared" si="19"/>
        <v>ครบ</v>
      </c>
      <c r="I430" s="31"/>
      <c r="J430" s="27" t="e">
        <f>VLOOKUP(I430,Sheet2!$B$1:$C$62,2,FALSE)</f>
        <v>#N/A</v>
      </c>
      <c r="K430" s="27" t="e">
        <f>VLOOKUP(J430,Sheet2!$C$1:$D$61,2,FALSE)</f>
        <v>#N/A</v>
      </c>
      <c r="L430" s="27"/>
      <c r="M430" s="27"/>
      <c r="N430" s="27"/>
      <c r="O430" s="27"/>
      <c r="P430" s="28"/>
      <c r="Q430" s="5" t="str">
        <f t="shared" si="20"/>
        <v>ทันกำหนด</v>
      </c>
      <c r="R430" s="6"/>
      <c r="S430" s="7"/>
    </row>
    <row r="431" spans="1:19" ht="27.75" customHeight="1">
      <c r="A431" s="3">
        <v>429</v>
      </c>
      <c r="B431" s="27"/>
      <c r="C431" s="29"/>
      <c r="D431" s="30"/>
      <c r="E431" s="31"/>
      <c r="F431" s="31"/>
      <c r="G431" s="31">
        <f t="shared" si="18"/>
        <v>0</v>
      </c>
      <c r="H431" s="31" t="str">
        <f t="shared" si="19"/>
        <v>ครบ</v>
      </c>
      <c r="I431" s="31"/>
      <c r="J431" s="27" t="e">
        <f>VLOOKUP(I431,Sheet2!$B$1:$C$62,2,FALSE)</f>
        <v>#N/A</v>
      </c>
      <c r="K431" s="27" t="e">
        <f>VLOOKUP(J431,Sheet2!$C$1:$D$61,2,FALSE)</f>
        <v>#N/A</v>
      </c>
      <c r="L431" s="27"/>
      <c r="M431" s="27"/>
      <c r="N431" s="27"/>
      <c r="O431" s="27"/>
      <c r="P431" s="28"/>
      <c r="Q431" s="5" t="str">
        <f t="shared" si="20"/>
        <v>ทันกำหนด</v>
      </c>
      <c r="R431" s="6"/>
      <c r="S431" s="7"/>
    </row>
    <row r="432" spans="1:19" ht="27.75" customHeight="1">
      <c r="A432" s="3">
        <v>430</v>
      </c>
      <c r="B432" s="27"/>
      <c r="C432" s="29"/>
      <c r="D432" s="30"/>
      <c r="E432" s="31"/>
      <c r="F432" s="31"/>
      <c r="G432" s="31">
        <f t="shared" ref="G432:G495" si="21">$E432-$F432</f>
        <v>0</v>
      </c>
      <c r="H432" s="31" t="str">
        <f t="shared" si="19"/>
        <v>ครบ</v>
      </c>
      <c r="I432" s="31"/>
      <c r="J432" s="27" t="e">
        <f>VLOOKUP(I432,Sheet2!$B$1:$C$62,2,FALSE)</f>
        <v>#N/A</v>
      </c>
      <c r="K432" s="27" t="e">
        <f>VLOOKUP(J432,Sheet2!$C$1:$D$61,2,FALSE)</f>
        <v>#N/A</v>
      </c>
      <c r="L432" s="27"/>
      <c r="M432" s="27"/>
      <c r="N432" s="27"/>
      <c r="O432" s="27"/>
      <c r="P432" s="28"/>
      <c r="Q432" s="5" t="str">
        <f t="shared" si="20"/>
        <v>ทันกำหนด</v>
      </c>
      <c r="R432" s="6"/>
      <c r="S432" s="7"/>
    </row>
    <row r="433" spans="1:19" ht="27.75" customHeight="1">
      <c r="A433" s="3">
        <v>431</v>
      </c>
      <c r="B433" s="27"/>
      <c r="C433" s="29"/>
      <c r="D433" s="30"/>
      <c r="E433" s="31"/>
      <c r="F433" s="31"/>
      <c r="G433" s="31">
        <f t="shared" si="21"/>
        <v>0</v>
      </c>
      <c r="H433" s="31" t="str">
        <f t="shared" si="19"/>
        <v>ครบ</v>
      </c>
      <c r="I433" s="31"/>
      <c r="J433" s="27" t="e">
        <f>VLOOKUP(I433,Sheet2!$B$1:$C$62,2,FALSE)</f>
        <v>#N/A</v>
      </c>
      <c r="K433" s="27" t="e">
        <f>VLOOKUP(J433,Sheet2!$C$1:$D$61,2,FALSE)</f>
        <v>#N/A</v>
      </c>
      <c r="L433" s="27"/>
      <c r="M433" s="27"/>
      <c r="N433" s="27"/>
      <c r="O433" s="27"/>
      <c r="P433" s="28"/>
      <c r="Q433" s="5" t="str">
        <f t="shared" si="20"/>
        <v>ทันกำหนด</v>
      </c>
      <c r="R433" s="6"/>
      <c r="S433" s="7"/>
    </row>
    <row r="434" spans="1:19" ht="27.75" customHeight="1">
      <c r="A434" s="3">
        <v>432</v>
      </c>
      <c r="B434" s="27"/>
      <c r="C434" s="29"/>
      <c r="D434" s="30"/>
      <c r="E434" s="31"/>
      <c r="F434" s="31"/>
      <c r="G434" s="31">
        <f t="shared" si="21"/>
        <v>0</v>
      </c>
      <c r="H434" s="31" t="str">
        <f t="shared" si="19"/>
        <v>ครบ</v>
      </c>
      <c r="I434" s="31"/>
      <c r="J434" s="27" t="e">
        <f>VLOOKUP(I434,Sheet2!$B$1:$C$62,2,FALSE)</f>
        <v>#N/A</v>
      </c>
      <c r="K434" s="27" t="e">
        <f>VLOOKUP(J434,Sheet2!$C$1:$D$61,2,FALSE)</f>
        <v>#N/A</v>
      </c>
      <c r="L434" s="27"/>
      <c r="M434" s="27"/>
      <c r="N434" s="27"/>
      <c r="O434" s="27"/>
      <c r="P434" s="28"/>
      <c r="Q434" s="5" t="str">
        <f t="shared" si="20"/>
        <v>ทันกำหนด</v>
      </c>
      <c r="R434" s="6"/>
      <c r="S434" s="7"/>
    </row>
    <row r="435" spans="1:19" ht="27.75" customHeight="1">
      <c r="A435" s="3">
        <v>433</v>
      </c>
      <c r="B435" s="27"/>
      <c r="C435" s="29"/>
      <c r="D435" s="30"/>
      <c r="E435" s="31"/>
      <c r="F435" s="31"/>
      <c r="G435" s="31">
        <f t="shared" si="21"/>
        <v>0</v>
      </c>
      <c r="H435" s="31" t="str">
        <f t="shared" si="19"/>
        <v>ครบ</v>
      </c>
      <c r="I435" s="31"/>
      <c r="J435" s="27" t="e">
        <f>VLOOKUP(I435,Sheet2!$B$1:$C$62,2,FALSE)</f>
        <v>#N/A</v>
      </c>
      <c r="K435" s="27" t="e">
        <f>VLOOKUP(J435,Sheet2!$C$1:$D$61,2,FALSE)</f>
        <v>#N/A</v>
      </c>
      <c r="L435" s="27"/>
      <c r="M435" s="27"/>
      <c r="N435" s="27"/>
      <c r="O435" s="27"/>
      <c r="P435" s="28"/>
      <c r="Q435" s="5" t="str">
        <f t="shared" si="20"/>
        <v>ทันกำหนด</v>
      </c>
      <c r="R435" s="6"/>
      <c r="S435" s="7"/>
    </row>
    <row r="436" spans="1:19" ht="27.75" customHeight="1">
      <c r="A436" s="3">
        <v>434</v>
      </c>
      <c r="B436" s="27"/>
      <c r="C436" s="29"/>
      <c r="D436" s="30"/>
      <c r="E436" s="31"/>
      <c r="F436" s="31"/>
      <c r="G436" s="31">
        <f t="shared" si="21"/>
        <v>0</v>
      </c>
      <c r="H436" s="31" t="str">
        <f t="shared" si="19"/>
        <v>ครบ</v>
      </c>
      <c r="I436" s="31"/>
      <c r="J436" s="27" t="e">
        <f>VLOOKUP(I436,Sheet2!$B$1:$C$62,2,FALSE)</f>
        <v>#N/A</v>
      </c>
      <c r="K436" s="27" t="e">
        <f>VLOOKUP(J436,Sheet2!$C$1:$D$61,2,FALSE)</f>
        <v>#N/A</v>
      </c>
      <c r="L436" s="27"/>
      <c r="M436" s="27"/>
      <c r="N436" s="27"/>
      <c r="O436" s="27"/>
      <c r="P436" s="28"/>
      <c r="Q436" s="5" t="str">
        <f t="shared" si="20"/>
        <v>ทันกำหนด</v>
      </c>
      <c r="R436" s="6"/>
      <c r="S436" s="7"/>
    </row>
    <row r="437" spans="1:19" ht="27.75" customHeight="1">
      <c r="A437" s="3">
        <v>435</v>
      </c>
      <c r="B437" s="27"/>
      <c r="C437" s="29"/>
      <c r="D437" s="30"/>
      <c r="E437" s="31"/>
      <c r="F437" s="31"/>
      <c r="G437" s="31">
        <f t="shared" si="21"/>
        <v>0</v>
      </c>
      <c r="H437" s="31" t="str">
        <f t="shared" si="19"/>
        <v>ครบ</v>
      </c>
      <c r="I437" s="31"/>
      <c r="J437" s="27" t="e">
        <f>VLOOKUP(I437,Sheet2!$B$1:$C$62,2,FALSE)</f>
        <v>#N/A</v>
      </c>
      <c r="K437" s="27" t="e">
        <f>VLOOKUP(J437,Sheet2!$C$1:$D$61,2,FALSE)</f>
        <v>#N/A</v>
      </c>
      <c r="L437" s="27"/>
      <c r="M437" s="27"/>
      <c r="N437" s="27"/>
      <c r="O437" s="27"/>
      <c r="P437" s="28"/>
      <c r="Q437" s="5" t="str">
        <f t="shared" si="20"/>
        <v>ทันกำหนด</v>
      </c>
      <c r="R437" s="6"/>
      <c r="S437" s="7"/>
    </row>
    <row r="438" spans="1:19" ht="27.75" customHeight="1">
      <c r="A438" s="3">
        <v>436</v>
      </c>
      <c r="B438" s="27"/>
      <c r="C438" s="29"/>
      <c r="D438" s="30"/>
      <c r="E438" s="31"/>
      <c r="F438" s="31"/>
      <c r="G438" s="31">
        <f t="shared" si="21"/>
        <v>0</v>
      </c>
      <c r="H438" s="31" t="str">
        <f t="shared" si="19"/>
        <v>ครบ</v>
      </c>
      <c r="I438" s="31"/>
      <c r="J438" s="27" t="e">
        <f>VLOOKUP(I438,Sheet2!$B$1:$C$62,2,FALSE)</f>
        <v>#N/A</v>
      </c>
      <c r="K438" s="27" t="e">
        <f>VLOOKUP(J438,Sheet2!$C$1:$D$61,2,FALSE)</f>
        <v>#N/A</v>
      </c>
      <c r="L438" s="27"/>
      <c r="M438" s="27"/>
      <c r="N438" s="27"/>
      <c r="O438" s="27"/>
      <c r="P438" s="28"/>
      <c r="Q438" s="5" t="str">
        <f t="shared" si="20"/>
        <v>ทันกำหนด</v>
      </c>
      <c r="R438" s="6"/>
      <c r="S438" s="7"/>
    </row>
    <row r="439" spans="1:19" ht="27.75" customHeight="1">
      <c r="A439" s="3">
        <v>437</v>
      </c>
      <c r="B439" s="27"/>
      <c r="C439" s="29"/>
      <c r="D439" s="30"/>
      <c r="E439" s="31"/>
      <c r="F439" s="31"/>
      <c r="G439" s="31">
        <f t="shared" si="21"/>
        <v>0</v>
      </c>
      <c r="H439" s="31" t="str">
        <f t="shared" si="19"/>
        <v>ครบ</v>
      </c>
      <c r="I439" s="31"/>
      <c r="J439" s="27" t="e">
        <f>VLOOKUP(I439,Sheet2!$B$1:$C$62,2,FALSE)</f>
        <v>#N/A</v>
      </c>
      <c r="K439" s="27" t="e">
        <f>VLOOKUP(J439,Sheet2!$C$1:$D$61,2,FALSE)</f>
        <v>#N/A</v>
      </c>
      <c r="L439" s="27"/>
      <c r="M439" s="27"/>
      <c r="N439" s="27"/>
      <c r="O439" s="27"/>
      <c r="P439" s="28"/>
      <c r="Q439" s="5" t="str">
        <f t="shared" si="20"/>
        <v>ทันกำหนด</v>
      </c>
      <c r="R439" s="6"/>
      <c r="S439" s="7"/>
    </row>
    <row r="440" spans="1:19" ht="27.75" customHeight="1">
      <c r="A440" s="3">
        <v>438</v>
      </c>
      <c r="B440" s="27"/>
      <c r="C440" s="29"/>
      <c r="D440" s="30"/>
      <c r="E440" s="31"/>
      <c r="F440" s="31"/>
      <c r="G440" s="31">
        <f t="shared" si="21"/>
        <v>0</v>
      </c>
      <c r="H440" s="31" t="str">
        <f t="shared" si="19"/>
        <v>ครบ</v>
      </c>
      <c r="I440" s="31"/>
      <c r="J440" s="27" t="e">
        <f>VLOOKUP(I440,Sheet2!$B$1:$C$62,2,FALSE)</f>
        <v>#N/A</v>
      </c>
      <c r="K440" s="27" t="e">
        <f>VLOOKUP(J440,Sheet2!$C$1:$D$61,2,FALSE)</f>
        <v>#N/A</v>
      </c>
      <c r="L440" s="27"/>
      <c r="M440" s="27"/>
      <c r="N440" s="27"/>
      <c r="O440" s="27"/>
      <c r="P440" s="28"/>
      <c r="Q440" s="5" t="str">
        <f t="shared" si="20"/>
        <v>ทันกำหนด</v>
      </c>
      <c r="R440" s="6"/>
      <c r="S440" s="7"/>
    </row>
    <row r="441" spans="1:19" ht="27.75" customHeight="1">
      <c r="A441" s="3">
        <v>439</v>
      </c>
      <c r="B441" s="27"/>
      <c r="C441" s="29"/>
      <c r="D441" s="30"/>
      <c r="E441" s="31"/>
      <c r="F441" s="31"/>
      <c r="G441" s="31">
        <f t="shared" si="21"/>
        <v>0</v>
      </c>
      <c r="H441" s="31" t="str">
        <f t="shared" si="19"/>
        <v>ครบ</v>
      </c>
      <c r="I441" s="31"/>
      <c r="J441" s="27" t="e">
        <f>VLOOKUP(I441,Sheet2!$B$1:$C$62,2,FALSE)</f>
        <v>#N/A</v>
      </c>
      <c r="K441" s="27" t="e">
        <f>VLOOKUP(J441,Sheet2!$C$1:$D$61,2,FALSE)</f>
        <v>#N/A</v>
      </c>
      <c r="L441" s="27"/>
      <c r="M441" s="27"/>
      <c r="N441" s="27"/>
      <c r="O441" s="27"/>
      <c r="P441" s="28"/>
      <c r="Q441" s="5" t="str">
        <f t="shared" si="20"/>
        <v>ทันกำหนด</v>
      </c>
      <c r="R441" s="6"/>
      <c r="S441" s="7"/>
    </row>
    <row r="442" spans="1:19" ht="27.75" customHeight="1">
      <c r="A442" s="3">
        <v>440</v>
      </c>
      <c r="B442" s="27"/>
      <c r="C442" s="29"/>
      <c r="D442" s="30"/>
      <c r="E442" s="31"/>
      <c r="F442" s="31"/>
      <c r="G442" s="31">
        <f t="shared" si="21"/>
        <v>0</v>
      </c>
      <c r="H442" s="31" t="str">
        <f t="shared" si="19"/>
        <v>ครบ</v>
      </c>
      <c r="I442" s="31"/>
      <c r="J442" s="27" t="e">
        <f>VLOOKUP(I442,Sheet2!$B$1:$C$62,2,FALSE)</f>
        <v>#N/A</v>
      </c>
      <c r="K442" s="27" t="e">
        <f>VLOOKUP(J442,Sheet2!$C$1:$D$61,2,FALSE)</f>
        <v>#N/A</v>
      </c>
      <c r="L442" s="27"/>
      <c r="M442" s="27"/>
      <c r="N442" s="27"/>
      <c r="O442" s="27"/>
      <c r="P442" s="28"/>
      <c r="Q442" s="5" t="str">
        <f t="shared" si="20"/>
        <v>ทันกำหนด</v>
      </c>
      <c r="R442" s="6"/>
      <c r="S442" s="7"/>
    </row>
    <row r="443" spans="1:19" ht="27.75" customHeight="1">
      <c r="A443" s="3">
        <v>441</v>
      </c>
      <c r="B443" s="27"/>
      <c r="C443" s="29"/>
      <c r="D443" s="30"/>
      <c r="E443" s="31"/>
      <c r="F443" s="31"/>
      <c r="G443" s="31">
        <f t="shared" si="21"/>
        <v>0</v>
      </c>
      <c r="H443" s="31" t="str">
        <f t="shared" si="19"/>
        <v>ครบ</v>
      </c>
      <c r="I443" s="31"/>
      <c r="J443" s="27" t="e">
        <f>VLOOKUP(I443,Sheet2!$B$1:$C$62,2,FALSE)</f>
        <v>#N/A</v>
      </c>
      <c r="K443" s="27" t="e">
        <f>VLOOKUP(J443,Sheet2!$C$1:$D$61,2,FALSE)</f>
        <v>#N/A</v>
      </c>
      <c r="L443" s="27"/>
      <c r="M443" s="27"/>
      <c r="N443" s="27"/>
      <c r="O443" s="27"/>
      <c r="P443" s="28"/>
      <c r="Q443" s="5" t="str">
        <f t="shared" si="20"/>
        <v>ทันกำหนด</v>
      </c>
      <c r="R443" s="6"/>
      <c r="S443" s="7"/>
    </row>
    <row r="444" spans="1:19" ht="27.75" customHeight="1">
      <c r="A444" s="3">
        <v>442</v>
      </c>
      <c r="B444" s="27"/>
      <c r="C444" s="29"/>
      <c r="D444" s="30"/>
      <c r="E444" s="31"/>
      <c r="F444" s="31"/>
      <c r="G444" s="31">
        <f t="shared" si="21"/>
        <v>0</v>
      </c>
      <c r="H444" s="31" t="str">
        <f t="shared" si="19"/>
        <v>ครบ</v>
      </c>
      <c r="I444" s="31"/>
      <c r="J444" s="27" t="e">
        <f>VLOOKUP(I444,Sheet2!$B$1:$C$62,2,FALSE)</f>
        <v>#N/A</v>
      </c>
      <c r="K444" s="27" t="e">
        <f>VLOOKUP(J444,Sheet2!$C$1:$D$61,2,FALSE)</f>
        <v>#N/A</v>
      </c>
      <c r="L444" s="27"/>
      <c r="M444" s="27"/>
      <c r="N444" s="27"/>
      <c r="O444" s="27"/>
      <c r="P444" s="28"/>
      <c r="Q444" s="5" t="str">
        <f t="shared" si="20"/>
        <v>ทันกำหนด</v>
      </c>
      <c r="R444" s="6"/>
      <c r="S444" s="7"/>
    </row>
    <row r="445" spans="1:19" ht="27.75" customHeight="1">
      <c r="A445" s="3">
        <v>443</v>
      </c>
      <c r="B445" s="27"/>
      <c r="C445" s="29"/>
      <c r="D445" s="30"/>
      <c r="E445" s="31"/>
      <c r="F445" s="31"/>
      <c r="G445" s="31">
        <f t="shared" si="21"/>
        <v>0</v>
      </c>
      <c r="H445" s="31" t="str">
        <f t="shared" si="19"/>
        <v>ครบ</v>
      </c>
      <c r="I445" s="31"/>
      <c r="J445" s="27" t="e">
        <f>VLOOKUP(I445,Sheet2!$B$1:$C$62,2,FALSE)</f>
        <v>#N/A</v>
      </c>
      <c r="K445" s="27" t="e">
        <f>VLOOKUP(J445,Sheet2!$C$1:$D$61,2,FALSE)</f>
        <v>#N/A</v>
      </c>
      <c r="L445" s="27"/>
      <c r="M445" s="27"/>
      <c r="N445" s="27"/>
      <c r="O445" s="27"/>
      <c r="P445" s="28"/>
      <c r="Q445" s="5" t="str">
        <f t="shared" si="20"/>
        <v>ทันกำหนด</v>
      </c>
      <c r="R445" s="6"/>
      <c r="S445" s="7"/>
    </row>
    <row r="446" spans="1:19" ht="27.75" customHeight="1">
      <c r="A446" s="3">
        <v>444</v>
      </c>
      <c r="B446" s="27"/>
      <c r="C446" s="29"/>
      <c r="D446" s="30"/>
      <c r="E446" s="31"/>
      <c r="F446" s="31"/>
      <c r="G446" s="31">
        <f t="shared" si="21"/>
        <v>0</v>
      </c>
      <c r="H446" s="31" t="str">
        <f t="shared" si="19"/>
        <v>ครบ</v>
      </c>
      <c r="I446" s="31"/>
      <c r="J446" s="27" t="e">
        <f>VLOOKUP(I446,Sheet2!$B$1:$C$62,2,FALSE)</f>
        <v>#N/A</v>
      </c>
      <c r="K446" s="27" t="e">
        <f>VLOOKUP(J446,Sheet2!$C$1:$D$61,2,FALSE)</f>
        <v>#N/A</v>
      </c>
      <c r="L446" s="27"/>
      <c r="M446" s="27"/>
      <c r="N446" s="27"/>
      <c r="O446" s="27"/>
      <c r="P446" s="28"/>
      <c r="Q446" s="5" t="str">
        <f t="shared" si="20"/>
        <v>ทันกำหนด</v>
      </c>
      <c r="R446" s="6"/>
      <c r="S446" s="7"/>
    </row>
    <row r="447" spans="1:19" ht="27.75" customHeight="1">
      <c r="A447" s="3">
        <v>445</v>
      </c>
      <c r="B447" s="27"/>
      <c r="C447" s="29"/>
      <c r="D447" s="30"/>
      <c r="E447" s="31"/>
      <c r="F447" s="31"/>
      <c r="G447" s="31">
        <f t="shared" si="21"/>
        <v>0</v>
      </c>
      <c r="H447" s="31" t="str">
        <f t="shared" si="19"/>
        <v>ครบ</v>
      </c>
      <c r="I447" s="31"/>
      <c r="J447" s="27" t="e">
        <f>VLOOKUP(I447,Sheet2!$B$1:$C$62,2,FALSE)</f>
        <v>#N/A</v>
      </c>
      <c r="K447" s="27" t="e">
        <f>VLOOKUP(J447,Sheet2!$C$1:$D$61,2,FALSE)</f>
        <v>#N/A</v>
      </c>
      <c r="L447" s="27"/>
      <c r="M447" s="27"/>
      <c r="N447" s="27"/>
      <c r="O447" s="27"/>
      <c r="P447" s="28"/>
      <c r="Q447" s="5" t="str">
        <f t="shared" si="20"/>
        <v>ทันกำหนด</v>
      </c>
      <c r="R447" s="6"/>
      <c r="S447" s="7"/>
    </row>
    <row r="448" spans="1:19" ht="27.75" customHeight="1">
      <c r="A448" s="3">
        <v>446</v>
      </c>
      <c r="B448" s="27"/>
      <c r="C448" s="29"/>
      <c r="D448" s="30"/>
      <c r="E448" s="31"/>
      <c r="F448" s="31"/>
      <c r="G448" s="31">
        <f t="shared" si="21"/>
        <v>0</v>
      </c>
      <c r="H448" s="31" t="str">
        <f t="shared" si="19"/>
        <v>ครบ</v>
      </c>
      <c r="I448" s="31"/>
      <c r="J448" s="27" t="e">
        <f>VLOOKUP(I448,Sheet2!$B$1:$C$62,2,FALSE)</f>
        <v>#N/A</v>
      </c>
      <c r="K448" s="27" t="e">
        <f>VLOOKUP(J448,Sheet2!$C$1:$D$61,2,FALSE)</f>
        <v>#N/A</v>
      </c>
      <c r="L448" s="27"/>
      <c r="M448" s="27"/>
      <c r="N448" s="27"/>
      <c r="O448" s="27"/>
      <c r="P448" s="28"/>
      <c r="Q448" s="5" t="str">
        <f t="shared" si="20"/>
        <v>ทันกำหนด</v>
      </c>
      <c r="R448" s="6"/>
      <c r="S448" s="7"/>
    </row>
    <row r="449" spans="1:19" ht="27.75" customHeight="1">
      <c r="A449" s="3">
        <v>447</v>
      </c>
      <c r="B449" s="27"/>
      <c r="C449" s="29"/>
      <c r="D449" s="30"/>
      <c r="E449" s="31"/>
      <c r="F449" s="31"/>
      <c r="G449" s="31">
        <f t="shared" si="21"/>
        <v>0</v>
      </c>
      <c r="H449" s="31" t="str">
        <f t="shared" si="19"/>
        <v>ครบ</v>
      </c>
      <c r="I449" s="31"/>
      <c r="J449" s="27" t="e">
        <f>VLOOKUP(I449,Sheet2!$B$1:$C$62,2,FALSE)</f>
        <v>#N/A</v>
      </c>
      <c r="K449" s="27" t="e">
        <f>VLOOKUP(J449,Sheet2!$C$1:$D$61,2,FALSE)</f>
        <v>#N/A</v>
      </c>
      <c r="L449" s="27"/>
      <c r="M449" s="27"/>
      <c r="N449" s="27"/>
      <c r="O449" s="27"/>
      <c r="P449" s="28"/>
      <c r="Q449" s="5" t="str">
        <f t="shared" si="20"/>
        <v>ทันกำหนด</v>
      </c>
      <c r="R449" s="6"/>
      <c r="S449" s="7"/>
    </row>
    <row r="450" spans="1:19" ht="27.75" customHeight="1">
      <c r="A450" s="3">
        <v>448</v>
      </c>
      <c r="B450" s="27"/>
      <c r="C450" s="29"/>
      <c r="D450" s="30"/>
      <c r="E450" s="31"/>
      <c r="F450" s="31"/>
      <c r="G450" s="31">
        <f t="shared" si="21"/>
        <v>0</v>
      </c>
      <c r="H450" s="31" t="str">
        <f t="shared" si="19"/>
        <v>ครบ</v>
      </c>
      <c r="I450" s="31"/>
      <c r="J450" s="27" t="e">
        <f>VLOOKUP(I450,Sheet2!$B$1:$C$62,2,FALSE)</f>
        <v>#N/A</v>
      </c>
      <c r="K450" s="27" t="e">
        <f>VLOOKUP(J450,Sheet2!$C$1:$D$61,2,FALSE)</f>
        <v>#N/A</v>
      </c>
      <c r="L450" s="27"/>
      <c r="M450" s="27"/>
      <c r="N450" s="27"/>
      <c r="O450" s="27"/>
      <c r="P450" s="28"/>
      <c r="Q450" s="5" t="str">
        <f t="shared" si="20"/>
        <v>ทันกำหนด</v>
      </c>
      <c r="R450" s="6"/>
      <c r="S450" s="7"/>
    </row>
    <row r="451" spans="1:19" ht="27.75" customHeight="1">
      <c r="A451" s="3">
        <v>449</v>
      </c>
      <c r="B451" s="27"/>
      <c r="C451" s="29"/>
      <c r="D451" s="30"/>
      <c r="E451" s="31"/>
      <c r="F451" s="31"/>
      <c r="G451" s="31">
        <f t="shared" si="21"/>
        <v>0</v>
      </c>
      <c r="H451" s="31" t="str">
        <f t="shared" si="19"/>
        <v>ครบ</v>
      </c>
      <c r="I451" s="31"/>
      <c r="J451" s="27" t="e">
        <f>VLOOKUP(I451,Sheet2!$B$1:$C$62,2,FALSE)</f>
        <v>#N/A</v>
      </c>
      <c r="K451" s="27" t="e">
        <f>VLOOKUP(J451,Sheet2!$C$1:$D$61,2,FALSE)</f>
        <v>#N/A</v>
      </c>
      <c r="L451" s="27"/>
      <c r="M451" s="27"/>
      <c r="N451" s="27"/>
      <c r="O451" s="27"/>
      <c r="P451" s="28"/>
      <c r="Q451" s="5" t="str">
        <f t="shared" si="20"/>
        <v>ทันกำหนด</v>
      </c>
      <c r="R451" s="6"/>
      <c r="S451" s="7"/>
    </row>
    <row r="452" spans="1:19" ht="27.75" customHeight="1">
      <c r="A452" s="3">
        <v>450</v>
      </c>
      <c r="B452" s="27"/>
      <c r="C452" s="29"/>
      <c r="D452" s="30"/>
      <c r="E452" s="31"/>
      <c r="F452" s="31"/>
      <c r="G452" s="31">
        <f t="shared" si="21"/>
        <v>0</v>
      </c>
      <c r="H452" s="31" t="str">
        <f t="shared" ref="H452:H581" si="22">IF($G452=0,"ครบ","ไม่ครบ")</f>
        <v>ครบ</v>
      </c>
      <c r="I452" s="31"/>
      <c r="J452" s="27" t="e">
        <f>VLOOKUP(I452,Sheet2!$B$1:$C$62,2,FALSE)</f>
        <v>#N/A</v>
      </c>
      <c r="K452" s="27" t="e">
        <f>VLOOKUP(J452,Sheet2!$C$1:$D$61,2,FALSE)</f>
        <v>#N/A</v>
      </c>
      <c r="L452" s="27"/>
      <c r="M452" s="27"/>
      <c r="N452" s="27"/>
      <c r="O452" s="27"/>
      <c r="P452" s="28"/>
      <c r="Q452" s="5" t="str">
        <f t="shared" ref="Q452:Q581" si="23">IF($N452&gt;$M452,"เกินกำหนด","ทันกำหนด")</f>
        <v>ทันกำหนด</v>
      </c>
      <c r="R452" s="6"/>
      <c r="S452" s="7"/>
    </row>
    <row r="453" spans="1:19" ht="27.75" customHeight="1">
      <c r="A453" s="3">
        <v>451</v>
      </c>
      <c r="B453" s="27"/>
      <c r="C453" s="29"/>
      <c r="D453" s="30"/>
      <c r="E453" s="31"/>
      <c r="F453" s="31"/>
      <c r="G453" s="31">
        <f t="shared" si="21"/>
        <v>0</v>
      </c>
      <c r="H453" s="31" t="str">
        <f t="shared" si="22"/>
        <v>ครบ</v>
      </c>
      <c r="I453" s="31"/>
      <c r="J453" s="27" t="e">
        <f>VLOOKUP(I453,Sheet2!$B$1:$C$62,2,FALSE)</f>
        <v>#N/A</v>
      </c>
      <c r="K453" s="27" t="e">
        <f>VLOOKUP(J453,Sheet2!$C$1:$D$61,2,FALSE)</f>
        <v>#N/A</v>
      </c>
      <c r="L453" s="27"/>
      <c r="M453" s="27"/>
      <c r="N453" s="27"/>
      <c r="O453" s="27"/>
      <c r="P453" s="28"/>
      <c r="Q453" s="5" t="str">
        <f t="shared" si="23"/>
        <v>ทันกำหนด</v>
      </c>
      <c r="R453" s="6"/>
      <c r="S453" s="7"/>
    </row>
    <row r="454" spans="1:19" ht="27.75" customHeight="1">
      <c r="A454" s="3">
        <v>452</v>
      </c>
      <c r="B454" s="27"/>
      <c r="C454" s="29"/>
      <c r="D454" s="30"/>
      <c r="E454" s="31"/>
      <c r="F454" s="31"/>
      <c r="G454" s="31">
        <f t="shared" si="21"/>
        <v>0</v>
      </c>
      <c r="H454" s="31" t="str">
        <f t="shared" si="22"/>
        <v>ครบ</v>
      </c>
      <c r="I454" s="31"/>
      <c r="J454" s="27" t="e">
        <f>VLOOKUP(I454,Sheet2!$B$1:$C$62,2,FALSE)</f>
        <v>#N/A</v>
      </c>
      <c r="K454" s="27" t="e">
        <f>VLOOKUP(J454,Sheet2!$C$1:$D$61,2,FALSE)</f>
        <v>#N/A</v>
      </c>
      <c r="L454" s="27"/>
      <c r="M454" s="27"/>
      <c r="N454" s="27"/>
      <c r="O454" s="27"/>
      <c r="P454" s="28"/>
      <c r="Q454" s="5" t="str">
        <f t="shared" si="23"/>
        <v>ทันกำหนด</v>
      </c>
      <c r="R454" s="6"/>
      <c r="S454" s="7"/>
    </row>
    <row r="455" spans="1:19" ht="27.75" customHeight="1">
      <c r="A455" s="3">
        <v>453</v>
      </c>
      <c r="B455" s="27"/>
      <c r="C455" s="29"/>
      <c r="D455" s="30"/>
      <c r="E455" s="31"/>
      <c r="F455" s="31"/>
      <c r="G455" s="31">
        <f t="shared" si="21"/>
        <v>0</v>
      </c>
      <c r="H455" s="31" t="str">
        <f t="shared" si="22"/>
        <v>ครบ</v>
      </c>
      <c r="I455" s="31"/>
      <c r="J455" s="27" t="e">
        <f>VLOOKUP(I455,Sheet2!$B$1:$C$62,2,FALSE)</f>
        <v>#N/A</v>
      </c>
      <c r="K455" s="27" t="e">
        <f>VLOOKUP(J455,Sheet2!$C$1:$D$61,2,FALSE)</f>
        <v>#N/A</v>
      </c>
      <c r="L455" s="27"/>
      <c r="M455" s="27"/>
      <c r="N455" s="27"/>
      <c r="O455" s="27"/>
      <c r="P455" s="28"/>
      <c r="Q455" s="5" t="str">
        <f t="shared" si="23"/>
        <v>ทันกำหนด</v>
      </c>
      <c r="R455" s="6"/>
      <c r="S455" s="7"/>
    </row>
    <row r="456" spans="1:19" ht="27.75" customHeight="1">
      <c r="A456" s="3">
        <v>454</v>
      </c>
      <c r="B456" s="27"/>
      <c r="C456" s="29"/>
      <c r="D456" s="30"/>
      <c r="E456" s="31"/>
      <c r="F456" s="31"/>
      <c r="G456" s="31">
        <f t="shared" si="21"/>
        <v>0</v>
      </c>
      <c r="H456" s="31" t="str">
        <f t="shared" si="22"/>
        <v>ครบ</v>
      </c>
      <c r="I456" s="31"/>
      <c r="J456" s="27" t="e">
        <f>VLOOKUP(I456,Sheet2!$B$1:$C$62,2,FALSE)</f>
        <v>#N/A</v>
      </c>
      <c r="K456" s="27" t="e">
        <f>VLOOKUP(J456,Sheet2!$C$1:$D$61,2,FALSE)</f>
        <v>#N/A</v>
      </c>
      <c r="L456" s="27"/>
      <c r="M456" s="27"/>
      <c r="N456" s="27"/>
      <c r="O456" s="27"/>
      <c r="P456" s="28"/>
      <c r="Q456" s="5" t="str">
        <f t="shared" si="23"/>
        <v>ทันกำหนด</v>
      </c>
      <c r="R456" s="6"/>
      <c r="S456" s="7"/>
    </row>
    <row r="457" spans="1:19" ht="27.75" customHeight="1">
      <c r="A457" s="3">
        <v>455</v>
      </c>
      <c r="B457" s="27"/>
      <c r="C457" s="29"/>
      <c r="D457" s="30"/>
      <c r="E457" s="31"/>
      <c r="F457" s="31"/>
      <c r="G457" s="31">
        <f t="shared" si="21"/>
        <v>0</v>
      </c>
      <c r="H457" s="31" t="str">
        <f t="shared" si="22"/>
        <v>ครบ</v>
      </c>
      <c r="I457" s="31"/>
      <c r="J457" s="27" t="e">
        <f>VLOOKUP(I457,Sheet2!$B$1:$C$62,2,FALSE)</f>
        <v>#N/A</v>
      </c>
      <c r="K457" s="27" t="e">
        <f>VLOOKUP(J457,Sheet2!$C$1:$D$61,2,FALSE)</f>
        <v>#N/A</v>
      </c>
      <c r="L457" s="27"/>
      <c r="M457" s="27"/>
      <c r="N457" s="27"/>
      <c r="O457" s="27"/>
      <c r="P457" s="28"/>
      <c r="Q457" s="5" t="str">
        <f t="shared" si="23"/>
        <v>ทันกำหนด</v>
      </c>
      <c r="R457" s="6"/>
      <c r="S457" s="7"/>
    </row>
    <row r="458" spans="1:19" ht="27.75" customHeight="1">
      <c r="A458" s="3">
        <v>456</v>
      </c>
      <c r="B458" s="27"/>
      <c r="C458" s="29"/>
      <c r="D458" s="30"/>
      <c r="E458" s="31"/>
      <c r="F458" s="31"/>
      <c r="G458" s="31">
        <f t="shared" si="21"/>
        <v>0</v>
      </c>
      <c r="H458" s="31" t="str">
        <f t="shared" si="22"/>
        <v>ครบ</v>
      </c>
      <c r="I458" s="31"/>
      <c r="J458" s="27" t="e">
        <f>VLOOKUP(I458,Sheet2!$B$1:$C$62,2,FALSE)</f>
        <v>#N/A</v>
      </c>
      <c r="K458" s="27" t="e">
        <f>VLOOKUP(J458,Sheet2!$C$1:$D$61,2,FALSE)</f>
        <v>#N/A</v>
      </c>
      <c r="L458" s="27"/>
      <c r="M458" s="27"/>
      <c r="N458" s="27"/>
      <c r="O458" s="27"/>
      <c r="P458" s="28"/>
      <c r="Q458" s="5" t="str">
        <f t="shared" si="23"/>
        <v>ทันกำหนด</v>
      </c>
      <c r="R458" s="6"/>
      <c r="S458" s="7"/>
    </row>
    <row r="459" spans="1:19" ht="27.75" customHeight="1">
      <c r="A459" s="3">
        <v>457</v>
      </c>
      <c r="B459" s="27"/>
      <c r="C459" s="29"/>
      <c r="D459" s="30"/>
      <c r="E459" s="31"/>
      <c r="F459" s="31"/>
      <c r="G459" s="31">
        <f t="shared" si="21"/>
        <v>0</v>
      </c>
      <c r="H459" s="31" t="str">
        <f t="shared" si="22"/>
        <v>ครบ</v>
      </c>
      <c r="I459" s="31"/>
      <c r="J459" s="27" t="e">
        <f>VLOOKUP(I459,Sheet2!$B$1:$C$62,2,FALSE)</f>
        <v>#N/A</v>
      </c>
      <c r="K459" s="27" t="e">
        <f>VLOOKUP(J459,Sheet2!$C$1:$D$61,2,FALSE)</f>
        <v>#N/A</v>
      </c>
      <c r="L459" s="27"/>
      <c r="M459" s="27"/>
      <c r="N459" s="27"/>
      <c r="O459" s="27"/>
      <c r="P459" s="28"/>
      <c r="Q459" s="5" t="str">
        <f t="shared" si="23"/>
        <v>ทันกำหนด</v>
      </c>
      <c r="R459" s="6"/>
      <c r="S459" s="7"/>
    </row>
    <row r="460" spans="1:19" ht="27.75" customHeight="1">
      <c r="A460" s="3">
        <v>458</v>
      </c>
      <c r="B460" s="27"/>
      <c r="C460" s="29"/>
      <c r="D460" s="30"/>
      <c r="E460" s="31"/>
      <c r="F460" s="31"/>
      <c r="G460" s="31">
        <f t="shared" si="21"/>
        <v>0</v>
      </c>
      <c r="H460" s="31" t="str">
        <f t="shared" si="22"/>
        <v>ครบ</v>
      </c>
      <c r="I460" s="31"/>
      <c r="J460" s="27" t="e">
        <f>VLOOKUP(I460,Sheet2!$B$1:$C$62,2,FALSE)</f>
        <v>#N/A</v>
      </c>
      <c r="K460" s="27" t="e">
        <f>VLOOKUP(J460,Sheet2!$C$1:$D$61,2,FALSE)</f>
        <v>#N/A</v>
      </c>
      <c r="L460" s="27"/>
      <c r="M460" s="27"/>
      <c r="N460" s="27"/>
      <c r="O460" s="27"/>
      <c r="P460" s="28"/>
      <c r="Q460" s="5" t="str">
        <f t="shared" si="23"/>
        <v>ทันกำหนด</v>
      </c>
      <c r="R460" s="6"/>
      <c r="S460" s="7"/>
    </row>
    <row r="461" spans="1:19" ht="27.75" customHeight="1">
      <c r="A461" s="3">
        <v>459</v>
      </c>
      <c r="B461" s="27"/>
      <c r="C461" s="29"/>
      <c r="D461" s="30"/>
      <c r="E461" s="31"/>
      <c r="F461" s="31"/>
      <c r="G461" s="31">
        <f t="shared" si="21"/>
        <v>0</v>
      </c>
      <c r="H461" s="31" t="str">
        <f t="shared" si="22"/>
        <v>ครบ</v>
      </c>
      <c r="I461" s="31"/>
      <c r="J461" s="27" t="e">
        <f>VLOOKUP(I461,Sheet2!$B$1:$C$62,2,FALSE)</f>
        <v>#N/A</v>
      </c>
      <c r="K461" s="27" t="e">
        <f>VLOOKUP(J461,Sheet2!$C$1:$D$61,2,FALSE)</f>
        <v>#N/A</v>
      </c>
      <c r="L461" s="27"/>
      <c r="M461" s="27"/>
      <c r="N461" s="27"/>
      <c r="O461" s="27"/>
      <c r="P461" s="28"/>
      <c r="Q461" s="5" t="str">
        <f t="shared" si="23"/>
        <v>ทันกำหนด</v>
      </c>
      <c r="R461" s="6"/>
      <c r="S461" s="7"/>
    </row>
    <row r="462" spans="1:19" ht="27.75" customHeight="1">
      <c r="A462" s="3">
        <v>460</v>
      </c>
      <c r="B462" s="27"/>
      <c r="C462" s="29"/>
      <c r="D462" s="30"/>
      <c r="E462" s="31"/>
      <c r="F462" s="31"/>
      <c r="G462" s="31">
        <f t="shared" si="21"/>
        <v>0</v>
      </c>
      <c r="H462" s="31" t="str">
        <f t="shared" si="22"/>
        <v>ครบ</v>
      </c>
      <c r="I462" s="31"/>
      <c r="J462" s="27" t="e">
        <f>VLOOKUP(I462,Sheet2!$B$1:$C$62,2,FALSE)</f>
        <v>#N/A</v>
      </c>
      <c r="K462" s="27" t="e">
        <f>VLOOKUP(J462,Sheet2!$C$1:$D$61,2,FALSE)</f>
        <v>#N/A</v>
      </c>
      <c r="L462" s="27"/>
      <c r="M462" s="27"/>
      <c r="N462" s="27"/>
      <c r="O462" s="27"/>
      <c r="P462" s="28"/>
      <c r="Q462" s="5" t="str">
        <f t="shared" si="23"/>
        <v>ทันกำหนด</v>
      </c>
      <c r="R462" s="6"/>
      <c r="S462" s="7"/>
    </row>
    <row r="463" spans="1:19" ht="27.75" customHeight="1">
      <c r="A463" s="3">
        <v>461</v>
      </c>
      <c r="B463" s="27"/>
      <c r="C463" s="29"/>
      <c r="D463" s="30"/>
      <c r="E463" s="31"/>
      <c r="F463" s="31"/>
      <c r="G463" s="31">
        <f t="shared" si="21"/>
        <v>0</v>
      </c>
      <c r="H463" s="31" t="str">
        <f t="shared" si="22"/>
        <v>ครบ</v>
      </c>
      <c r="I463" s="31"/>
      <c r="J463" s="27" t="e">
        <f>VLOOKUP(I463,Sheet2!$B$1:$C$62,2,FALSE)</f>
        <v>#N/A</v>
      </c>
      <c r="K463" s="27" t="e">
        <f>VLOOKUP(J463,Sheet2!$C$1:$D$61,2,FALSE)</f>
        <v>#N/A</v>
      </c>
      <c r="L463" s="27"/>
      <c r="M463" s="27"/>
      <c r="N463" s="27"/>
      <c r="O463" s="27"/>
      <c r="P463" s="28"/>
      <c r="Q463" s="5" t="str">
        <f t="shared" si="23"/>
        <v>ทันกำหนด</v>
      </c>
      <c r="R463" s="6"/>
      <c r="S463" s="7"/>
    </row>
    <row r="464" spans="1:19" ht="27.75" customHeight="1">
      <c r="A464" s="3">
        <v>462</v>
      </c>
      <c r="B464" s="27"/>
      <c r="C464" s="29"/>
      <c r="D464" s="30"/>
      <c r="E464" s="31"/>
      <c r="F464" s="31"/>
      <c r="G464" s="31">
        <f t="shared" si="21"/>
        <v>0</v>
      </c>
      <c r="H464" s="31" t="str">
        <f t="shared" si="22"/>
        <v>ครบ</v>
      </c>
      <c r="I464" s="31"/>
      <c r="J464" s="27" t="e">
        <f>VLOOKUP(I464,Sheet2!$B$1:$C$62,2,FALSE)</f>
        <v>#N/A</v>
      </c>
      <c r="K464" s="27" t="e">
        <f>VLOOKUP(J464,Sheet2!$C$1:$D$61,2,FALSE)</f>
        <v>#N/A</v>
      </c>
      <c r="L464" s="27"/>
      <c r="M464" s="27"/>
      <c r="N464" s="27"/>
      <c r="O464" s="27"/>
      <c r="P464" s="28"/>
      <c r="Q464" s="5" t="str">
        <f t="shared" si="23"/>
        <v>ทันกำหนด</v>
      </c>
      <c r="R464" s="6"/>
      <c r="S464" s="7"/>
    </row>
    <row r="465" spans="1:19" ht="27.75" customHeight="1">
      <c r="A465" s="3">
        <v>463</v>
      </c>
      <c r="B465" s="27"/>
      <c r="C465" s="29"/>
      <c r="D465" s="30"/>
      <c r="E465" s="31"/>
      <c r="F465" s="31"/>
      <c r="G465" s="31">
        <f t="shared" si="21"/>
        <v>0</v>
      </c>
      <c r="H465" s="31" t="str">
        <f t="shared" si="22"/>
        <v>ครบ</v>
      </c>
      <c r="I465" s="31"/>
      <c r="J465" s="27" t="e">
        <f>VLOOKUP(I465,Sheet2!$B$1:$C$62,2,FALSE)</f>
        <v>#N/A</v>
      </c>
      <c r="K465" s="27" t="e">
        <f>VLOOKUP(J465,Sheet2!$C$1:$D$61,2,FALSE)</f>
        <v>#N/A</v>
      </c>
      <c r="L465" s="27"/>
      <c r="M465" s="27"/>
      <c r="N465" s="27"/>
      <c r="O465" s="27"/>
      <c r="P465" s="28"/>
      <c r="Q465" s="5" t="str">
        <f t="shared" si="23"/>
        <v>ทันกำหนด</v>
      </c>
      <c r="R465" s="6"/>
      <c r="S465" s="7"/>
    </row>
    <row r="466" spans="1:19" ht="27.75" customHeight="1">
      <c r="A466" s="3">
        <v>464</v>
      </c>
      <c r="B466" s="27"/>
      <c r="C466" s="29"/>
      <c r="D466" s="30"/>
      <c r="E466" s="31"/>
      <c r="F466" s="31"/>
      <c r="G466" s="31">
        <f t="shared" si="21"/>
        <v>0</v>
      </c>
      <c r="H466" s="31" t="str">
        <f t="shared" si="22"/>
        <v>ครบ</v>
      </c>
      <c r="I466" s="31"/>
      <c r="J466" s="27" t="e">
        <f>VLOOKUP(I466,Sheet2!$B$1:$C$62,2,FALSE)</f>
        <v>#N/A</v>
      </c>
      <c r="K466" s="27" t="e">
        <f>VLOOKUP(J466,Sheet2!$C$1:$D$61,2,FALSE)</f>
        <v>#N/A</v>
      </c>
      <c r="L466" s="27"/>
      <c r="M466" s="27"/>
      <c r="N466" s="27"/>
      <c r="O466" s="27"/>
      <c r="P466" s="28"/>
      <c r="Q466" s="5" t="str">
        <f t="shared" si="23"/>
        <v>ทันกำหนด</v>
      </c>
      <c r="R466" s="6"/>
      <c r="S466" s="7"/>
    </row>
    <row r="467" spans="1:19" ht="27.75" customHeight="1">
      <c r="A467" s="3">
        <v>465</v>
      </c>
      <c r="B467" s="27"/>
      <c r="C467" s="29"/>
      <c r="D467" s="30"/>
      <c r="E467" s="31"/>
      <c r="F467" s="31"/>
      <c r="G467" s="31">
        <f t="shared" si="21"/>
        <v>0</v>
      </c>
      <c r="H467" s="31" t="str">
        <f t="shared" si="22"/>
        <v>ครบ</v>
      </c>
      <c r="I467" s="31"/>
      <c r="J467" s="27" t="e">
        <f>VLOOKUP(I467,Sheet2!$B$1:$C$62,2,FALSE)</f>
        <v>#N/A</v>
      </c>
      <c r="K467" s="27" t="e">
        <f>VLOOKUP(J467,Sheet2!$C$1:$D$61,2,FALSE)</f>
        <v>#N/A</v>
      </c>
      <c r="L467" s="27"/>
      <c r="M467" s="27"/>
      <c r="N467" s="27"/>
      <c r="O467" s="27"/>
      <c r="P467" s="28"/>
      <c r="Q467" s="5" t="str">
        <f t="shared" si="23"/>
        <v>ทันกำหนด</v>
      </c>
      <c r="R467" s="6"/>
      <c r="S467" s="7"/>
    </row>
    <row r="468" spans="1:19" ht="27.75" customHeight="1">
      <c r="A468" s="3">
        <v>466</v>
      </c>
      <c r="B468" s="27"/>
      <c r="C468" s="29"/>
      <c r="D468" s="30"/>
      <c r="E468" s="31"/>
      <c r="F468" s="31"/>
      <c r="G468" s="31">
        <f t="shared" si="21"/>
        <v>0</v>
      </c>
      <c r="H468" s="31" t="str">
        <f t="shared" si="22"/>
        <v>ครบ</v>
      </c>
      <c r="I468" s="31"/>
      <c r="J468" s="27" t="e">
        <f>VLOOKUP(I468,Sheet2!$B$1:$C$62,2,FALSE)</f>
        <v>#N/A</v>
      </c>
      <c r="K468" s="27" t="e">
        <f>VLOOKUP(J468,Sheet2!$C$1:$D$61,2,FALSE)</f>
        <v>#N/A</v>
      </c>
      <c r="L468" s="27"/>
      <c r="M468" s="27"/>
      <c r="N468" s="27"/>
      <c r="O468" s="27"/>
      <c r="P468" s="28"/>
      <c r="Q468" s="5" t="str">
        <f t="shared" si="23"/>
        <v>ทันกำหนด</v>
      </c>
      <c r="R468" s="6"/>
      <c r="S468" s="7"/>
    </row>
    <row r="469" spans="1:19" ht="27.75" customHeight="1">
      <c r="A469" s="3">
        <v>467</v>
      </c>
      <c r="B469" s="27"/>
      <c r="C469" s="29"/>
      <c r="D469" s="30"/>
      <c r="E469" s="31"/>
      <c r="F469" s="31"/>
      <c r="G469" s="31">
        <f t="shared" si="21"/>
        <v>0</v>
      </c>
      <c r="H469" s="31" t="str">
        <f t="shared" si="22"/>
        <v>ครบ</v>
      </c>
      <c r="I469" s="31"/>
      <c r="J469" s="27" t="e">
        <f>VLOOKUP(I469,Sheet2!$B$1:$C$62,2,FALSE)</f>
        <v>#N/A</v>
      </c>
      <c r="K469" s="27" t="e">
        <f>VLOOKUP(J469,Sheet2!$C$1:$D$61,2,FALSE)</f>
        <v>#N/A</v>
      </c>
      <c r="L469" s="27"/>
      <c r="M469" s="27"/>
      <c r="N469" s="27"/>
      <c r="O469" s="27"/>
      <c r="P469" s="28"/>
      <c r="Q469" s="5" t="str">
        <f t="shared" si="23"/>
        <v>ทันกำหนด</v>
      </c>
      <c r="R469" s="6"/>
      <c r="S469" s="7"/>
    </row>
    <row r="470" spans="1:19" ht="27.75" customHeight="1">
      <c r="A470" s="3">
        <v>468</v>
      </c>
      <c r="B470" s="27"/>
      <c r="C470" s="29"/>
      <c r="D470" s="30"/>
      <c r="E470" s="31"/>
      <c r="F470" s="31"/>
      <c r="G470" s="31">
        <f t="shared" si="21"/>
        <v>0</v>
      </c>
      <c r="H470" s="31" t="str">
        <f t="shared" si="22"/>
        <v>ครบ</v>
      </c>
      <c r="I470" s="31"/>
      <c r="J470" s="27" t="e">
        <f>VLOOKUP(I470,Sheet2!$B$1:$C$62,2,FALSE)</f>
        <v>#N/A</v>
      </c>
      <c r="K470" s="27" t="e">
        <f>VLOOKUP(J470,Sheet2!$C$1:$D$61,2,FALSE)</f>
        <v>#N/A</v>
      </c>
      <c r="L470" s="27"/>
      <c r="M470" s="27"/>
      <c r="N470" s="27"/>
      <c r="O470" s="27"/>
      <c r="P470" s="28"/>
      <c r="Q470" s="5" t="str">
        <f t="shared" si="23"/>
        <v>ทันกำหนด</v>
      </c>
      <c r="R470" s="6"/>
      <c r="S470" s="7"/>
    </row>
    <row r="471" spans="1:19" ht="27.75" customHeight="1">
      <c r="A471" s="3">
        <v>469</v>
      </c>
      <c r="B471" s="27"/>
      <c r="C471" s="29"/>
      <c r="D471" s="30"/>
      <c r="E471" s="31"/>
      <c r="F471" s="31"/>
      <c r="G471" s="31">
        <f t="shared" si="21"/>
        <v>0</v>
      </c>
      <c r="H471" s="31" t="str">
        <f t="shared" si="22"/>
        <v>ครบ</v>
      </c>
      <c r="I471" s="31"/>
      <c r="J471" s="27" t="e">
        <f>VLOOKUP(I471,Sheet2!$B$1:$C$62,2,FALSE)</f>
        <v>#N/A</v>
      </c>
      <c r="K471" s="27" t="e">
        <f>VLOOKUP(J471,Sheet2!$C$1:$D$61,2,FALSE)</f>
        <v>#N/A</v>
      </c>
      <c r="L471" s="27"/>
      <c r="M471" s="27"/>
      <c r="N471" s="27"/>
      <c r="O471" s="27"/>
      <c r="P471" s="28"/>
      <c r="Q471" s="5" t="str">
        <f t="shared" si="23"/>
        <v>ทันกำหนด</v>
      </c>
      <c r="R471" s="6"/>
      <c r="S471" s="7"/>
    </row>
    <row r="472" spans="1:19" ht="27.75" customHeight="1">
      <c r="A472" s="3">
        <v>470</v>
      </c>
      <c r="B472" s="27"/>
      <c r="C472" s="29"/>
      <c r="D472" s="30"/>
      <c r="E472" s="31"/>
      <c r="F472" s="31"/>
      <c r="G472" s="31">
        <f t="shared" si="21"/>
        <v>0</v>
      </c>
      <c r="H472" s="31" t="str">
        <f t="shared" si="22"/>
        <v>ครบ</v>
      </c>
      <c r="I472" s="31"/>
      <c r="J472" s="27" t="e">
        <f>VLOOKUP(I472,Sheet2!$B$1:$C$62,2,FALSE)</f>
        <v>#N/A</v>
      </c>
      <c r="K472" s="27" t="e">
        <f>VLOOKUP(J472,Sheet2!$C$1:$D$61,2,FALSE)</f>
        <v>#N/A</v>
      </c>
      <c r="L472" s="27"/>
      <c r="M472" s="27"/>
      <c r="N472" s="27"/>
      <c r="O472" s="27"/>
      <c r="P472" s="28"/>
      <c r="Q472" s="5" t="str">
        <f t="shared" si="23"/>
        <v>ทันกำหนด</v>
      </c>
      <c r="R472" s="6"/>
      <c r="S472" s="7"/>
    </row>
    <row r="473" spans="1:19" ht="27.75" customHeight="1">
      <c r="A473" s="3">
        <v>471</v>
      </c>
      <c r="B473" s="27"/>
      <c r="C473" s="29"/>
      <c r="D473" s="30"/>
      <c r="E473" s="31"/>
      <c r="F473" s="31"/>
      <c r="G473" s="31">
        <f t="shared" si="21"/>
        <v>0</v>
      </c>
      <c r="H473" s="31" t="str">
        <f t="shared" si="22"/>
        <v>ครบ</v>
      </c>
      <c r="I473" s="31"/>
      <c r="J473" s="27" t="e">
        <f>VLOOKUP(I473,Sheet2!$B$1:$C$62,2,FALSE)</f>
        <v>#N/A</v>
      </c>
      <c r="K473" s="27" t="e">
        <f>VLOOKUP(J473,Sheet2!$C$1:$D$61,2,FALSE)</f>
        <v>#N/A</v>
      </c>
      <c r="L473" s="27"/>
      <c r="M473" s="27"/>
      <c r="N473" s="27"/>
      <c r="O473" s="27"/>
      <c r="P473" s="28"/>
      <c r="Q473" s="5" t="str">
        <f t="shared" si="23"/>
        <v>ทันกำหนด</v>
      </c>
      <c r="R473" s="6"/>
      <c r="S473" s="7"/>
    </row>
    <row r="474" spans="1:19" ht="27.75" customHeight="1">
      <c r="A474" s="3">
        <v>472</v>
      </c>
      <c r="B474" s="27"/>
      <c r="C474" s="29"/>
      <c r="D474" s="30"/>
      <c r="E474" s="31"/>
      <c r="F474" s="31"/>
      <c r="G474" s="31">
        <f t="shared" si="21"/>
        <v>0</v>
      </c>
      <c r="H474" s="31" t="str">
        <f t="shared" si="22"/>
        <v>ครบ</v>
      </c>
      <c r="I474" s="31"/>
      <c r="J474" s="27" t="e">
        <f>VLOOKUP(I474,Sheet2!$B$1:$C$62,2,FALSE)</f>
        <v>#N/A</v>
      </c>
      <c r="K474" s="27" t="e">
        <f>VLOOKUP(J474,Sheet2!$C$1:$D$61,2,FALSE)</f>
        <v>#N/A</v>
      </c>
      <c r="L474" s="27"/>
      <c r="M474" s="27"/>
      <c r="N474" s="27"/>
      <c r="O474" s="27"/>
      <c r="P474" s="28"/>
      <c r="Q474" s="5" t="str">
        <f t="shared" si="23"/>
        <v>ทันกำหนด</v>
      </c>
      <c r="R474" s="6"/>
      <c r="S474" s="7"/>
    </row>
    <row r="475" spans="1:19" ht="27.75" customHeight="1">
      <c r="A475" s="3">
        <v>473</v>
      </c>
      <c r="B475" s="27"/>
      <c r="C475" s="29"/>
      <c r="D475" s="30"/>
      <c r="E475" s="31"/>
      <c r="F475" s="31"/>
      <c r="G475" s="31">
        <f t="shared" si="21"/>
        <v>0</v>
      </c>
      <c r="H475" s="31" t="str">
        <f t="shared" si="22"/>
        <v>ครบ</v>
      </c>
      <c r="I475" s="31"/>
      <c r="J475" s="27" t="e">
        <f>VLOOKUP(I475,Sheet2!$B$1:$C$62,2,FALSE)</f>
        <v>#N/A</v>
      </c>
      <c r="K475" s="27" t="e">
        <f>VLOOKUP(J475,Sheet2!$C$1:$D$61,2,FALSE)</f>
        <v>#N/A</v>
      </c>
      <c r="L475" s="27"/>
      <c r="M475" s="27"/>
      <c r="N475" s="27"/>
      <c r="O475" s="27"/>
      <c r="P475" s="28"/>
      <c r="Q475" s="5" t="str">
        <f t="shared" si="23"/>
        <v>ทันกำหนด</v>
      </c>
      <c r="R475" s="6"/>
      <c r="S475" s="7"/>
    </row>
    <row r="476" spans="1:19" ht="27.75" customHeight="1">
      <c r="A476" s="3">
        <v>474</v>
      </c>
      <c r="B476" s="27"/>
      <c r="C476" s="29"/>
      <c r="D476" s="30"/>
      <c r="E476" s="31"/>
      <c r="F476" s="31"/>
      <c r="G476" s="31">
        <f t="shared" si="21"/>
        <v>0</v>
      </c>
      <c r="H476" s="31" t="str">
        <f t="shared" si="22"/>
        <v>ครบ</v>
      </c>
      <c r="I476" s="31"/>
      <c r="J476" s="27" t="e">
        <f>VLOOKUP(I476,Sheet2!$B$1:$C$62,2,FALSE)</f>
        <v>#N/A</v>
      </c>
      <c r="K476" s="27" t="e">
        <f>VLOOKUP(J476,Sheet2!$C$1:$D$61,2,FALSE)</f>
        <v>#N/A</v>
      </c>
      <c r="L476" s="27"/>
      <c r="M476" s="27"/>
      <c r="N476" s="27"/>
      <c r="O476" s="27"/>
      <c r="P476" s="28"/>
      <c r="Q476" s="5" t="str">
        <f t="shared" si="23"/>
        <v>ทันกำหนด</v>
      </c>
      <c r="R476" s="6"/>
      <c r="S476" s="7"/>
    </row>
    <row r="477" spans="1:19" ht="27.75" customHeight="1">
      <c r="A477" s="3">
        <v>475</v>
      </c>
      <c r="B477" s="27"/>
      <c r="C477" s="29"/>
      <c r="D477" s="30"/>
      <c r="E477" s="31"/>
      <c r="F477" s="31"/>
      <c r="G477" s="31">
        <f t="shared" si="21"/>
        <v>0</v>
      </c>
      <c r="H477" s="31" t="str">
        <f t="shared" si="22"/>
        <v>ครบ</v>
      </c>
      <c r="I477" s="31"/>
      <c r="J477" s="27" t="e">
        <f>VLOOKUP(I477,Sheet2!$B$1:$C$62,2,FALSE)</f>
        <v>#N/A</v>
      </c>
      <c r="K477" s="27" t="e">
        <f>VLOOKUP(J477,Sheet2!$C$1:$D$61,2,FALSE)</f>
        <v>#N/A</v>
      </c>
      <c r="L477" s="27"/>
      <c r="M477" s="27"/>
      <c r="N477" s="27"/>
      <c r="O477" s="27"/>
      <c r="P477" s="28"/>
      <c r="Q477" s="34" t="str">
        <f t="shared" si="23"/>
        <v>ทันกำหนด</v>
      </c>
      <c r="R477" s="35"/>
      <c r="S477" s="36" t="s">
        <v>38</v>
      </c>
    </row>
    <row r="478" spans="1:19" ht="27.75" customHeight="1">
      <c r="A478" s="3">
        <v>476</v>
      </c>
      <c r="B478" s="27"/>
      <c r="C478" s="29"/>
      <c r="D478" s="30"/>
      <c r="E478" s="31"/>
      <c r="F478" s="31"/>
      <c r="G478" s="31">
        <f t="shared" si="21"/>
        <v>0</v>
      </c>
      <c r="H478" s="31" t="str">
        <f t="shared" si="22"/>
        <v>ครบ</v>
      </c>
      <c r="I478" s="31"/>
      <c r="J478" s="27" t="e">
        <f>VLOOKUP(I478,Sheet2!$B$1:$C$62,2,FALSE)</f>
        <v>#N/A</v>
      </c>
      <c r="K478" s="27" t="e">
        <f>VLOOKUP(J478,Sheet2!$C$1:$D$61,2,FALSE)</f>
        <v>#N/A</v>
      </c>
      <c r="L478" s="27"/>
      <c r="M478" s="27"/>
      <c r="N478" s="27"/>
      <c r="O478" s="27"/>
      <c r="P478" s="28"/>
      <c r="Q478" s="5" t="str">
        <f t="shared" si="23"/>
        <v>ทันกำหนด</v>
      </c>
      <c r="R478" s="6"/>
      <c r="S478" s="7"/>
    </row>
    <row r="479" spans="1:19" ht="27.75" customHeight="1">
      <c r="A479" s="3">
        <v>477</v>
      </c>
      <c r="B479" s="27"/>
      <c r="C479" s="29"/>
      <c r="D479" s="30"/>
      <c r="E479" s="31"/>
      <c r="F479" s="31"/>
      <c r="G479" s="31">
        <f t="shared" si="21"/>
        <v>0</v>
      </c>
      <c r="H479" s="31" t="str">
        <f t="shared" si="22"/>
        <v>ครบ</v>
      </c>
      <c r="I479" s="31"/>
      <c r="J479" s="27" t="e">
        <f>VLOOKUP(I479,Sheet2!$B$1:$C$62,2,FALSE)</f>
        <v>#N/A</v>
      </c>
      <c r="K479" s="27" t="e">
        <f>VLOOKUP(J479,Sheet2!$C$1:$D$61,2,FALSE)</f>
        <v>#N/A</v>
      </c>
      <c r="L479" s="27"/>
      <c r="M479" s="27"/>
      <c r="N479" s="27"/>
      <c r="O479" s="27"/>
      <c r="P479" s="28"/>
      <c r="Q479" s="5" t="str">
        <f t="shared" si="23"/>
        <v>ทันกำหนด</v>
      </c>
      <c r="R479" s="6"/>
      <c r="S479" s="7"/>
    </row>
    <row r="480" spans="1:19" ht="27.75" customHeight="1">
      <c r="A480" s="3">
        <v>478</v>
      </c>
      <c r="B480" s="27"/>
      <c r="C480" s="29"/>
      <c r="D480" s="30"/>
      <c r="E480" s="31"/>
      <c r="F480" s="31"/>
      <c r="G480" s="31">
        <f t="shared" si="21"/>
        <v>0</v>
      </c>
      <c r="H480" s="31" t="str">
        <f t="shared" si="22"/>
        <v>ครบ</v>
      </c>
      <c r="I480" s="31"/>
      <c r="J480" s="27" t="e">
        <f>VLOOKUP(I480,Sheet2!$B$1:$C$62,2,FALSE)</f>
        <v>#N/A</v>
      </c>
      <c r="K480" s="27" t="e">
        <f>VLOOKUP(J480,Sheet2!$C$1:$D$61,2,FALSE)</f>
        <v>#N/A</v>
      </c>
      <c r="L480" s="27"/>
      <c r="M480" s="27"/>
      <c r="N480" s="27"/>
      <c r="O480" s="27"/>
      <c r="P480" s="28"/>
      <c r="Q480" s="5" t="str">
        <f t="shared" si="23"/>
        <v>ทันกำหนด</v>
      </c>
      <c r="R480" s="6"/>
      <c r="S480" s="7"/>
    </row>
    <row r="481" spans="1:19" ht="27.75" customHeight="1">
      <c r="A481" s="3">
        <v>479</v>
      </c>
      <c r="B481" s="27"/>
      <c r="C481" s="29"/>
      <c r="D481" s="30"/>
      <c r="E481" s="31"/>
      <c r="F481" s="31"/>
      <c r="G481" s="31">
        <f t="shared" si="21"/>
        <v>0</v>
      </c>
      <c r="H481" s="31" t="str">
        <f t="shared" si="22"/>
        <v>ครบ</v>
      </c>
      <c r="I481" s="31"/>
      <c r="J481" s="27" t="e">
        <f>VLOOKUP(I481,Sheet2!$B$1:$C$62,2,FALSE)</f>
        <v>#N/A</v>
      </c>
      <c r="K481" s="27" t="e">
        <f>VLOOKUP(J481,Sheet2!$C$1:$D$61,2,FALSE)</f>
        <v>#N/A</v>
      </c>
      <c r="L481" s="27"/>
      <c r="M481" s="27"/>
      <c r="N481" s="27"/>
      <c r="O481" s="27"/>
      <c r="P481" s="28"/>
      <c r="Q481" s="5" t="str">
        <f t="shared" si="23"/>
        <v>ทันกำหนด</v>
      </c>
      <c r="R481" s="6"/>
      <c r="S481" s="7" t="s">
        <v>31</v>
      </c>
    </row>
    <row r="482" spans="1:19" ht="27.75" customHeight="1">
      <c r="A482" s="3">
        <v>480</v>
      </c>
      <c r="B482" s="27"/>
      <c r="C482" s="29"/>
      <c r="D482" s="30"/>
      <c r="E482" s="31"/>
      <c r="F482" s="31"/>
      <c r="G482" s="31">
        <f t="shared" si="21"/>
        <v>0</v>
      </c>
      <c r="H482" s="31" t="str">
        <f t="shared" si="22"/>
        <v>ครบ</v>
      </c>
      <c r="I482" s="31"/>
      <c r="J482" s="27" t="e">
        <f>VLOOKUP(I482,Sheet2!$B$1:$C$62,2,FALSE)</f>
        <v>#N/A</v>
      </c>
      <c r="K482" s="27" t="e">
        <f>VLOOKUP(J482,Sheet2!$C$1:$D$61,2,FALSE)</f>
        <v>#N/A</v>
      </c>
      <c r="L482" s="27"/>
      <c r="M482" s="27"/>
      <c r="N482" s="27"/>
      <c r="O482" s="27"/>
      <c r="P482" s="28"/>
      <c r="Q482" s="5" t="str">
        <f t="shared" si="23"/>
        <v>ทันกำหนด</v>
      </c>
      <c r="R482" s="6"/>
      <c r="S482" s="7"/>
    </row>
    <row r="483" spans="1:19" ht="27.75" customHeight="1">
      <c r="A483" s="3">
        <v>481</v>
      </c>
      <c r="B483" s="27"/>
      <c r="C483" s="29"/>
      <c r="D483" s="30"/>
      <c r="E483" s="31"/>
      <c r="F483" s="31"/>
      <c r="G483" s="31">
        <f t="shared" si="21"/>
        <v>0</v>
      </c>
      <c r="H483" s="31" t="str">
        <f t="shared" si="22"/>
        <v>ครบ</v>
      </c>
      <c r="I483" s="31"/>
      <c r="J483" s="27" t="e">
        <f>VLOOKUP(I483,Sheet2!$B$1:$C$62,2,FALSE)</f>
        <v>#N/A</v>
      </c>
      <c r="K483" s="27" t="e">
        <f>VLOOKUP(J483,Sheet2!$C$1:$D$61,2,FALSE)</f>
        <v>#N/A</v>
      </c>
      <c r="L483" s="27"/>
      <c r="M483" s="27"/>
      <c r="N483" s="27"/>
      <c r="O483" s="27"/>
      <c r="P483" s="28"/>
      <c r="Q483" s="5" t="str">
        <f t="shared" si="23"/>
        <v>ทันกำหนด</v>
      </c>
      <c r="R483" s="6"/>
      <c r="S483" s="7"/>
    </row>
    <row r="484" spans="1:19" ht="27.75" customHeight="1">
      <c r="A484" s="3">
        <v>482</v>
      </c>
      <c r="B484" s="27"/>
      <c r="C484" s="29"/>
      <c r="D484" s="30"/>
      <c r="E484" s="31"/>
      <c r="F484" s="31"/>
      <c r="G484" s="31">
        <f t="shared" si="21"/>
        <v>0</v>
      </c>
      <c r="H484" s="31" t="str">
        <f t="shared" si="22"/>
        <v>ครบ</v>
      </c>
      <c r="I484" s="31"/>
      <c r="J484" s="27" t="e">
        <f>VLOOKUP(I484,Sheet2!$B$1:$C$62,2,FALSE)</f>
        <v>#N/A</v>
      </c>
      <c r="K484" s="27" t="e">
        <f>VLOOKUP(J484,Sheet2!$C$1:$D$61,2,FALSE)</f>
        <v>#N/A</v>
      </c>
      <c r="L484" s="27"/>
      <c r="M484" s="27"/>
      <c r="N484" s="27"/>
      <c r="O484" s="27"/>
      <c r="P484" s="28"/>
      <c r="Q484" s="5" t="str">
        <f t="shared" si="23"/>
        <v>ทันกำหนด</v>
      </c>
      <c r="R484" s="6"/>
      <c r="S484" s="7"/>
    </row>
    <row r="485" spans="1:19" ht="27.75" customHeight="1">
      <c r="A485" s="3">
        <v>483</v>
      </c>
      <c r="B485" s="27"/>
      <c r="C485" s="29"/>
      <c r="D485" s="30"/>
      <c r="E485" s="31"/>
      <c r="F485" s="31"/>
      <c r="G485" s="31">
        <f t="shared" si="21"/>
        <v>0</v>
      </c>
      <c r="H485" s="31" t="str">
        <f t="shared" si="22"/>
        <v>ครบ</v>
      </c>
      <c r="I485" s="31"/>
      <c r="J485" s="27" t="e">
        <f>VLOOKUP(I485,Sheet2!$B$1:$C$62,2,FALSE)</f>
        <v>#N/A</v>
      </c>
      <c r="K485" s="27" t="e">
        <f>VLOOKUP(J485,Sheet2!$C$1:$D$61,2,FALSE)</f>
        <v>#N/A</v>
      </c>
      <c r="L485" s="27"/>
      <c r="M485" s="27"/>
      <c r="N485" s="27"/>
      <c r="O485" s="27"/>
      <c r="P485" s="28"/>
      <c r="Q485" s="5" t="str">
        <f t="shared" si="23"/>
        <v>ทันกำหนด</v>
      </c>
      <c r="R485" s="6"/>
      <c r="S485" s="7"/>
    </row>
    <row r="486" spans="1:19" ht="27.75" customHeight="1">
      <c r="A486" s="3">
        <v>484</v>
      </c>
      <c r="B486" s="27"/>
      <c r="C486" s="29"/>
      <c r="D486" s="30"/>
      <c r="E486" s="31"/>
      <c r="F486" s="31"/>
      <c r="G486" s="31">
        <f t="shared" si="21"/>
        <v>0</v>
      </c>
      <c r="H486" s="31" t="str">
        <f t="shared" si="22"/>
        <v>ครบ</v>
      </c>
      <c r="I486" s="31"/>
      <c r="J486" s="27" t="e">
        <f>VLOOKUP(I486,Sheet2!$B$1:$C$62,2,FALSE)</f>
        <v>#N/A</v>
      </c>
      <c r="K486" s="27" t="e">
        <f>VLOOKUP(J486,Sheet2!$C$1:$D$61,2,FALSE)</f>
        <v>#N/A</v>
      </c>
      <c r="L486" s="27"/>
      <c r="M486" s="27"/>
      <c r="N486" s="27"/>
      <c r="O486" s="27"/>
      <c r="P486" s="28"/>
      <c r="Q486" s="5" t="str">
        <f t="shared" si="23"/>
        <v>ทันกำหนด</v>
      </c>
      <c r="R486" s="6"/>
      <c r="S486" s="7"/>
    </row>
    <row r="487" spans="1:19" ht="27.75" customHeight="1">
      <c r="A487" s="3">
        <v>485</v>
      </c>
      <c r="B487" s="27"/>
      <c r="C487" s="29"/>
      <c r="D487" s="30"/>
      <c r="E487" s="31"/>
      <c r="F487" s="31"/>
      <c r="G487" s="31">
        <f t="shared" si="21"/>
        <v>0</v>
      </c>
      <c r="H487" s="31" t="str">
        <f t="shared" si="22"/>
        <v>ครบ</v>
      </c>
      <c r="I487" s="31"/>
      <c r="J487" s="27" t="e">
        <f>VLOOKUP(I487,Sheet2!$B$1:$C$62,2,FALSE)</f>
        <v>#N/A</v>
      </c>
      <c r="K487" s="27" t="e">
        <f>VLOOKUP(J487,Sheet2!$C$1:$D$61,2,FALSE)</f>
        <v>#N/A</v>
      </c>
      <c r="L487" s="27"/>
      <c r="M487" s="27"/>
      <c r="N487" s="27"/>
      <c r="O487" s="27"/>
      <c r="P487" s="28"/>
      <c r="Q487" s="5" t="str">
        <f t="shared" si="23"/>
        <v>ทันกำหนด</v>
      </c>
      <c r="R487" s="6"/>
      <c r="S487" s="7"/>
    </row>
    <row r="488" spans="1:19" ht="27.75" customHeight="1">
      <c r="A488" s="3">
        <v>486</v>
      </c>
      <c r="B488" s="27"/>
      <c r="C488" s="29"/>
      <c r="D488" s="30"/>
      <c r="E488" s="31"/>
      <c r="F488" s="31"/>
      <c r="G488" s="31">
        <f t="shared" si="21"/>
        <v>0</v>
      </c>
      <c r="H488" s="31" t="str">
        <f t="shared" si="22"/>
        <v>ครบ</v>
      </c>
      <c r="I488" s="31"/>
      <c r="J488" s="27" t="e">
        <f>VLOOKUP(I488,Sheet2!$B$1:$C$62,2,FALSE)</f>
        <v>#N/A</v>
      </c>
      <c r="K488" s="27" t="e">
        <f>VLOOKUP(J488,Sheet2!$C$1:$D$61,2,FALSE)</f>
        <v>#N/A</v>
      </c>
      <c r="L488" s="27"/>
      <c r="M488" s="27"/>
      <c r="N488" s="27"/>
      <c r="O488" s="27"/>
      <c r="P488" s="28"/>
      <c r="Q488" s="5" t="str">
        <f t="shared" si="23"/>
        <v>ทันกำหนด</v>
      </c>
      <c r="R488" s="6"/>
      <c r="S488" s="7"/>
    </row>
    <row r="489" spans="1:19" ht="27.75" customHeight="1">
      <c r="A489" s="3">
        <v>487</v>
      </c>
      <c r="B489" s="27"/>
      <c r="C489" s="29"/>
      <c r="D489" s="30"/>
      <c r="E489" s="31"/>
      <c r="F489" s="31"/>
      <c r="G489" s="31">
        <f t="shared" si="21"/>
        <v>0</v>
      </c>
      <c r="H489" s="31" t="str">
        <f t="shared" si="22"/>
        <v>ครบ</v>
      </c>
      <c r="I489" s="31"/>
      <c r="J489" s="27" t="e">
        <f>VLOOKUP(I489,Sheet2!$B$1:$C$62,2,FALSE)</f>
        <v>#N/A</v>
      </c>
      <c r="K489" s="27" t="e">
        <f>VLOOKUP(J489,Sheet2!$C$1:$D$61,2,FALSE)</f>
        <v>#N/A</v>
      </c>
      <c r="L489" s="27"/>
      <c r="M489" s="27"/>
      <c r="N489" s="27"/>
      <c r="O489" s="27"/>
      <c r="P489" s="28"/>
      <c r="Q489" s="5" t="str">
        <f t="shared" si="23"/>
        <v>ทันกำหนด</v>
      </c>
      <c r="R489" s="6"/>
      <c r="S489" s="7"/>
    </row>
    <row r="490" spans="1:19" ht="27.75" customHeight="1">
      <c r="A490" s="3">
        <v>488</v>
      </c>
      <c r="B490" s="27"/>
      <c r="C490" s="29"/>
      <c r="D490" s="30"/>
      <c r="E490" s="31"/>
      <c r="F490" s="31"/>
      <c r="G490" s="31">
        <f t="shared" si="21"/>
        <v>0</v>
      </c>
      <c r="H490" s="31" t="str">
        <f t="shared" si="22"/>
        <v>ครบ</v>
      </c>
      <c r="I490" s="31"/>
      <c r="J490" s="27" t="e">
        <f>VLOOKUP(I490,Sheet2!$B$1:$C$62,2,FALSE)</f>
        <v>#N/A</v>
      </c>
      <c r="K490" s="27" t="e">
        <f>VLOOKUP(J490,Sheet2!$C$1:$D$61,2,FALSE)</f>
        <v>#N/A</v>
      </c>
      <c r="L490" s="27"/>
      <c r="M490" s="27"/>
      <c r="N490" s="27"/>
      <c r="O490" s="27"/>
      <c r="P490" s="28"/>
      <c r="Q490" s="5" t="str">
        <f t="shared" si="23"/>
        <v>ทันกำหนด</v>
      </c>
      <c r="R490" s="6"/>
      <c r="S490" s="7"/>
    </row>
    <row r="491" spans="1:19" ht="27.75" customHeight="1">
      <c r="A491" s="3">
        <v>489</v>
      </c>
      <c r="B491" s="27"/>
      <c r="C491" s="29"/>
      <c r="D491" s="30"/>
      <c r="E491" s="31"/>
      <c r="F491" s="31"/>
      <c r="G491" s="31">
        <f t="shared" si="21"/>
        <v>0</v>
      </c>
      <c r="H491" s="31" t="str">
        <f t="shared" si="22"/>
        <v>ครบ</v>
      </c>
      <c r="I491" s="31"/>
      <c r="J491" s="27" t="e">
        <f>VLOOKUP(I491,Sheet2!$B$1:$C$62,2,FALSE)</f>
        <v>#N/A</v>
      </c>
      <c r="K491" s="27" t="e">
        <f>VLOOKUP(J491,Sheet2!$C$1:$D$61,2,FALSE)</f>
        <v>#N/A</v>
      </c>
      <c r="L491" s="27"/>
      <c r="M491" s="27"/>
      <c r="N491" s="27"/>
      <c r="O491" s="27"/>
      <c r="P491" s="28"/>
      <c r="Q491" s="5" t="str">
        <f t="shared" si="23"/>
        <v>ทันกำหนด</v>
      </c>
      <c r="R491" s="6"/>
      <c r="S491" s="7"/>
    </row>
    <row r="492" spans="1:19" ht="27.75" customHeight="1">
      <c r="A492" s="3">
        <v>490</v>
      </c>
      <c r="B492" s="27"/>
      <c r="C492" s="29"/>
      <c r="D492" s="30"/>
      <c r="E492" s="31"/>
      <c r="F492" s="31"/>
      <c r="G492" s="31">
        <f t="shared" si="21"/>
        <v>0</v>
      </c>
      <c r="H492" s="31" t="str">
        <f t="shared" si="22"/>
        <v>ครบ</v>
      </c>
      <c r="I492" s="31"/>
      <c r="J492" s="27" t="e">
        <f>VLOOKUP(I492,Sheet2!$B$1:$C$62,2,FALSE)</f>
        <v>#N/A</v>
      </c>
      <c r="K492" s="27" t="e">
        <f>VLOOKUP(J492,Sheet2!$C$1:$D$61,2,FALSE)</f>
        <v>#N/A</v>
      </c>
      <c r="L492" s="27"/>
      <c r="M492" s="27"/>
      <c r="N492" s="27"/>
      <c r="O492" s="27"/>
      <c r="P492" s="28"/>
      <c r="Q492" s="5" t="str">
        <f t="shared" si="23"/>
        <v>ทันกำหนด</v>
      </c>
      <c r="R492" s="6"/>
      <c r="S492" s="7"/>
    </row>
    <row r="493" spans="1:19" ht="27.75" customHeight="1">
      <c r="A493" s="3">
        <v>491</v>
      </c>
      <c r="B493" s="27"/>
      <c r="C493" s="29"/>
      <c r="D493" s="30"/>
      <c r="E493" s="31"/>
      <c r="F493" s="31"/>
      <c r="G493" s="31">
        <f t="shared" si="21"/>
        <v>0</v>
      </c>
      <c r="H493" s="31" t="str">
        <f t="shared" si="22"/>
        <v>ครบ</v>
      </c>
      <c r="I493" s="31"/>
      <c r="J493" s="27" t="e">
        <f>VLOOKUP(I493,Sheet2!$B$1:$C$62,2,FALSE)</f>
        <v>#N/A</v>
      </c>
      <c r="K493" s="27" t="e">
        <f>VLOOKUP(J493,Sheet2!$C$1:$D$61,2,FALSE)</f>
        <v>#N/A</v>
      </c>
      <c r="L493" s="27"/>
      <c r="M493" s="27"/>
      <c r="N493" s="27"/>
      <c r="O493" s="27"/>
      <c r="P493" s="28"/>
      <c r="Q493" s="5" t="str">
        <f t="shared" si="23"/>
        <v>ทันกำหนด</v>
      </c>
      <c r="R493" s="6"/>
      <c r="S493" s="7"/>
    </row>
    <row r="494" spans="1:19" ht="27.75" customHeight="1">
      <c r="A494" s="3">
        <v>492</v>
      </c>
      <c r="B494" s="27"/>
      <c r="C494" s="29"/>
      <c r="D494" s="30"/>
      <c r="E494" s="31"/>
      <c r="F494" s="31"/>
      <c r="G494" s="31">
        <f t="shared" si="21"/>
        <v>0</v>
      </c>
      <c r="H494" s="31" t="str">
        <f t="shared" si="22"/>
        <v>ครบ</v>
      </c>
      <c r="I494" s="31"/>
      <c r="J494" s="27" t="e">
        <f>VLOOKUP(I494,Sheet2!$B$1:$C$62,2,FALSE)</f>
        <v>#N/A</v>
      </c>
      <c r="K494" s="27" t="e">
        <f>VLOOKUP(J494,Sheet2!$C$1:$D$61,2,FALSE)</f>
        <v>#N/A</v>
      </c>
      <c r="L494" s="27"/>
      <c r="M494" s="27"/>
      <c r="N494" s="27"/>
      <c r="O494" s="27"/>
      <c r="P494" s="28"/>
      <c r="Q494" s="5" t="str">
        <f t="shared" si="23"/>
        <v>ทันกำหนด</v>
      </c>
      <c r="R494" s="6"/>
      <c r="S494" s="7"/>
    </row>
    <row r="495" spans="1:19" ht="27.75" customHeight="1">
      <c r="A495" s="3">
        <v>493</v>
      </c>
      <c r="B495" s="27"/>
      <c r="C495" s="29"/>
      <c r="D495" s="30"/>
      <c r="E495" s="31"/>
      <c r="F495" s="31"/>
      <c r="G495" s="31">
        <f t="shared" si="21"/>
        <v>0</v>
      </c>
      <c r="H495" s="31" t="str">
        <f t="shared" si="22"/>
        <v>ครบ</v>
      </c>
      <c r="I495" s="31"/>
      <c r="J495" s="27" t="e">
        <f>VLOOKUP(I495,Sheet2!$B$1:$C$62,2,FALSE)</f>
        <v>#N/A</v>
      </c>
      <c r="K495" s="27" t="e">
        <f>VLOOKUP(J495,Sheet2!$C$1:$D$61,2,FALSE)</f>
        <v>#N/A</v>
      </c>
      <c r="L495" s="27"/>
      <c r="M495" s="27"/>
      <c r="N495" s="27"/>
      <c r="O495" s="27"/>
      <c r="P495" s="28"/>
      <c r="Q495" s="5" t="str">
        <f t="shared" si="23"/>
        <v>ทันกำหนด</v>
      </c>
      <c r="R495" s="6"/>
      <c r="S495" s="7"/>
    </row>
    <row r="496" spans="1:19" ht="27.75" customHeight="1">
      <c r="A496" s="3">
        <v>494</v>
      </c>
      <c r="B496" s="27"/>
      <c r="C496" s="29"/>
      <c r="D496" s="30"/>
      <c r="E496" s="31"/>
      <c r="F496" s="31"/>
      <c r="G496" s="31">
        <f t="shared" ref="G496:G581" si="24">$E496-$F496</f>
        <v>0</v>
      </c>
      <c r="H496" s="31" t="str">
        <f t="shared" si="22"/>
        <v>ครบ</v>
      </c>
      <c r="I496" s="31"/>
      <c r="J496" s="27" t="e">
        <f>VLOOKUP(I496,Sheet2!$B$1:$C$62,2,FALSE)</f>
        <v>#N/A</v>
      </c>
      <c r="K496" s="27" t="e">
        <f>VLOOKUP(J496,Sheet2!$C$1:$D$61,2,FALSE)</f>
        <v>#N/A</v>
      </c>
      <c r="L496" s="27"/>
      <c r="M496" s="27"/>
      <c r="N496" s="27"/>
      <c r="O496" s="27"/>
      <c r="P496" s="28"/>
      <c r="Q496" s="5" t="str">
        <f t="shared" si="23"/>
        <v>ทันกำหนด</v>
      </c>
      <c r="R496" s="6"/>
      <c r="S496" s="7"/>
    </row>
    <row r="497" spans="1:19" ht="27.75" customHeight="1">
      <c r="A497" s="3">
        <v>495</v>
      </c>
      <c r="B497" s="27"/>
      <c r="C497" s="29"/>
      <c r="D497" s="30"/>
      <c r="E497" s="31"/>
      <c r="F497" s="31"/>
      <c r="G497" s="31">
        <f t="shared" si="24"/>
        <v>0</v>
      </c>
      <c r="H497" s="31" t="str">
        <f t="shared" si="22"/>
        <v>ครบ</v>
      </c>
      <c r="I497" s="31"/>
      <c r="J497" s="27" t="e">
        <f>VLOOKUP(I497,Sheet2!$B$1:$C$62,2,FALSE)</f>
        <v>#N/A</v>
      </c>
      <c r="K497" s="27" t="e">
        <f>VLOOKUP(J497,Sheet2!$C$1:$D$61,2,FALSE)</f>
        <v>#N/A</v>
      </c>
      <c r="L497" s="27"/>
      <c r="M497" s="27"/>
      <c r="N497" s="27"/>
      <c r="O497" s="27"/>
      <c r="P497" s="28"/>
      <c r="Q497" s="5" t="str">
        <f t="shared" si="23"/>
        <v>ทันกำหนด</v>
      </c>
      <c r="R497" s="6"/>
      <c r="S497" s="7"/>
    </row>
    <row r="498" spans="1:19" ht="27.75" customHeight="1">
      <c r="A498" s="3">
        <v>496</v>
      </c>
      <c r="B498" s="27"/>
      <c r="C498" s="29"/>
      <c r="D498" s="30"/>
      <c r="E498" s="31"/>
      <c r="F498" s="31"/>
      <c r="G498" s="31">
        <f t="shared" si="24"/>
        <v>0</v>
      </c>
      <c r="H498" s="31" t="str">
        <f t="shared" si="22"/>
        <v>ครบ</v>
      </c>
      <c r="I498" s="31"/>
      <c r="J498" s="27" t="e">
        <f>VLOOKUP(I498,Sheet2!$B$1:$C$62,2,FALSE)</f>
        <v>#N/A</v>
      </c>
      <c r="K498" s="27" t="e">
        <f>VLOOKUP(J498,Sheet2!$C$1:$D$61,2,FALSE)</f>
        <v>#N/A</v>
      </c>
      <c r="L498" s="27"/>
      <c r="M498" s="27"/>
      <c r="N498" s="27"/>
      <c r="O498" s="27"/>
      <c r="P498" s="28"/>
      <c r="Q498" s="5" t="str">
        <f t="shared" si="23"/>
        <v>ทันกำหนด</v>
      </c>
      <c r="R498" s="6"/>
      <c r="S498" s="7"/>
    </row>
    <row r="499" spans="1:19" ht="27.75" customHeight="1">
      <c r="A499" s="3">
        <v>497</v>
      </c>
      <c r="B499" s="27"/>
      <c r="C499" s="29"/>
      <c r="D499" s="30"/>
      <c r="E499" s="31"/>
      <c r="F499" s="31"/>
      <c r="G499" s="31">
        <f t="shared" si="24"/>
        <v>0</v>
      </c>
      <c r="H499" s="31" t="str">
        <f t="shared" si="22"/>
        <v>ครบ</v>
      </c>
      <c r="I499" s="31"/>
      <c r="J499" s="27" t="e">
        <f>VLOOKUP(I499,Sheet2!$B$1:$C$62,2,FALSE)</f>
        <v>#N/A</v>
      </c>
      <c r="K499" s="27" t="e">
        <f>VLOOKUP(J499,Sheet2!$C$1:$D$61,2,FALSE)</f>
        <v>#N/A</v>
      </c>
      <c r="L499" s="27"/>
      <c r="M499" s="27"/>
      <c r="N499" s="27"/>
      <c r="O499" s="27"/>
      <c r="P499" s="28"/>
      <c r="Q499" s="5" t="str">
        <f t="shared" si="23"/>
        <v>ทันกำหนด</v>
      </c>
      <c r="R499" s="6"/>
      <c r="S499" s="7"/>
    </row>
    <row r="500" spans="1:19" ht="27.75" customHeight="1">
      <c r="A500" s="3">
        <v>498</v>
      </c>
      <c r="B500" s="27"/>
      <c r="C500" s="29"/>
      <c r="D500" s="30"/>
      <c r="E500" s="31"/>
      <c r="F500" s="31"/>
      <c r="G500" s="31">
        <f t="shared" si="24"/>
        <v>0</v>
      </c>
      <c r="H500" s="31" t="str">
        <f t="shared" si="22"/>
        <v>ครบ</v>
      </c>
      <c r="I500" s="31"/>
      <c r="J500" s="27" t="e">
        <f>VLOOKUP(I500,Sheet2!$B$1:$C$62,2,FALSE)</f>
        <v>#N/A</v>
      </c>
      <c r="K500" s="27" t="e">
        <f>VLOOKUP(J500,Sheet2!$C$1:$D$61,2,FALSE)</f>
        <v>#N/A</v>
      </c>
      <c r="L500" s="27"/>
      <c r="M500" s="27"/>
      <c r="N500" s="27"/>
      <c r="O500" s="27"/>
      <c r="P500" s="28"/>
      <c r="Q500" s="5" t="str">
        <f t="shared" si="23"/>
        <v>ทันกำหนด</v>
      </c>
      <c r="R500" s="6"/>
      <c r="S500" s="7"/>
    </row>
    <row r="501" spans="1:19" ht="27.75" customHeight="1">
      <c r="A501" s="3">
        <v>499</v>
      </c>
      <c r="B501" s="27"/>
      <c r="C501" s="29"/>
      <c r="D501" s="30"/>
      <c r="E501" s="31"/>
      <c r="F501" s="31"/>
      <c r="G501" s="31">
        <f t="shared" si="24"/>
        <v>0</v>
      </c>
      <c r="H501" s="31" t="str">
        <f t="shared" si="22"/>
        <v>ครบ</v>
      </c>
      <c r="I501" s="31"/>
      <c r="J501" s="27" t="e">
        <f>VLOOKUP(I501,Sheet2!$B$1:$C$62,2,FALSE)</f>
        <v>#N/A</v>
      </c>
      <c r="K501" s="27" t="e">
        <f>VLOOKUP(J501,Sheet2!$C$1:$D$61,2,FALSE)</f>
        <v>#N/A</v>
      </c>
      <c r="L501" s="27"/>
      <c r="M501" s="27"/>
      <c r="N501" s="27"/>
      <c r="O501" s="27"/>
      <c r="P501" s="28"/>
      <c r="Q501" s="5" t="str">
        <f t="shared" si="23"/>
        <v>ทันกำหนด</v>
      </c>
      <c r="R501" s="6"/>
      <c r="S501" s="7"/>
    </row>
    <row r="502" spans="1:19" ht="27.75" customHeight="1">
      <c r="A502" s="3">
        <v>500</v>
      </c>
      <c r="B502" s="27"/>
      <c r="C502" s="29"/>
      <c r="D502" s="30"/>
      <c r="E502" s="31"/>
      <c r="F502" s="31"/>
      <c r="G502" s="31">
        <f t="shared" si="24"/>
        <v>0</v>
      </c>
      <c r="H502" s="31" t="str">
        <f t="shared" si="22"/>
        <v>ครบ</v>
      </c>
      <c r="I502" s="31"/>
      <c r="J502" s="27" t="e">
        <f>VLOOKUP(I502,Sheet2!$B$1:$C$62,2,FALSE)</f>
        <v>#N/A</v>
      </c>
      <c r="K502" s="27" t="e">
        <f>VLOOKUP(J502,Sheet2!$C$1:$D$61,2,FALSE)</f>
        <v>#N/A</v>
      </c>
      <c r="L502" s="27"/>
      <c r="M502" s="27"/>
      <c r="N502" s="27"/>
      <c r="O502" s="27"/>
      <c r="P502" s="28"/>
      <c r="Q502" s="5" t="str">
        <f t="shared" si="23"/>
        <v>ทันกำหนด</v>
      </c>
      <c r="R502" s="6"/>
      <c r="S502" s="7"/>
    </row>
    <row r="503" spans="1:19" ht="27.75" customHeight="1">
      <c r="A503" s="3">
        <v>501</v>
      </c>
      <c r="B503" s="27"/>
      <c r="C503" s="29"/>
      <c r="D503" s="30"/>
      <c r="E503" s="31"/>
      <c r="F503" s="31"/>
      <c r="G503" s="31">
        <f t="shared" si="24"/>
        <v>0</v>
      </c>
      <c r="H503" s="31" t="str">
        <f t="shared" si="22"/>
        <v>ครบ</v>
      </c>
      <c r="I503" s="31"/>
      <c r="J503" s="27" t="e">
        <f>VLOOKUP(I503,Sheet2!$B$1:$C$62,2,FALSE)</f>
        <v>#N/A</v>
      </c>
      <c r="K503" s="27" t="e">
        <f>VLOOKUP(J503,Sheet2!$C$1:$D$61,2,FALSE)</f>
        <v>#N/A</v>
      </c>
      <c r="L503" s="27"/>
      <c r="M503" s="27"/>
      <c r="N503" s="27"/>
      <c r="O503" s="27"/>
      <c r="P503" s="28"/>
      <c r="Q503" s="5" t="str">
        <f t="shared" si="23"/>
        <v>ทันกำหนด</v>
      </c>
      <c r="R503" s="6"/>
      <c r="S503" s="7"/>
    </row>
    <row r="504" spans="1:19" ht="27.75" customHeight="1">
      <c r="A504" s="3">
        <v>502</v>
      </c>
      <c r="B504" s="27"/>
      <c r="C504" s="29"/>
      <c r="D504" s="30"/>
      <c r="E504" s="31"/>
      <c r="F504" s="31"/>
      <c r="G504" s="31">
        <f t="shared" si="24"/>
        <v>0</v>
      </c>
      <c r="H504" s="31" t="str">
        <f t="shared" si="22"/>
        <v>ครบ</v>
      </c>
      <c r="I504" s="31"/>
      <c r="J504" s="27" t="e">
        <f>VLOOKUP(I504,Sheet2!$B$1:$C$62,2,FALSE)</f>
        <v>#N/A</v>
      </c>
      <c r="K504" s="27" t="e">
        <f>VLOOKUP(J504,Sheet2!$C$1:$D$61,2,FALSE)</f>
        <v>#N/A</v>
      </c>
      <c r="L504" s="27"/>
      <c r="M504" s="27"/>
      <c r="N504" s="27"/>
      <c r="O504" s="27"/>
      <c r="P504" s="28"/>
      <c r="Q504" s="5" t="str">
        <f t="shared" si="23"/>
        <v>ทันกำหนด</v>
      </c>
      <c r="R504" s="6"/>
      <c r="S504" s="7"/>
    </row>
    <row r="505" spans="1:19" ht="27.75" customHeight="1">
      <c r="A505" s="3">
        <v>503</v>
      </c>
      <c r="B505" s="27"/>
      <c r="C505" s="29"/>
      <c r="D505" s="30"/>
      <c r="E505" s="31"/>
      <c r="F505" s="31"/>
      <c r="G505" s="31">
        <f t="shared" si="24"/>
        <v>0</v>
      </c>
      <c r="H505" s="31" t="str">
        <f t="shared" si="22"/>
        <v>ครบ</v>
      </c>
      <c r="I505" s="31"/>
      <c r="J505" s="27" t="e">
        <f>VLOOKUP(I505,Sheet2!$B$1:$C$62,2,FALSE)</f>
        <v>#N/A</v>
      </c>
      <c r="K505" s="27" t="e">
        <f>VLOOKUP(J505,Sheet2!$C$1:$D$61,2,FALSE)</f>
        <v>#N/A</v>
      </c>
      <c r="L505" s="27"/>
      <c r="M505" s="27"/>
      <c r="N505" s="27"/>
      <c r="O505" s="27"/>
      <c r="P505" s="28"/>
      <c r="Q505" s="5" t="str">
        <f t="shared" si="23"/>
        <v>ทันกำหนด</v>
      </c>
      <c r="R505" s="6"/>
      <c r="S505" s="7"/>
    </row>
    <row r="506" spans="1:19" ht="27.75" customHeight="1">
      <c r="A506" s="3">
        <v>504</v>
      </c>
      <c r="B506" s="27"/>
      <c r="C506" s="29"/>
      <c r="D506" s="30"/>
      <c r="E506" s="31"/>
      <c r="F506" s="31"/>
      <c r="G506" s="31">
        <f t="shared" si="24"/>
        <v>0</v>
      </c>
      <c r="H506" s="31" t="str">
        <f t="shared" si="22"/>
        <v>ครบ</v>
      </c>
      <c r="I506" s="31"/>
      <c r="J506" s="27" t="e">
        <f>VLOOKUP(I506,Sheet2!$B$1:$C$62,2,FALSE)</f>
        <v>#N/A</v>
      </c>
      <c r="K506" s="27" t="e">
        <f>VLOOKUP(J506,Sheet2!$C$1:$D$61,2,FALSE)</f>
        <v>#N/A</v>
      </c>
      <c r="L506" s="27"/>
      <c r="M506" s="27"/>
      <c r="N506" s="27"/>
      <c r="O506" s="27"/>
      <c r="P506" s="28"/>
      <c r="Q506" s="5" t="str">
        <f t="shared" si="23"/>
        <v>ทันกำหนด</v>
      </c>
      <c r="R506" s="6"/>
      <c r="S506" s="7"/>
    </row>
    <row r="507" spans="1:19" ht="27.75" customHeight="1">
      <c r="A507" s="3">
        <v>505</v>
      </c>
      <c r="B507" s="27"/>
      <c r="C507" s="29"/>
      <c r="D507" s="30"/>
      <c r="E507" s="31"/>
      <c r="F507" s="31"/>
      <c r="G507" s="31">
        <f t="shared" si="24"/>
        <v>0</v>
      </c>
      <c r="H507" s="31" t="str">
        <f t="shared" si="22"/>
        <v>ครบ</v>
      </c>
      <c r="I507" s="31"/>
      <c r="J507" s="27" t="e">
        <f>VLOOKUP(I507,Sheet2!$B$1:$C$62,2,FALSE)</f>
        <v>#N/A</v>
      </c>
      <c r="K507" s="27" t="e">
        <f>VLOOKUP(J507,Sheet2!$C$1:$D$61,2,FALSE)</f>
        <v>#N/A</v>
      </c>
      <c r="L507" s="27"/>
      <c r="M507" s="27"/>
      <c r="N507" s="27"/>
      <c r="O507" s="27"/>
      <c r="P507" s="28"/>
      <c r="Q507" s="5" t="str">
        <f t="shared" si="23"/>
        <v>ทันกำหนด</v>
      </c>
      <c r="R507" s="6"/>
      <c r="S507" s="7"/>
    </row>
    <row r="508" spans="1:19" ht="27.75" customHeight="1">
      <c r="A508" s="3">
        <v>506</v>
      </c>
      <c r="B508" s="27"/>
      <c r="C508" s="29"/>
      <c r="D508" s="30"/>
      <c r="E508" s="31"/>
      <c r="F508" s="31"/>
      <c r="G508" s="31">
        <f t="shared" si="24"/>
        <v>0</v>
      </c>
      <c r="H508" s="31" t="str">
        <f t="shared" si="22"/>
        <v>ครบ</v>
      </c>
      <c r="I508" s="31"/>
      <c r="J508" s="27" t="e">
        <f>VLOOKUP(I508,Sheet2!$B$1:$C$62,2,FALSE)</f>
        <v>#N/A</v>
      </c>
      <c r="K508" s="27" t="e">
        <f>VLOOKUP(J508,Sheet2!$C$1:$D$61,2,FALSE)</f>
        <v>#N/A</v>
      </c>
      <c r="L508" s="27"/>
      <c r="M508" s="27"/>
      <c r="N508" s="27"/>
      <c r="O508" s="27"/>
      <c r="P508" s="28"/>
      <c r="Q508" s="5" t="str">
        <f t="shared" si="23"/>
        <v>ทันกำหนด</v>
      </c>
      <c r="R508" s="6"/>
      <c r="S508" s="7"/>
    </row>
    <row r="509" spans="1:19" ht="27.75" customHeight="1">
      <c r="A509" s="3">
        <v>507</v>
      </c>
      <c r="B509" s="27"/>
      <c r="C509" s="29"/>
      <c r="D509" s="30"/>
      <c r="E509" s="31"/>
      <c r="F509" s="31"/>
      <c r="G509" s="31">
        <f t="shared" si="24"/>
        <v>0</v>
      </c>
      <c r="H509" s="31" t="str">
        <f t="shared" si="22"/>
        <v>ครบ</v>
      </c>
      <c r="I509" s="31"/>
      <c r="J509" s="27" t="e">
        <f>VLOOKUP(I509,Sheet2!$B$1:$C$62,2,FALSE)</f>
        <v>#N/A</v>
      </c>
      <c r="K509" s="27" t="e">
        <f>VLOOKUP(J509,Sheet2!$C$1:$D$61,2,FALSE)</f>
        <v>#N/A</v>
      </c>
      <c r="L509" s="27"/>
      <c r="M509" s="27"/>
      <c r="N509" s="27"/>
      <c r="O509" s="27"/>
      <c r="P509" s="28"/>
      <c r="Q509" s="5" t="str">
        <f t="shared" si="23"/>
        <v>ทันกำหนด</v>
      </c>
      <c r="R509" s="6"/>
      <c r="S509" s="7"/>
    </row>
    <row r="510" spans="1:19" ht="27.75" customHeight="1">
      <c r="A510" s="3">
        <v>508</v>
      </c>
      <c r="B510" s="27"/>
      <c r="C510" s="29"/>
      <c r="D510" s="30"/>
      <c r="E510" s="31"/>
      <c r="F510" s="31"/>
      <c r="G510" s="31">
        <f t="shared" si="24"/>
        <v>0</v>
      </c>
      <c r="H510" s="31" t="str">
        <f t="shared" si="22"/>
        <v>ครบ</v>
      </c>
      <c r="I510" s="31"/>
      <c r="J510" s="27" t="e">
        <f>VLOOKUP(I510,Sheet2!$B$1:$C$62,2,FALSE)</f>
        <v>#N/A</v>
      </c>
      <c r="K510" s="27" t="e">
        <f>VLOOKUP(J510,Sheet2!$C$1:$D$61,2,FALSE)</f>
        <v>#N/A</v>
      </c>
      <c r="L510" s="27"/>
      <c r="M510" s="27"/>
      <c r="N510" s="27"/>
      <c r="O510" s="27"/>
      <c r="P510" s="28"/>
      <c r="Q510" s="5" t="str">
        <f t="shared" si="23"/>
        <v>ทันกำหนด</v>
      </c>
      <c r="R510" s="6"/>
      <c r="S510" s="7"/>
    </row>
    <row r="511" spans="1:19" ht="27.75" customHeight="1">
      <c r="A511" s="3">
        <v>509</v>
      </c>
      <c r="B511" s="27"/>
      <c r="C511" s="29"/>
      <c r="D511" s="30"/>
      <c r="E511" s="31"/>
      <c r="F511" s="31"/>
      <c r="G511" s="31">
        <f t="shared" si="24"/>
        <v>0</v>
      </c>
      <c r="H511" s="31" t="str">
        <f t="shared" si="22"/>
        <v>ครบ</v>
      </c>
      <c r="I511" s="31"/>
      <c r="J511" s="27" t="e">
        <f>VLOOKUP(I511,Sheet2!$B$1:$C$62,2,FALSE)</f>
        <v>#N/A</v>
      </c>
      <c r="K511" s="27" t="e">
        <f>VLOOKUP(J511,Sheet2!$C$1:$D$61,2,FALSE)</f>
        <v>#N/A</v>
      </c>
      <c r="L511" s="27"/>
      <c r="M511" s="27"/>
      <c r="N511" s="27"/>
      <c r="O511" s="27"/>
      <c r="P511" s="28"/>
      <c r="Q511" s="5" t="str">
        <f t="shared" si="23"/>
        <v>ทันกำหนด</v>
      </c>
      <c r="R511" s="6"/>
      <c r="S511" s="7"/>
    </row>
    <row r="512" spans="1:19" ht="27.75" customHeight="1">
      <c r="A512" s="3">
        <v>510</v>
      </c>
      <c r="B512" s="27"/>
      <c r="C512" s="29"/>
      <c r="D512" s="30"/>
      <c r="E512" s="31"/>
      <c r="F512" s="31"/>
      <c r="G512" s="31">
        <f t="shared" si="24"/>
        <v>0</v>
      </c>
      <c r="H512" s="31" t="str">
        <f t="shared" si="22"/>
        <v>ครบ</v>
      </c>
      <c r="I512" s="31"/>
      <c r="J512" s="27" t="e">
        <f>VLOOKUP(I512,Sheet2!$B$1:$C$62,2,FALSE)</f>
        <v>#N/A</v>
      </c>
      <c r="K512" s="27" t="e">
        <f>VLOOKUP(J512,Sheet2!$C$1:$D$61,2,FALSE)</f>
        <v>#N/A</v>
      </c>
      <c r="L512" s="27"/>
      <c r="M512" s="27"/>
      <c r="N512" s="27"/>
      <c r="O512" s="27"/>
      <c r="P512" s="28"/>
      <c r="Q512" s="5" t="str">
        <f t="shared" si="23"/>
        <v>ทันกำหนด</v>
      </c>
      <c r="R512" s="6"/>
      <c r="S512" s="7"/>
    </row>
    <row r="513" spans="1:19" ht="27.75" customHeight="1">
      <c r="A513" s="3">
        <v>511</v>
      </c>
      <c r="B513" s="27"/>
      <c r="C513" s="29"/>
      <c r="D513" s="30"/>
      <c r="E513" s="31"/>
      <c r="F513" s="31"/>
      <c r="G513" s="31">
        <f t="shared" si="24"/>
        <v>0</v>
      </c>
      <c r="H513" s="31" t="str">
        <f t="shared" si="22"/>
        <v>ครบ</v>
      </c>
      <c r="I513" s="31"/>
      <c r="J513" s="27" t="e">
        <f>VLOOKUP(I513,Sheet2!$B$1:$C$62,2,FALSE)</f>
        <v>#N/A</v>
      </c>
      <c r="K513" s="27" t="e">
        <f>VLOOKUP(J513,Sheet2!$C$1:$D$61,2,FALSE)</f>
        <v>#N/A</v>
      </c>
      <c r="L513" s="27"/>
      <c r="M513" s="27"/>
      <c r="N513" s="27"/>
      <c r="O513" s="27"/>
      <c r="P513" s="28"/>
      <c r="Q513" s="5" t="str">
        <f t="shared" si="23"/>
        <v>ทันกำหนด</v>
      </c>
      <c r="R513" s="6"/>
      <c r="S513" s="7"/>
    </row>
    <row r="514" spans="1:19" ht="27.75" customHeight="1">
      <c r="A514" s="3">
        <v>512</v>
      </c>
      <c r="B514" s="27"/>
      <c r="C514" s="29"/>
      <c r="D514" s="30"/>
      <c r="E514" s="31"/>
      <c r="F514" s="31"/>
      <c r="G514" s="31">
        <f t="shared" si="24"/>
        <v>0</v>
      </c>
      <c r="H514" s="31" t="str">
        <f t="shared" si="22"/>
        <v>ครบ</v>
      </c>
      <c r="I514" s="31"/>
      <c r="J514" s="27" t="e">
        <f>VLOOKUP(I514,Sheet2!$B$1:$C$62,2,FALSE)</f>
        <v>#N/A</v>
      </c>
      <c r="K514" s="27" t="e">
        <f>VLOOKUP(J514,Sheet2!$C$1:$D$61,2,FALSE)</f>
        <v>#N/A</v>
      </c>
      <c r="L514" s="27"/>
      <c r="M514" s="27"/>
      <c r="N514" s="27"/>
      <c r="O514" s="27"/>
      <c r="P514" s="28"/>
      <c r="Q514" s="5" t="str">
        <f t="shared" si="23"/>
        <v>ทันกำหนด</v>
      </c>
      <c r="R514" s="6"/>
      <c r="S514" s="7"/>
    </row>
    <row r="515" spans="1:19" ht="27.75" customHeight="1">
      <c r="A515" s="3">
        <v>513</v>
      </c>
      <c r="B515" s="27"/>
      <c r="C515" s="29"/>
      <c r="D515" s="30"/>
      <c r="E515" s="31"/>
      <c r="F515" s="31"/>
      <c r="G515" s="31">
        <f t="shared" si="24"/>
        <v>0</v>
      </c>
      <c r="H515" s="31" t="str">
        <f t="shared" si="22"/>
        <v>ครบ</v>
      </c>
      <c r="I515" s="31"/>
      <c r="J515" s="27" t="e">
        <f>VLOOKUP(I515,Sheet2!$B$1:$C$62,2,FALSE)</f>
        <v>#N/A</v>
      </c>
      <c r="K515" s="27" t="e">
        <f>VLOOKUP(J515,Sheet2!$C$1:$D$61,2,FALSE)</f>
        <v>#N/A</v>
      </c>
      <c r="L515" s="27"/>
      <c r="M515" s="27"/>
      <c r="N515" s="27"/>
      <c r="O515" s="27"/>
      <c r="P515" s="28"/>
      <c r="Q515" s="5" t="str">
        <f t="shared" si="23"/>
        <v>ทันกำหนด</v>
      </c>
      <c r="R515" s="6"/>
      <c r="S515" s="7"/>
    </row>
    <row r="516" spans="1:19" ht="27.75" customHeight="1">
      <c r="A516" s="3">
        <v>514</v>
      </c>
      <c r="B516" s="27"/>
      <c r="C516" s="29"/>
      <c r="D516" s="30"/>
      <c r="E516" s="31"/>
      <c r="F516" s="31"/>
      <c r="G516" s="31">
        <f t="shared" si="24"/>
        <v>0</v>
      </c>
      <c r="H516" s="31" t="str">
        <f t="shared" si="22"/>
        <v>ครบ</v>
      </c>
      <c r="I516" s="31"/>
      <c r="J516" s="27" t="e">
        <f>VLOOKUP(I516,Sheet2!$B$1:$C$62,2,FALSE)</f>
        <v>#N/A</v>
      </c>
      <c r="K516" s="27" t="e">
        <f>VLOOKUP(J516,Sheet2!$C$1:$D$61,2,FALSE)</f>
        <v>#N/A</v>
      </c>
      <c r="L516" s="27"/>
      <c r="M516" s="27"/>
      <c r="N516" s="27"/>
      <c r="O516" s="27"/>
      <c r="P516" s="28"/>
      <c r="Q516" s="5" t="str">
        <f t="shared" si="23"/>
        <v>ทันกำหนด</v>
      </c>
      <c r="R516" s="6"/>
      <c r="S516" s="7"/>
    </row>
    <row r="517" spans="1:19" ht="27.75" customHeight="1">
      <c r="A517" s="3">
        <v>515</v>
      </c>
      <c r="B517" s="27"/>
      <c r="C517" s="29"/>
      <c r="D517" s="30"/>
      <c r="E517" s="31"/>
      <c r="F517" s="31"/>
      <c r="G517" s="31">
        <f t="shared" si="24"/>
        <v>0</v>
      </c>
      <c r="H517" s="31" t="str">
        <f t="shared" si="22"/>
        <v>ครบ</v>
      </c>
      <c r="I517" s="31"/>
      <c r="J517" s="27" t="e">
        <f>VLOOKUP(I517,Sheet2!$B$1:$C$62,2,FALSE)</f>
        <v>#N/A</v>
      </c>
      <c r="K517" s="27" t="e">
        <f>VLOOKUP(J517,Sheet2!$C$1:$D$61,2,FALSE)</f>
        <v>#N/A</v>
      </c>
      <c r="L517" s="27"/>
      <c r="M517" s="27"/>
      <c r="N517" s="27"/>
      <c r="O517" s="27"/>
      <c r="P517" s="28"/>
      <c r="Q517" s="5" t="str">
        <f t="shared" si="23"/>
        <v>ทันกำหนด</v>
      </c>
      <c r="R517" s="6"/>
      <c r="S517" s="7"/>
    </row>
    <row r="518" spans="1:19" ht="27.75" customHeight="1">
      <c r="A518" s="3">
        <v>516</v>
      </c>
      <c r="B518" s="27"/>
      <c r="C518" s="29"/>
      <c r="D518" s="30"/>
      <c r="E518" s="31"/>
      <c r="F518" s="31"/>
      <c r="G518" s="31">
        <f t="shared" si="24"/>
        <v>0</v>
      </c>
      <c r="H518" s="31" t="str">
        <f t="shared" si="22"/>
        <v>ครบ</v>
      </c>
      <c r="I518" s="31"/>
      <c r="J518" s="27" t="e">
        <f>VLOOKUP(I518,Sheet2!$B$1:$C$62,2,FALSE)</f>
        <v>#N/A</v>
      </c>
      <c r="K518" s="27" t="e">
        <f>VLOOKUP(J518,Sheet2!$C$1:$D$61,2,FALSE)</f>
        <v>#N/A</v>
      </c>
      <c r="L518" s="27"/>
      <c r="M518" s="27"/>
      <c r="N518" s="27"/>
      <c r="O518" s="27"/>
      <c r="P518" s="28"/>
      <c r="Q518" s="5" t="str">
        <f t="shared" si="23"/>
        <v>ทันกำหนด</v>
      </c>
      <c r="R518" s="6"/>
      <c r="S518" s="7"/>
    </row>
    <row r="519" spans="1:19" ht="27.75" customHeight="1">
      <c r="A519" s="3">
        <v>517</v>
      </c>
      <c r="B519" s="27"/>
      <c r="C519" s="29"/>
      <c r="D519" s="30"/>
      <c r="E519" s="31"/>
      <c r="F519" s="31"/>
      <c r="G519" s="31">
        <f t="shared" si="24"/>
        <v>0</v>
      </c>
      <c r="H519" s="31" t="str">
        <f t="shared" si="22"/>
        <v>ครบ</v>
      </c>
      <c r="I519" s="31"/>
      <c r="J519" s="27" t="e">
        <f>VLOOKUP(I519,Sheet2!$B$1:$C$62,2,FALSE)</f>
        <v>#N/A</v>
      </c>
      <c r="K519" s="27" t="e">
        <f>VLOOKUP(J519,Sheet2!$C$1:$D$61,2,FALSE)</f>
        <v>#N/A</v>
      </c>
      <c r="L519" s="27"/>
      <c r="M519" s="27"/>
      <c r="N519" s="27"/>
      <c r="O519" s="27"/>
      <c r="P519" s="28"/>
      <c r="Q519" s="5" t="str">
        <f t="shared" si="23"/>
        <v>ทันกำหนด</v>
      </c>
      <c r="R519" s="6"/>
      <c r="S519" s="7"/>
    </row>
    <row r="520" spans="1:19" ht="27.75" customHeight="1">
      <c r="A520" s="3">
        <v>518</v>
      </c>
      <c r="B520" s="27"/>
      <c r="C520" s="29"/>
      <c r="D520" s="30"/>
      <c r="E520" s="31"/>
      <c r="F520" s="31"/>
      <c r="G520" s="31">
        <f t="shared" si="24"/>
        <v>0</v>
      </c>
      <c r="H520" s="31" t="str">
        <f t="shared" si="22"/>
        <v>ครบ</v>
      </c>
      <c r="I520" s="31"/>
      <c r="J520" s="27" t="e">
        <f>VLOOKUP(I520,Sheet2!$B$1:$C$62,2,FALSE)</f>
        <v>#N/A</v>
      </c>
      <c r="K520" s="27" t="e">
        <f>VLOOKUP(J520,Sheet2!$C$1:$D$61,2,FALSE)</f>
        <v>#N/A</v>
      </c>
      <c r="L520" s="27"/>
      <c r="M520" s="27"/>
      <c r="N520" s="27"/>
      <c r="O520" s="27"/>
      <c r="P520" s="28"/>
      <c r="Q520" s="5" t="str">
        <f t="shared" si="23"/>
        <v>ทันกำหนด</v>
      </c>
      <c r="R520" s="6"/>
      <c r="S520" s="7"/>
    </row>
    <row r="521" spans="1:19" ht="27.75" customHeight="1">
      <c r="A521" s="3">
        <v>519</v>
      </c>
      <c r="B521" s="27"/>
      <c r="C521" s="29"/>
      <c r="D521" s="30"/>
      <c r="E521" s="31"/>
      <c r="F521" s="31"/>
      <c r="G521" s="31">
        <f t="shared" si="24"/>
        <v>0</v>
      </c>
      <c r="H521" s="31" t="str">
        <f t="shared" si="22"/>
        <v>ครบ</v>
      </c>
      <c r="I521" s="31"/>
      <c r="J521" s="27" t="e">
        <f>VLOOKUP(I521,Sheet2!$B$1:$C$62,2,FALSE)</f>
        <v>#N/A</v>
      </c>
      <c r="K521" s="27" t="e">
        <f>VLOOKUP(J521,Sheet2!$C$1:$D$61,2,FALSE)</f>
        <v>#N/A</v>
      </c>
      <c r="L521" s="27"/>
      <c r="M521" s="27"/>
      <c r="N521" s="27"/>
      <c r="O521" s="27"/>
      <c r="P521" s="28"/>
      <c r="Q521" s="5" t="str">
        <f t="shared" si="23"/>
        <v>ทันกำหนด</v>
      </c>
      <c r="R521" s="6"/>
      <c r="S521" s="7"/>
    </row>
    <row r="522" spans="1:19" ht="27.75" customHeight="1">
      <c r="A522" s="3">
        <v>520</v>
      </c>
      <c r="B522" s="27"/>
      <c r="C522" s="29"/>
      <c r="D522" s="30"/>
      <c r="E522" s="31"/>
      <c r="F522" s="31"/>
      <c r="G522" s="31">
        <f t="shared" si="24"/>
        <v>0</v>
      </c>
      <c r="H522" s="31" t="str">
        <f t="shared" si="22"/>
        <v>ครบ</v>
      </c>
      <c r="I522" s="31"/>
      <c r="J522" s="27" t="e">
        <f>VLOOKUP(I522,Sheet2!$B$1:$C$62,2,FALSE)</f>
        <v>#N/A</v>
      </c>
      <c r="K522" s="27" t="e">
        <f>VLOOKUP(J522,Sheet2!$C$1:$D$61,2,FALSE)</f>
        <v>#N/A</v>
      </c>
      <c r="L522" s="27"/>
      <c r="M522" s="27"/>
      <c r="N522" s="27"/>
      <c r="O522" s="27"/>
      <c r="P522" s="28"/>
      <c r="Q522" s="5" t="str">
        <f t="shared" si="23"/>
        <v>ทันกำหนด</v>
      </c>
      <c r="R522" s="6"/>
      <c r="S522" s="7"/>
    </row>
    <row r="523" spans="1:19" ht="27.75" customHeight="1">
      <c r="A523" s="3">
        <v>521</v>
      </c>
      <c r="B523" s="27"/>
      <c r="C523" s="29"/>
      <c r="D523" s="30"/>
      <c r="E523" s="31"/>
      <c r="F523" s="31"/>
      <c r="G523" s="31">
        <f t="shared" si="24"/>
        <v>0</v>
      </c>
      <c r="H523" s="31" t="str">
        <f t="shared" si="22"/>
        <v>ครบ</v>
      </c>
      <c r="I523" s="31"/>
      <c r="J523" s="27" t="e">
        <f>VLOOKUP(I523,Sheet2!$B$1:$C$62,2,FALSE)</f>
        <v>#N/A</v>
      </c>
      <c r="K523" s="27" t="e">
        <f>VLOOKUP(J523,Sheet2!$C$1:$D$61,2,FALSE)</f>
        <v>#N/A</v>
      </c>
      <c r="L523" s="27"/>
      <c r="M523" s="27"/>
      <c r="N523" s="27"/>
      <c r="O523" s="27"/>
      <c r="P523" s="28"/>
      <c r="Q523" s="5" t="str">
        <f t="shared" si="23"/>
        <v>ทันกำหนด</v>
      </c>
      <c r="R523" s="6"/>
      <c r="S523" s="7"/>
    </row>
    <row r="524" spans="1:19" ht="27.75" customHeight="1">
      <c r="A524" s="3">
        <v>522</v>
      </c>
      <c r="B524" s="27"/>
      <c r="C524" s="29"/>
      <c r="D524" s="30"/>
      <c r="E524" s="31"/>
      <c r="F524" s="31"/>
      <c r="G524" s="31">
        <f t="shared" si="24"/>
        <v>0</v>
      </c>
      <c r="H524" s="31" t="str">
        <f t="shared" si="22"/>
        <v>ครบ</v>
      </c>
      <c r="I524" s="31"/>
      <c r="J524" s="27" t="e">
        <f>VLOOKUP(I524,Sheet2!$B$1:$C$62,2,FALSE)</f>
        <v>#N/A</v>
      </c>
      <c r="K524" s="27" t="e">
        <f>VLOOKUP(J524,Sheet2!$C$1:$D$61,2,FALSE)</f>
        <v>#N/A</v>
      </c>
      <c r="L524" s="27"/>
      <c r="M524" s="27"/>
      <c r="N524" s="27"/>
      <c r="O524" s="27"/>
      <c r="P524" s="28"/>
      <c r="Q524" s="5" t="str">
        <f t="shared" si="23"/>
        <v>ทันกำหนด</v>
      </c>
      <c r="R524" s="6"/>
      <c r="S524" s="7"/>
    </row>
    <row r="525" spans="1:19" ht="27.75" customHeight="1">
      <c r="A525" s="3">
        <v>523</v>
      </c>
      <c r="B525" s="27"/>
      <c r="C525" s="29"/>
      <c r="D525" s="30"/>
      <c r="E525" s="31"/>
      <c r="F525" s="31"/>
      <c r="G525" s="31">
        <f t="shared" si="24"/>
        <v>0</v>
      </c>
      <c r="H525" s="31" t="str">
        <f t="shared" si="22"/>
        <v>ครบ</v>
      </c>
      <c r="I525" s="31"/>
      <c r="J525" s="27" t="e">
        <f>VLOOKUP(I525,Sheet2!$B$1:$C$62,2,FALSE)</f>
        <v>#N/A</v>
      </c>
      <c r="K525" s="27" t="e">
        <f>VLOOKUP(J525,Sheet2!$C$1:$D$61,2,FALSE)</f>
        <v>#N/A</v>
      </c>
      <c r="L525" s="27"/>
      <c r="M525" s="27"/>
      <c r="N525" s="27"/>
      <c r="O525" s="27"/>
      <c r="P525" s="28"/>
      <c r="Q525" s="5" t="str">
        <f t="shared" si="23"/>
        <v>ทันกำหนด</v>
      </c>
      <c r="R525" s="6"/>
      <c r="S525" s="7"/>
    </row>
    <row r="526" spans="1:19" ht="27.75" customHeight="1">
      <c r="A526" s="3">
        <v>524</v>
      </c>
      <c r="B526" s="27"/>
      <c r="C526" s="29"/>
      <c r="D526" s="30"/>
      <c r="E526" s="31"/>
      <c r="F526" s="31"/>
      <c r="G526" s="31">
        <f t="shared" si="24"/>
        <v>0</v>
      </c>
      <c r="H526" s="31" t="str">
        <f t="shared" si="22"/>
        <v>ครบ</v>
      </c>
      <c r="I526" s="31"/>
      <c r="J526" s="27" t="e">
        <f>VLOOKUP(I526,Sheet2!$B$1:$C$62,2,FALSE)</f>
        <v>#N/A</v>
      </c>
      <c r="K526" s="27" t="e">
        <f>VLOOKUP(J526,Sheet2!$C$1:$D$61,2,FALSE)</f>
        <v>#N/A</v>
      </c>
      <c r="L526" s="27"/>
      <c r="M526" s="27"/>
      <c r="N526" s="27"/>
      <c r="O526" s="27"/>
      <c r="P526" s="28"/>
      <c r="Q526" s="5" t="str">
        <f t="shared" si="23"/>
        <v>ทันกำหนด</v>
      </c>
      <c r="R526" s="6"/>
      <c r="S526" s="7"/>
    </row>
    <row r="527" spans="1:19" ht="27.75" customHeight="1">
      <c r="A527" s="3">
        <v>525</v>
      </c>
      <c r="B527" s="27"/>
      <c r="C527" s="29"/>
      <c r="D527" s="30"/>
      <c r="E527" s="31"/>
      <c r="F527" s="31"/>
      <c r="G527" s="31">
        <f t="shared" si="24"/>
        <v>0</v>
      </c>
      <c r="H527" s="31" t="str">
        <f t="shared" si="22"/>
        <v>ครบ</v>
      </c>
      <c r="I527" s="31"/>
      <c r="J527" s="27" t="e">
        <f>VLOOKUP(I527,Sheet2!$B$1:$C$62,2,FALSE)</f>
        <v>#N/A</v>
      </c>
      <c r="K527" s="27" t="e">
        <f>VLOOKUP(J527,Sheet2!$C$1:$D$61,2,FALSE)</f>
        <v>#N/A</v>
      </c>
      <c r="L527" s="27"/>
      <c r="M527" s="27"/>
      <c r="N527" s="27"/>
      <c r="O527" s="27"/>
      <c r="P527" s="28"/>
      <c r="Q527" s="5" t="str">
        <f t="shared" si="23"/>
        <v>ทันกำหนด</v>
      </c>
      <c r="R527" s="6"/>
      <c r="S527" s="7"/>
    </row>
    <row r="528" spans="1:19" ht="27.75" customHeight="1">
      <c r="A528" s="3">
        <v>526</v>
      </c>
      <c r="B528" s="27"/>
      <c r="C528" s="29"/>
      <c r="D528" s="30"/>
      <c r="E528" s="31"/>
      <c r="F528" s="31"/>
      <c r="G528" s="31">
        <f t="shared" si="24"/>
        <v>0</v>
      </c>
      <c r="H528" s="31" t="str">
        <f t="shared" si="22"/>
        <v>ครบ</v>
      </c>
      <c r="I528" s="31"/>
      <c r="J528" s="27" t="e">
        <f>VLOOKUP(I528,Sheet2!$B$1:$C$62,2,FALSE)</f>
        <v>#N/A</v>
      </c>
      <c r="K528" s="27" t="e">
        <f>VLOOKUP(J528,Sheet2!$C$1:$D$61,2,FALSE)</f>
        <v>#N/A</v>
      </c>
      <c r="L528" s="27"/>
      <c r="M528" s="27"/>
      <c r="N528" s="27"/>
      <c r="O528" s="27"/>
      <c r="P528" s="28"/>
      <c r="Q528" s="5" t="str">
        <f t="shared" si="23"/>
        <v>ทันกำหนด</v>
      </c>
      <c r="R528" s="6"/>
      <c r="S528" s="7"/>
    </row>
    <row r="529" spans="1:19" ht="27.75" customHeight="1">
      <c r="A529" s="3">
        <v>527</v>
      </c>
      <c r="B529" s="27"/>
      <c r="C529" s="29"/>
      <c r="D529" s="30"/>
      <c r="E529" s="31"/>
      <c r="F529" s="31"/>
      <c r="G529" s="31">
        <f t="shared" si="24"/>
        <v>0</v>
      </c>
      <c r="H529" s="31" t="str">
        <f t="shared" si="22"/>
        <v>ครบ</v>
      </c>
      <c r="I529" s="31"/>
      <c r="J529" s="27" t="e">
        <f>VLOOKUP(I529,Sheet2!$B$1:$C$62,2,FALSE)</f>
        <v>#N/A</v>
      </c>
      <c r="K529" s="27" t="e">
        <f>VLOOKUP(J529,Sheet2!$C$1:$D$61,2,FALSE)</f>
        <v>#N/A</v>
      </c>
      <c r="L529" s="27"/>
      <c r="M529" s="27"/>
      <c r="N529" s="27"/>
      <c r="O529" s="27"/>
      <c r="P529" s="28"/>
      <c r="Q529" s="5" t="str">
        <f t="shared" si="23"/>
        <v>ทันกำหนด</v>
      </c>
      <c r="R529" s="6"/>
      <c r="S529" s="7"/>
    </row>
    <row r="530" spans="1:19" ht="27.75" customHeight="1">
      <c r="A530" s="3">
        <v>528</v>
      </c>
      <c r="B530" s="27"/>
      <c r="C530" s="29"/>
      <c r="D530" s="30"/>
      <c r="E530" s="31"/>
      <c r="F530" s="31"/>
      <c r="G530" s="31">
        <f t="shared" si="24"/>
        <v>0</v>
      </c>
      <c r="H530" s="31" t="str">
        <f t="shared" si="22"/>
        <v>ครบ</v>
      </c>
      <c r="I530" s="31"/>
      <c r="J530" s="27" t="e">
        <f>VLOOKUP(I530,Sheet2!$B$1:$C$62,2,FALSE)</f>
        <v>#N/A</v>
      </c>
      <c r="K530" s="27" t="e">
        <f>VLOOKUP(J530,Sheet2!$C$1:$D$61,2,FALSE)</f>
        <v>#N/A</v>
      </c>
      <c r="L530" s="27"/>
      <c r="M530" s="27"/>
      <c r="N530" s="27"/>
      <c r="O530" s="27"/>
      <c r="P530" s="28"/>
      <c r="Q530" s="5" t="str">
        <f t="shared" si="23"/>
        <v>ทันกำหนด</v>
      </c>
      <c r="R530" s="6"/>
      <c r="S530" s="7"/>
    </row>
    <row r="531" spans="1:19" ht="28.5" customHeight="1">
      <c r="A531" s="3">
        <v>529</v>
      </c>
      <c r="B531" s="27"/>
      <c r="C531" s="29"/>
      <c r="D531" s="30"/>
      <c r="E531" s="31"/>
      <c r="F531" s="31"/>
      <c r="G531" s="31">
        <f t="shared" si="24"/>
        <v>0</v>
      </c>
      <c r="H531" s="31" t="str">
        <f t="shared" si="22"/>
        <v>ครบ</v>
      </c>
      <c r="I531" s="31"/>
      <c r="J531" s="27" t="e">
        <f>VLOOKUP(I531,Sheet2!$B$1:$C$62,2,FALSE)</f>
        <v>#N/A</v>
      </c>
      <c r="K531" s="27" t="e">
        <f>VLOOKUP(J531,Sheet2!$C$1:$D$61,2,FALSE)</f>
        <v>#N/A</v>
      </c>
      <c r="L531" s="27"/>
      <c r="M531" s="27"/>
      <c r="N531" s="27"/>
      <c r="O531" s="27"/>
      <c r="P531" s="28"/>
      <c r="Q531" s="5" t="str">
        <f t="shared" si="23"/>
        <v>ทันกำหนด</v>
      </c>
      <c r="R531" s="6"/>
      <c r="S531" s="33"/>
    </row>
    <row r="532" spans="1:19">
      <c r="A532" s="3">
        <v>530</v>
      </c>
      <c r="B532" s="27"/>
      <c r="C532" s="29"/>
      <c r="D532" s="30"/>
      <c r="E532" s="31"/>
      <c r="F532" s="31"/>
      <c r="G532" s="31">
        <f t="shared" si="24"/>
        <v>0</v>
      </c>
      <c r="H532" s="31" t="str">
        <f t="shared" si="22"/>
        <v>ครบ</v>
      </c>
      <c r="I532" s="31"/>
      <c r="J532" s="27" t="e">
        <f>VLOOKUP(I532,Sheet2!$B$1:$C$62,2,FALSE)</f>
        <v>#N/A</v>
      </c>
      <c r="K532" s="27" t="e">
        <f>VLOOKUP(J532,Sheet2!$C$1:$D$61,2,FALSE)</f>
        <v>#N/A</v>
      </c>
      <c r="L532" s="27"/>
      <c r="M532" s="27"/>
      <c r="N532" s="27"/>
      <c r="O532" s="27"/>
      <c r="P532" s="28"/>
      <c r="Q532" s="5" t="str">
        <f t="shared" si="23"/>
        <v>ทันกำหนด</v>
      </c>
      <c r="R532" s="6"/>
      <c r="S532" s="33"/>
    </row>
    <row r="533" spans="1:19">
      <c r="A533" s="3">
        <v>531</v>
      </c>
      <c r="B533" s="27"/>
      <c r="C533" s="29"/>
      <c r="D533" s="30"/>
      <c r="E533" s="31"/>
      <c r="F533" s="31"/>
      <c r="G533" s="31">
        <f t="shared" si="24"/>
        <v>0</v>
      </c>
      <c r="H533" s="31" t="str">
        <f t="shared" si="22"/>
        <v>ครบ</v>
      </c>
      <c r="I533" s="31"/>
      <c r="J533" s="27" t="e">
        <f>VLOOKUP(I533,Sheet2!$B$1:$C$62,2,FALSE)</f>
        <v>#N/A</v>
      </c>
      <c r="K533" s="27" t="e">
        <f>VLOOKUP(J533,Sheet2!$C$1:$D$61,2,FALSE)</f>
        <v>#N/A</v>
      </c>
      <c r="L533" s="27"/>
      <c r="M533" s="27"/>
      <c r="N533" s="27"/>
      <c r="O533" s="27"/>
      <c r="P533" s="28"/>
      <c r="Q533" s="5" t="str">
        <f t="shared" si="23"/>
        <v>ทันกำหนด</v>
      </c>
      <c r="R533" s="6"/>
      <c r="S533" s="33"/>
    </row>
    <row r="534" spans="1:19">
      <c r="A534" s="3">
        <v>532</v>
      </c>
      <c r="B534" s="27"/>
      <c r="C534" s="29"/>
      <c r="D534" s="30"/>
      <c r="E534" s="31"/>
      <c r="F534" s="31"/>
      <c r="G534" s="31">
        <f t="shared" si="24"/>
        <v>0</v>
      </c>
      <c r="H534" s="31" t="str">
        <f t="shared" si="22"/>
        <v>ครบ</v>
      </c>
      <c r="I534" s="31"/>
      <c r="J534" s="27" t="e">
        <f>VLOOKUP(I534,Sheet2!$B$1:$C$62,2,FALSE)</f>
        <v>#N/A</v>
      </c>
      <c r="K534" s="27" t="e">
        <f>VLOOKUP(J534,Sheet2!$C$1:$D$61,2,FALSE)</f>
        <v>#N/A</v>
      </c>
      <c r="L534" s="27"/>
      <c r="M534" s="27"/>
      <c r="N534" s="27"/>
      <c r="O534" s="27"/>
      <c r="P534" s="28"/>
      <c r="Q534" s="5" t="str">
        <f t="shared" si="23"/>
        <v>ทันกำหนด</v>
      </c>
      <c r="R534" s="6"/>
      <c r="S534" s="33"/>
    </row>
    <row r="535" spans="1:19">
      <c r="A535" s="3">
        <v>533</v>
      </c>
      <c r="B535" s="27"/>
      <c r="C535" s="29"/>
      <c r="D535" s="30"/>
      <c r="E535" s="31"/>
      <c r="F535" s="31"/>
      <c r="G535" s="31">
        <f t="shared" si="24"/>
        <v>0</v>
      </c>
      <c r="H535" s="31" t="str">
        <f t="shared" si="22"/>
        <v>ครบ</v>
      </c>
      <c r="I535" s="31"/>
      <c r="J535" s="27" t="e">
        <f>VLOOKUP(I535,Sheet2!$B$1:$C$62,2,FALSE)</f>
        <v>#N/A</v>
      </c>
      <c r="K535" s="27" t="e">
        <f>VLOOKUP(J535,Sheet2!$C$1:$D$61,2,FALSE)</f>
        <v>#N/A</v>
      </c>
      <c r="L535" s="27"/>
      <c r="M535" s="27"/>
      <c r="N535" s="27"/>
      <c r="O535" s="27"/>
      <c r="P535" s="28"/>
      <c r="Q535" s="5" t="str">
        <f t="shared" si="23"/>
        <v>ทันกำหนด</v>
      </c>
      <c r="R535" s="6"/>
      <c r="S535" s="33"/>
    </row>
    <row r="536" spans="1:19">
      <c r="A536" s="3">
        <v>534</v>
      </c>
      <c r="B536" s="27"/>
      <c r="C536" s="29"/>
      <c r="D536" s="30"/>
      <c r="E536" s="31"/>
      <c r="F536" s="31"/>
      <c r="G536" s="31">
        <f t="shared" si="24"/>
        <v>0</v>
      </c>
      <c r="H536" s="31" t="str">
        <f t="shared" si="22"/>
        <v>ครบ</v>
      </c>
      <c r="I536" s="31"/>
      <c r="J536" s="27" t="e">
        <f>VLOOKUP(I536,Sheet2!$B$1:$C$62,2,FALSE)</f>
        <v>#N/A</v>
      </c>
      <c r="K536" s="27" t="e">
        <f>VLOOKUP(J536,Sheet2!$C$1:$D$61,2,FALSE)</f>
        <v>#N/A</v>
      </c>
      <c r="L536" s="27"/>
      <c r="M536" s="27"/>
      <c r="N536" s="27"/>
      <c r="O536" s="27"/>
      <c r="P536" s="28"/>
      <c r="Q536" s="5" t="str">
        <f t="shared" si="23"/>
        <v>ทันกำหนด</v>
      </c>
      <c r="R536" s="6"/>
      <c r="S536" s="33"/>
    </row>
    <row r="537" spans="1:19">
      <c r="A537" s="3">
        <v>535</v>
      </c>
      <c r="B537" s="27"/>
      <c r="C537" s="29"/>
      <c r="D537" s="30"/>
      <c r="E537" s="31"/>
      <c r="F537" s="31"/>
      <c r="G537" s="31">
        <f t="shared" si="24"/>
        <v>0</v>
      </c>
      <c r="H537" s="31" t="str">
        <f t="shared" si="22"/>
        <v>ครบ</v>
      </c>
      <c r="I537" s="31"/>
      <c r="J537" s="27" t="e">
        <f>VLOOKUP(I537,Sheet2!$B$1:$C$62,2,FALSE)</f>
        <v>#N/A</v>
      </c>
      <c r="K537" s="27" t="e">
        <f>VLOOKUP(J537,Sheet2!$C$1:$D$61,2,FALSE)</f>
        <v>#N/A</v>
      </c>
      <c r="L537" s="27"/>
      <c r="M537" s="27"/>
      <c r="N537" s="27"/>
      <c r="O537" s="27"/>
      <c r="P537" s="28"/>
      <c r="Q537" s="5" t="str">
        <f t="shared" si="23"/>
        <v>ทันกำหนด</v>
      </c>
      <c r="R537" s="6"/>
      <c r="S537" s="33"/>
    </row>
    <row r="538" spans="1:19">
      <c r="A538" s="3">
        <v>536</v>
      </c>
      <c r="B538" s="27"/>
      <c r="C538" s="29"/>
      <c r="D538" s="30"/>
      <c r="E538" s="31"/>
      <c r="F538" s="31"/>
      <c r="G538" s="31">
        <f t="shared" si="24"/>
        <v>0</v>
      </c>
      <c r="H538" s="31" t="str">
        <f t="shared" si="22"/>
        <v>ครบ</v>
      </c>
      <c r="I538" s="31"/>
      <c r="J538" s="27" t="e">
        <f>VLOOKUP(I538,Sheet2!$B$1:$C$62,2,FALSE)</f>
        <v>#N/A</v>
      </c>
      <c r="K538" s="27" t="e">
        <f>VLOOKUP(J538,Sheet2!$C$1:$D$61,2,FALSE)</f>
        <v>#N/A</v>
      </c>
      <c r="L538" s="27"/>
      <c r="M538" s="27"/>
      <c r="N538" s="27"/>
      <c r="O538" s="27"/>
      <c r="P538" s="28"/>
      <c r="Q538" s="5" t="str">
        <f t="shared" si="23"/>
        <v>ทันกำหนด</v>
      </c>
      <c r="R538" s="6"/>
      <c r="S538" s="33"/>
    </row>
    <row r="539" spans="1:19" ht="27.75" customHeight="1">
      <c r="A539" s="3">
        <v>537</v>
      </c>
      <c r="B539" s="27"/>
      <c r="C539" s="29"/>
      <c r="D539" s="30"/>
      <c r="E539" s="31"/>
      <c r="F539" s="31"/>
      <c r="G539" s="31">
        <f t="shared" si="24"/>
        <v>0</v>
      </c>
      <c r="H539" s="31" t="str">
        <f t="shared" si="22"/>
        <v>ครบ</v>
      </c>
      <c r="I539" s="31"/>
      <c r="J539" s="27" t="e">
        <f>VLOOKUP(I539,Sheet2!$B$1:$C$62,2,FALSE)</f>
        <v>#N/A</v>
      </c>
      <c r="K539" s="27" t="e">
        <f>VLOOKUP(J539,Sheet2!$C$1:$D$61,2,FALSE)</f>
        <v>#N/A</v>
      </c>
      <c r="L539" s="27"/>
      <c r="M539" s="27"/>
      <c r="N539" s="27"/>
      <c r="O539" s="27"/>
      <c r="P539" s="28"/>
      <c r="Q539" s="5" t="str">
        <f t="shared" si="23"/>
        <v>ทันกำหนด</v>
      </c>
      <c r="R539" s="6"/>
      <c r="S539" s="7"/>
    </row>
    <row r="540" spans="1:19" ht="27.75" customHeight="1">
      <c r="A540" s="3">
        <v>538</v>
      </c>
      <c r="B540" s="27"/>
      <c r="C540" s="29"/>
      <c r="D540" s="30"/>
      <c r="E540" s="31"/>
      <c r="F540" s="31"/>
      <c r="G540" s="31">
        <f t="shared" si="24"/>
        <v>0</v>
      </c>
      <c r="H540" s="31" t="str">
        <f t="shared" si="22"/>
        <v>ครบ</v>
      </c>
      <c r="I540" s="31"/>
      <c r="J540" s="27" t="e">
        <f>VLOOKUP(I540,Sheet2!$B$1:$C$62,2,FALSE)</f>
        <v>#N/A</v>
      </c>
      <c r="K540" s="27" t="e">
        <f>VLOOKUP(J540,Sheet2!$C$1:$D$61,2,FALSE)</f>
        <v>#N/A</v>
      </c>
      <c r="L540" s="27"/>
      <c r="M540" s="27"/>
      <c r="N540" s="27"/>
      <c r="O540" s="27"/>
      <c r="P540" s="28"/>
      <c r="Q540" s="5" t="str">
        <f t="shared" si="23"/>
        <v>ทันกำหนด</v>
      </c>
      <c r="R540" s="6"/>
      <c r="S540" s="7"/>
    </row>
    <row r="541" spans="1:19" ht="27.75" customHeight="1">
      <c r="A541" s="3">
        <v>539</v>
      </c>
      <c r="B541" s="27"/>
      <c r="C541" s="29"/>
      <c r="D541" s="30"/>
      <c r="E541" s="31"/>
      <c r="F541" s="31"/>
      <c r="G541" s="31">
        <f t="shared" si="24"/>
        <v>0</v>
      </c>
      <c r="H541" s="31" t="str">
        <f t="shared" si="22"/>
        <v>ครบ</v>
      </c>
      <c r="I541" s="31"/>
      <c r="J541" s="27" t="e">
        <f>VLOOKUP(I541,Sheet2!$B$1:$C$62,2,FALSE)</f>
        <v>#N/A</v>
      </c>
      <c r="K541" s="27" t="e">
        <f>VLOOKUP(J541,Sheet2!$C$1:$D$61,2,FALSE)</f>
        <v>#N/A</v>
      </c>
      <c r="L541" s="27"/>
      <c r="M541" s="27"/>
      <c r="N541" s="27"/>
      <c r="O541" s="27"/>
      <c r="P541" s="28"/>
      <c r="Q541" s="5" t="str">
        <f t="shared" si="23"/>
        <v>ทันกำหนด</v>
      </c>
      <c r="R541" s="6"/>
      <c r="S541" s="7"/>
    </row>
    <row r="542" spans="1:19" ht="27.75" customHeight="1">
      <c r="A542" s="3">
        <v>540</v>
      </c>
      <c r="B542" s="27"/>
      <c r="C542" s="29"/>
      <c r="D542" s="30"/>
      <c r="E542" s="31"/>
      <c r="F542" s="31"/>
      <c r="G542" s="31">
        <f t="shared" si="24"/>
        <v>0</v>
      </c>
      <c r="H542" s="31" t="str">
        <f t="shared" si="22"/>
        <v>ครบ</v>
      </c>
      <c r="I542" s="31"/>
      <c r="J542" s="27" t="e">
        <f>VLOOKUP(I542,Sheet2!$B$1:$C$62,2,FALSE)</f>
        <v>#N/A</v>
      </c>
      <c r="K542" s="27" t="e">
        <f>VLOOKUP(J542,Sheet2!$C$1:$D$61,2,FALSE)</f>
        <v>#N/A</v>
      </c>
      <c r="L542" s="27"/>
      <c r="M542" s="27"/>
      <c r="N542" s="27"/>
      <c r="O542" s="27"/>
      <c r="P542" s="28"/>
      <c r="Q542" s="5" t="str">
        <f t="shared" si="23"/>
        <v>ทันกำหนด</v>
      </c>
      <c r="R542" s="6"/>
      <c r="S542" s="7"/>
    </row>
    <row r="543" spans="1:19" ht="27.75" customHeight="1">
      <c r="A543" s="3">
        <v>541</v>
      </c>
      <c r="B543" s="27"/>
      <c r="C543" s="29"/>
      <c r="D543" s="30"/>
      <c r="E543" s="31"/>
      <c r="F543" s="31"/>
      <c r="G543" s="31">
        <f t="shared" si="24"/>
        <v>0</v>
      </c>
      <c r="H543" s="31" t="str">
        <f t="shared" si="22"/>
        <v>ครบ</v>
      </c>
      <c r="I543" s="31"/>
      <c r="J543" s="27" t="e">
        <f>VLOOKUP(I543,Sheet2!$B$1:$C$62,2,FALSE)</f>
        <v>#N/A</v>
      </c>
      <c r="K543" s="27" t="e">
        <f>VLOOKUP(J543,Sheet2!$C$1:$D$61,2,FALSE)</f>
        <v>#N/A</v>
      </c>
      <c r="L543" s="27"/>
      <c r="M543" s="27"/>
      <c r="N543" s="27"/>
      <c r="O543" s="27"/>
      <c r="P543" s="28"/>
      <c r="Q543" s="5" t="str">
        <f t="shared" si="23"/>
        <v>ทันกำหนด</v>
      </c>
      <c r="R543" s="6"/>
      <c r="S543" s="7"/>
    </row>
    <row r="544" spans="1:19" ht="27.75" customHeight="1">
      <c r="A544" s="3">
        <v>542</v>
      </c>
      <c r="B544" s="27"/>
      <c r="C544" s="29"/>
      <c r="D544" s="30"/>
      <c r="E544" s="31"/>
      <c r="F544" s="31"/>
      <c r="G544" s="31">
        <f t="shared" si="24"/>
        <v>0</v>
      </c>
      <c r="H544" s="31" t="str">
        <f t="shared" si="22"/>
        <v>ครบ</v>
      </c>
      <c r="I544" s="31"/>
      <c r="J544" s="27" t="e">
        <f>VLOOKUP(I544,Sheet2!$B$1:$C$62,2,FALSE)</f>
        <v>#N/A</v>
      </c>
      <c r="K544" s="27" t="e">
        <f>VLOOKUP(J544,Sheet2!$C$1:$D$61,2,FALSE)</f>
        <v>#N/A</v>
      </c>
      <c r="L544" s="27"/>
      <c r="M544" s="27"/>
      <c r="N544" s="27"/>
      <c r="O544" s="27"/>
      <c r="P544" s="28"/>
      <c r="Q544" s="5" t="str">
        <f t="shared" si="23"/>
        <v>ทันกำหนด</v>
      </c>
      <c r="R544" s="6"/>
      <c r="S544" s="7"/>
    </row>
    <row r="545" spans="1:19" ht="27.75" customHeight="1">
      <c r="A545" s="3">
        <v>543</v>
      </c>
      <c r="B545" s="27"/>
      <c r="C545" s="29"/>
      <c r="D545" s="30"/>
      <c r="E545" s="31"/>
      <c r="F545" s="31"/>
      <c r="G545" s="31">
        <f t="shared" si="24"/>
        <v>0</v>
      </c>
      <c r="H545" s="31" t="str">
        <f t="shared" si="22"/>
        <v>ครบ</v>
      </c>
      <c r="I545" s="31"/>
      <c r="J545" s="27" t="e">
        <f>VLOOKUP(I545,Sheet2!$B$1:$C$62,2,FALSE)</f>
        <v>#N/A</v>
      </c>
      <c r="K545" s="27" t="e">
        <f>VLOOKUP(J545,Sheet2!$C$1:$D$61,2,FALSE)</f>
        <v>#N/A</v>
      </c>
      <c r="L545" s="27"/>
      <c r="M545" s="27"/>
      <c r="N545" s="27"/>
      <c r="O545" s="27"/>
      <c r="P545" s="28"/>
      <c r="Q545" s="5" t="str">
        <f t="shared" si="23"/>
        <v>ทันกำหนด</v>
      </c>
      <c r="R545" s="6"/>
      <c r="S545" s="7"/>
    </row>
    <row r="546" spans="1:19" ht="27.75" customHeight="1">
      <c r="A546" s="3">
        <v>544</v>
      </c>
      <c r="B546" s="27"/>
      <c r="C546" s="29"/>
      <c r="D546" s="30"/>
      <c r="E546" s="31"/>
      <c r="F546" s="31"/>
      <c r="G546" s="31">
        <f t="shared" si="24"/>
        <v>0</v>
      </c>
      <c r="H546" s="31" t="str">
        <f t="shared" si="22"/>
        <v>ครบ</v>
      </c>
      <c r="I546" s="31"/>
      <c r="J546" s="27" t="e">
        <f>VLOOKUP(I546,Sheet2!$B$1:$C$62,2,FALSE)</f>
        <v>#N/A</v>
      </c>
      <c r="K546" s="27" t="e">
        <f>VLOOKUP(J546,Sheet2!$C$1:$D$61,2,FALSE)</f>
        <v>#N/A</v>
      </c>
      <c r="L546" s="27"/>
      <c r="M546" s="27"/>
      <c r="N546" s="27"/>
      <c r="O546" s="27"/>
      <c r="P546" s="28"/>
      <c r="Q546" s="5" t="str">
        <f t="shared" si="23"/>
        <v>ทันกำหนด</v>
      </c>
      <c r="R546" s="6"/>
      <c r="S546" s="7"/>
    </row>
    <row r="547" spans="1:19" ht="27.75" customHeight="1">
      <c r="A547" s="3">
        <v>545</v>
      </c>
      <c r="B547" s="27"/>
      <c r="C547" s="29"/>
      <c r="D547" s="30"/>
      <c r="E547" s="31"/>
      <c r="F547" s="31"/>
      <c r="G547" s="31">
        <f t="shared" si="24"/>
        <v>0</v>
      </c>
      <c r="H547" s="31" t="str">
        <f t="shared" si="22"/>
        <v>ครบ</v>
      </c>
      <c r="I547" s="31"/>
      <c r="J547" s="27" t="e">
        <f>VLOOKUP(I547,Sheet2!$B$1:$C$62,2,FALSE)</f>
        <v>#N/A</v>
      </c>
      <c r="K547" s="27" t="e">
        <f>VLOOKUP(J547,Sheet2!$C$1:$D$61,2,FALSE)</f>
        <v>#N/A</v>
      </c>
      <c r="L547" s="27"/>
      <c r="M547" s="27"/>
      <c r="N547" s="27"/>
      <c r="O547" s="27"/>
      <c r="P547" s="28"/>
      <c r="Q547" s="5" t="str">
        <f t="shared" si="23"/>
        <v>ทันกำหนด</v>
      </c>
      <c r="R547" s="6"/>
      <c r="S547" s="7"/>
    </row>
    <row r="548" spans="1:19" ht="27.75" customHeight="1">
      <c r="A548" s="3">
        <v>546</v>
      </c>
      <c r="B548" s="27"/>
      <c r="C548" s="29"/>
      <c r="D548" s="30"/>
      <c r="E548" s="31"/>
      <c r="F548" s="31"/>
      <c r="G548" s="31">
        <f t="shared" si="24"/>
        <v>0</v>
      </c>
      <c r="H548" s="31" t="str">
        <f t="shared" si="22"/>
        <v>ครบ</v>
      </c>
      <c r="I548" s="31"/>
      <c r="J548" s="27" t="e">
        <f>VLOOKUP(I548,Sheet2!$B$1:$C$62,2,FALSE)</f>
        <v>#N/A</v>
      </c>
      <c r="K548" s="27" t="e">
        <f>VLOOKUP(J548,Sheet2!$C$1:$D$61,2,FALSE)</f>
        <v>#N/A</v>
      </c>
      <c r="L548" s="27"/>
      <c r="M548" s="27"/>
      <c r="N548" s="27"/>
      <c r="O548" s="27"/>
      <c r="P548" s="28"/>
      <c r="Q548" s="5" t="str">
        <f t="shared" si="23"/>
        <v>ทันกำหนด</v>
      </c>
      <c r="R548" s="6"/>
      <c r="S548" s="7"/>
    </row>
    <row r="549" spans="1:19" ht="27.75" customHeight="1">
      <c r="A549" s="3">
        <v>547</v>
      </c>
      <c r="B549" s="27"/>
      <c r="C549" s="29"/>
      <c r="D549" s="30"/>
      <c r="E549" s="31"/>
      <c r="F549" s="31"/>
      <c r="G549" s="31">
        <f t="shared" si="24"/>
        <v>0</v>
      </c>
      <c r="H549" s="31" t="str">
        <f t="shared" si="22"/>
        <v>ครบ</v>
      </c>
      <c r="I549" s="31"/>
      <c r="J549" s="27" t="e">
        <f>VLOOKUP(I549,Sheet2!$B$1:$C$62,2,FALSE)</f>
        <v>#N/A</v>
      </c>
      <c r="K549" s="27" t="e">
        <f>VLOOKUP(J549,Sheet2!$C$1:$D$61,2,FALSE)</f>
        <v>#N/A</v>
      </c>
      <c r="L549" s="27"/>
      <c r="M549" s="27"/>
      <c r="N549" s="27"/>
      <c r="O549" s="27"/>
      <c r="P549" s="28"/>
      <c r="Q549" s="5" t="str">
        <f t="shared" si="23"/>
        <v>ทันกำหนด</v>
      </c>
      <c r="R549" s="6"/>
      <c r="S549" s="7"/>
    </row>
    <row r="550" spans="1:19" ht="27.75" customHeight="1">
      <c r="A550" s="3">
        <v>548</v>
      </c>
      <c r="B550" s="27"/>
      <c r="C550" s="29"/>
      <c r="D550" s="30"/>
      <c r="E550" s="31"/>
      <c r="F550" s="31"/>
      <c r="G550" s="31">
        <f t="shared" si="24"/>
        <v>0</v>
      </c>
      <c r="H550" s="31" t="str">
        <f t="shared" si="22"/>
        <v>ครบ</v>
      </c>
      <c r="I550" s="31"/>
      <c r="J550" s="27" t="e">
        <f>VLOOKUP(I550,Sheet2!$B$1:$C$62,2,FALSE)</f>
        <v>#N/A</v>
      </c>
      <c r="K550" s="27" t="e">
        <f>VLOOKUP(J550,Sheet2!$C$1:$D$61,2,FALSE)</f>
        <v>#N/A</v>
      </c>
      <c r="L550" s="27"/>
      <c r="M550" s="27"/>
      <c r="N550" s="27"/>
      <c r="O550" s="27"/>
      <c r="P550" s="28"/>
      <c r="Q550" s="5" t="str">
        <f t="shared" si="23"/>
        <v>ทันกำหนด</v>
      </c>
      <c r="R550" s="6"/>
      <c r="S550" s="7"/>
    </row>
    <row r="551" spans="1:19" ht="27.75" customHeight="1">
      <c r="A551" s="3">
        <v>549</v>
      </c>
      <c r="B551" s="27"/>
      <c r="C551" s="29"/>
      <c r="D551" s="30"/>
      <c r="E551" s="31"/>
      <c r="F551" s="31"/>
      <c r="G551" s="31">
        <f t="shared" si="24"/>
        <v>0</v>
      </c>
      <c r="H551" s="31" t="str">
        <f t="shared" si="22"/>
        <v>ครบ</v>
      </c>
      <c r="I551" s="31"/>
      <c r="J551" s="27" t="e">
        <f>VLOOKUP(I551,Sheet2!$B$1:$C$62,2,FALSE)</f>
        <v>#N/A</v>
      </c>
      <c r="K551" s="27" t="e">
        <f>VLOOKUP(J551,Sheet2!$C$1:$D$61,2,FALSE)</f>
        <v>#N/A</v>
      </c>
      <c r="L551" s="27"/>
      <c r="M551" s="27"/>
      <c r="N551" s="27"/>
      <c r="O551" s="27"/>
      <c r="P551" s="28"/>
      <c r="Q551" s="5" t="str">
        <f t="shared" si="23"/>
        <v>ทันกำหนด</v>
      </c>
      <c r="R551" s="6"/>
      <c r="S551" s="7"/>
    </row>
    <row r="552" spans="1:19" ht="27.75" customHeight="1">
      <c r="A552" s="3">
        <v>550</v>
      </c>
      <c r="B552" s="27"/>
      <c r="C552" s="29"/>
      <c r="D552" s="30"/>
      <c r="E552" s="31"/>
      <c r="F552" s="31"/>
      <c r="G552" s="31">
        <f t="shared" si="24"/>
        <v>0</v>
      </c>
      <c r="H552" s="31" t="str">
        <f t="shared" si="22"/>
        <v>ครบ</v>
      </c>
      <c r="I552" s="31"/>
      <c r="J552" s="27" t="e">
        <f>VLOOKUP(I552,Sheet2!$B$1:$C$62,2,FALSE)</f>
        <v>#N/A</v>
      </c>
      <c r="K552" s="27" t="e">
        <f>VLOOKUP(J552,Sheet2!$C$1:$D$61,2,FALSE)</f>
        <v>#N/A</v>
      </c>
      <c r="L552" s="27"/>
      <c r="M552" s="27"/>
      <c r="N552" s="27"/>
      <c r="O552" s="27"/>
      <c r="P552" s="28"/>
      <c r="Q552" s="5" t="str">
        <f t="shared" si="23"/>
        <v>ทันกำหนด</v>
      </c>
      <c r="R552" s="6"/>
      <c r="S552" s="7"/>
    </row>
    <row r="553" spans="1:19" ht="27.75" customHeight="1">
      <c r="A553" s="3">
        <v>551</v>
      </c>
      <c r="B553" s="27"/>
      <c r="C553" s="29"/>
      <c r="D553" s="30"/>
      <c r="E553" s="31"/>
      <c r="F553" s="31"/>
      <c r="G553" s="31">
        <f t="shared" si="24"/>
        <v>0</v>
      </c>
      <c r="H553" s="31" t="str">
        <f t="shared" si="22"/>
        <v>ครบ</v>
      </c>
      <c r="I553" s="31"/>
      <c r="J553" s="27" t="e">
        <f>VLOOKUP(I553,Sheet2!$B$1:$C$62,2,FALSE)</f>
        <v>#N/A</v>
      </c>
      <c r="K553" s="27" t="e">
        <f>VLOOKUP(J553,Sheet2!$C$1:$D$61,2,FALSE)</f>
        <v>#N/A</v>
      </c>
      <c r="L553" s="27"/>
      <c r="M553" s="27"/>
      <c r="N553" s="27"/>
      <c r="O553" s="27"/>
      <c r="P553" s="28"/>
      <c r="Q553" s="5" t="str">
        <f t="shared" si="23"/>
        <v>ทันกำหนด</v>
      </c>
      <c r="R553" s="6"/>
      <c r="S553" s="7"/>
    </row>
    <row r="554" spans="1:19" ht="27.75" customHeight="1">
      <c r="A554" s="3">
        <v>552</v>
      </c>
      <c r="B554" s="27"/>
      <c r="C554" s="29"/>
      <c r="D554" s="30"/>
      <c r="E554" s="31"/>
      <c r="F554" s="31"/>
      <c r="G554" s="31">
        <f t="shared" si="24"/>
        <v>0</v>
      </c>
      <c r="H554" s="31" t="str">
        <f t="shared" si="22"/>
        <v>ครบ</v>
      </c>
      <c r="I554" s="31"/>
      <c r="J554" s="27" t="e">
        <f>VLOOKUP(I554,Sheet2!$B$1:$C$62,2,FALSE)</f>
        <v>#N/A</v>
      </c>
      <c r="K554" s="27" t="e">
        <f>VLOOKUP(J554,Sheet2!$C$1:$D$61,2,FALSE)</f>
        <v>#N/A</v>
      </c>
      <c r="L554" s="27"/>
      <c r="M554" s="27"/>
      <c r="N554" s="27"/>
      <c r="O554" s="27"/>
      <c r="P554" s="28"/>
      <c r="Q554" s="5" t="str">
        <f t="shared" si="23"/>
        <v>ทันกำหนด</v>
      </c>
      <c r="R554" s="6"/>
      <c r="S554" s="7"/>
    </row>
    <row r="555" spans="1:19" ht="27.75" customHeight="1">
      <c r="A555" s="3">
        <v>553</v>
      </c>
      <c r="B555" s="27"/>
      <c r="C555" s="29"/>
      <c r="D555" s="30"/>
      <c r="E555" s="31"/>
      <c r="F555" s="31"/>
      <c r="G555" s="31">
        <f t="shared" si="24"/>
        <v>0</v>
      </c>
      <c r="H555" s="31" t="str">
        <f t="shared" si="22"/>
        <v>ครบ</v>
      </c>
      <c r="I555" s="31"/>
      <c r="J555" s="27" t="e">
        <f>VLOOKUP(I555,Sheet2!$B$1:$C$62,2,FALSE)</f>
        <v>#N/A</v>
      </c>
      <c r="K555" s="27" t="e">
        <f>VLOOKUP(J555,Sheet2!$C$1:$D$61,2,FALSE)</f>
        <v>#N/A</v>
      </c>
      <c r="L555" s="27"/>
      <c r="M555" s="27"/>
      <c r="N555" s="27"/>
      <c r="O555" s="27"/>
      <c r="P555" s="28"/>
      <c r="Q555" s="5" t="str">
        <f t="shared" si="23"/>
        <v>ทันกำหนด</v>
      </c>
      <c r="R555" s="6"/>
      <c r="S555" s="7"/>
    </row>
    <row r="556" spans="1:19" ht="27.75" customHeight="1">
      <c r="A556" s="3">
        <v>554</v>
      </c>
      <c r="B556" s="27"/>
      <c r="C556" s="29"/>
      <c r="D556" s="30"/>
      <c r="E556" s="31"/>
      <c r="F556" s="31"/>
      <c r="G556" s="31">
        <f t="shared" si="24"/>
        <v>0</v>
      </c>
      <c r="H556" s="31" t="str">
        <f t="shared" si="22"/>
        <v>ครบ</v>
      </c>
      <c r="I556" s="31"/>
      <c r="J556" s="27" t="e">
        <f>VLOOKUP(I556,Sheet2!$B$1:$C$62,2,FALSE)</f>
        <v>#N/A</v>
      </c>
      <c r="K556" s="27" t="e">
        <f>VLOOKUP(J556,Sheet2!$C$1:$D$61,2,FALSE)</f>
        <v>#N/A</v>
      </c>
      <c r="L556" s="27"/>
      <c r="M556" s="27"/>
      <c r="N556" s="27"/>
      <c r="O556" s="27"/>
      <c r="P556" s="28"/>
      <c r="Q556" s="5" t="str">
        <f t="shared" si="23"/>
        <v>ทันกำหนด</v>
      </c>
      <c r="R556" s="6"/>
      <c r="S556" s="7"/>
    </row>
    <row r="557" spans="1:19" ht="27.75" customHeight="1">
      <c r="A557" s="3">
        <v>555</v>
      </c>
      <c r="B557" s="4"/>
      <c r="C557" s="8"/>
      <c r="D557" s="30"/>
      <c r="E557" s="31"/>
      <c r="F557" s="31"/>
      <c r="G557" s="31">
        <f t="shared" si="24"/>
        <v>0</v>
      </c>
      <c r="H557" s="31" t="str">
        <f t="shared" si="22"/>
        <v>ครบ</v>
      </c>
      <c r="I557" s="31"/>
      <c r="J557" s="27" t="e">
        <f>VLOOKUP(I557,Sheet2!$B$1:$C$62,2,FALSE)</f>
        <v>#N/A</v>
      </c>
      <c r="K557" s="27" t="e">
        <f>VLOOKUP(J557,Sheet2!$C$1:$D$61,2,FALSE)</f>
        <v>#N/A</v>
      </c>
      <c r="L557" s="27"/>
      <c r="M557" s="27"/>
      <c r="N557" s="27"/>
      <c r="O557" s="27"/>
      <c r="P557" s="28"/>
      <c r="Q557" s="5" t="str">
        <f t="shared" si="23"/>
        <v>ทันกำหนด</v>
      </c>
      <c r="R557" s="6"/>
      <c r="S557" s="7"/>
    </row>
    <row r="558" spans="1:19" ht="27.75" customHeight="1">
      <c r="A558" s="3">
        <v>556</v>
      </c>
      <c r="B558" s="4"/>
      <c r="C558" s="8"/>
      <c r="D558" s="30"/>
      <c r="E558" s="31"/>
      <c r="F558" s="31"/>
      <c r="G558" s="31">
        <f t="shared" si="24"/>
        <v>0</v>
      </c>
      <c r="H558" s="31" t="str">
        <f t="shared" si="22"/>
        <v>ครบ</v>
      </c>
      <c r="I558" s="31"/>
      <c r="J558" s="27" t="e">
        <f>VLOOKUP(I558,Sheet2!$B$1:$C$62,2,FALSE)</f>
        <v>#N/A</v>
      </c>
      <c r="K558" s="27" t="e">
        <f>VLOOKUP(J558,Sheet2!$C$1:$D$61,2,FALSE)</f>
        <v>#N/A</v>
      </c>
      <c r="L558" s="27"/>
      <c r="M558" s="27"/>
      <c r="N558" s="27"/>
      <c r="O558" s="27"/>
      <c r="P558" s="28"/>
      <c r="Q558" s="5" t="str">
        <f t="shared" si="23"/>
        <v>ทันกำหนด</v>
      </c>
      <c r="R558" s="6"/>
      <c r="S558" s="7"/>
    </row>
    <row r="559" spans="1:19" ht="27.75" customHeight="1">
      <c r="A559" s="3">
        <v>557</v>
      </c>
      <c r="B559" s="4"/>
      <c r="C559" s="8"/>
      <c r="D559" s="30"/>
      <c r="E559" s="31"/>
      <c r="F559" s="31"/>
      <c r="G559" s="31">
        <f t="shared" si="24"/>
        <v>0</v>
      </c>
      <c r="H559" s="31" t="str">
        <f t="shared" si="22"/>
        <v>ครบ</v>
      </c>
      <c r="I559" s="31"/>
      <c r="J559" s="27" t="e">
        <f>VLOOKUP(I559,Sheet2!$B$1:$C$62,2,FALSE)</f>
        <v>#N/A</v>
      </c>
      <c r="K559" s="27" t="e">
        <f>VLOOKUP(J559,Sheet2!$C$1:$D$61,2,FALSE)</f>
        <v>#N/A</v>
      </c>
      <c r="L559" s="27"/>
      <c r="M559" s="27"/>
      <c r="N559" s="27"/>
      <c r="O559" s="27"/>
      <c r="P559" s="28"/>
      <c r="Q559" s="5" t="str">
        <f t="shared" si="23"/>
        <v>ทันกำหนด</v>
      </c>
      <c r="R559" s="6"/>
      <c r="S559" s="7"/>
    </row>
    <row r="560" spans="1:19" ht="27.75" customHeight="1">
      <c r="A560" s="3">
        <v>558</v>
      </c>
      <c r="B560" s="27"/>
      <c r="C560" s="29"/>
      <c r="D560" s="30"/>
      <c r="E560" s="31"/>
      <c r="F560" s="31"/>
      <c r="G560" s="31">
        <f t="shared" si="24"/>
        <v>0</v>
      </c>
      <c r="H560" s="31" t="str">
        <f t="shared" si="22"/>
        <v>ครบ</v>
      </c>
      <c r="I560" s="31"/>
      <c r="J560" s="27" t="e">
        <f>VLOOKUP(I560,Sheet2!$B$1:$C$62,2,FALSE)</f>
        <v>#N/A</v>
      </c>
      <c r="K560" s="27" t="e">
        <f>VLOOKUP(J560,Sheet2!$C$1:$D$61,2,FALSE)</f>
        <v>#N/A</v>
      </c>
      <c r="L560" s="27"/>
      <c r="M560" s="27"/>
      <c r="N560" s="27"/>
      <c r="O560" s="27"/>
      <c r="P560" s="28"/>
      <c r="Q560" s="5" t="str">
        <f t="shared" si="23"/>
        <v>ทันกำหนด</v>
      </c>
      <c r="R560" s="6"/>
      <c r="S560" s="7"/>
    </row>
    <row r="561" spans="1:19" ht="27.75" customHeight="1">
      <c r="A561" s="3">
        <v>559</v>
      </c>
      <c r="B561" s="27"/>
      <c r="C561" s="29"/>
      <c r="D561" s="30"/>
      <c r="E561" s="31"/>
      <c r="F561" s="31"/>
      <c r="G561" s="31">
        <f t="shared" si="24"/>
        <v>0</v>
      </c>
      <c r="H561" s="31" t="str">
        <f t="shared" si="22"/>
        <v>ครบ</v>
      </c>
      <c r="I561" s="31"/>
      <c r="J561" s="27" t="e">
        <f>VLOOKUP(I561,Sheet2!$B$1:$C$62,2,FALSE)</f>
        <v>#N/A</v>
      </c>
      <c r="K561" s="27" t="e">
        <f>VLOOKUP(J561,Sheet2!$C$1:$D$61,2,FALSE)</f>
        <v>#N/A</v>
      </c>
      <c r="L561" s="27"/>
      <c r="M561" s="27"/>
      <c r="N561" s="27"/>
      <c r="O561" s="27"/>
      <c r="P561" s="28"/>
      <c r="Q561" s="5" t="str">
        <f t="shared" si="23"/>
        <v>ทันกำหนด</v>
      </c>
      <c r="R561" s="6"/>
      <c r="S561" s="7"/>
    </row>
    <row r="562" spans="1:19" ht="27.75" customHeight="1">
      <c r="A562" s="3">
        <v>560</v>
      </c>
      <c r="B562" s="27"/>
      <c r="C562" s="29"/>
      <c r="D562" s="30"/>
      <c r="E562" s="31"/>
      <c r="F562" s="31"/>
      <c r="G562" s="31">
        <f t="shared" si="24"/>
        <v>0</v>
      </c>
      <c r="H562" s="31" t="str">
        <f t="shared" si="22"/>
        <v>ครบ</v>
      </c>
      <c r="I562" s="31"/>
      <c r="J562" s="27" t="e">
        <f>VLOOKUP(I562,Sheet2!$B$1:$C$62,2,FALSE)</f>
        <v>#N/A</v>
      </c>
      <c r="K562" s="27" t="e">
        <f>VLOOKUP(J562,Sheet2!$C$1:$D$61,2,FALSE)</f>
        <v>#N/A</v>
      </c>
      <c r="L562" s="27"/>
      <c r="M562" s="27"/>
      <c r="N562" s="27"/>
      <c r="O562" s="27"/>
      <c r="P562" s="28"/>
      <c r="Q562" s="5" t="str">
        <f t="shared" si="23"/>
        <v>ทันกำหนด</v>
      </c>
      <c r="R562" s="6"/>
      <c r="S562" s="7"/>
    </row>
    <row r="563" spans="1:19" ht="27.75" customHeight="1">
      <c r="A563" s="3">
        <v>561</v>
      </c>
      <c r="B563" s="27"/>
      <c r="C563" s="29"/>
      <c r="D563" s="30"/>
      <c r="E563" s="31"/>
      <c r="F563" s="31"/>
      <c r="G563" s="31">
        <f t="shared" si="24"/>
        <v>0</v>
      </c>
      <c r="H563" s="31" t="str">
        <f t="shared" si="22"/>
        <v>ครบ</v>
      </c>
      <c r="I563" s="31"/>
      <c r="J563" s="27" t="e">
        <f>VLOOKUP(I563,Sheet2!$B$1:$C$62,2,FALSE)</f>
        <v>#N/A</v>
      </c>
      <c r="K563" s="27" t="e">
        <f>VLOOKUP(J563,Sheet2!$C$1:$D$61,2,FALSE)</f>
        <v>#N/A</v>
      </c>
      <c r="L563" s="27"/>
      <c r="M563" s="27"/>
      <c r="N563" s="27"/>
      <c r="O563" s="27"/>
      <c r="P563" s="28"/>
      <c r="Q563" s="5" t="str">
        <f t="shared" si="23"/>
        <v>ทันกำหนด</v>
      </c>
      <c r="R563" s="6"/>
      <c r="S563" s="7"/>
    </row>
    <row r="564" spans="1:19" ht="27.75" customHeight="1">
      <c r="A564" s="3">
        <v>562</v>
      </c>
      <c r="B564" s="27"/>
      <c r="C564" s="29"/>
      <c r="D564" s="30"/>
      <c r="E564" s="31"/>
      <c r="F564" s="31"/>
      <c r="G564" s="31">
        <f t="shared" si="24"/>
        <v>0</v>
      </c>
      <c r="H564" s="31" t="str">
        <f t="shared" si="22"/>
        <v>ครบ</v>
      </c>
      <c r="I564" s="31"/>
      <c r="J564" s="27" t="e">
        <f>VLOOKUP(I564,Sheet2!$B$1:$C$62,2,FALSE)</f>
        <v>#N/A</v>
      </c>
      <c r="K564" s="27" t="e">
        <f>VLOOKUP(J564,Sheet2!$C$1:$D$61,2,FALSE)</f>
        <v>#N/A</v>
      </c>
      <c r="L564" s="27"/>
      <c r="M564" s="27"/>
      <c r="N564" s="27"/>
      <c r="O564" s="27"/>
      <c r="P564" s="28"/>
      <c r="Q564" s="5" t="str">
        <f t="shared" si="23"/>
        <v>ทันกำหนด</v>
      </c>
      <c r="R564" s="6"/>
      <c r="S564" s="7"/>
    </row>
    <row r="565" spans="1:19" ht="27.75" customHeight="1">
      <c r="A565" s="3">
        <v>563</v>
      </c>
      <c r="B565" s="27"/>
      <c r="C565" s="29"/>
      <c r="D565" s="30"/>
      <c r="E565" s="31"/>
      <c r="F565" s="31"/>
      <c r="G565" s="31">
        <f t="shared" si="24"/>
        <v>0</v>
      </c>
      <c r="H565" s="31" t="str">
        <f t="shared" si="22"/>
        <v>ครบ</v>
      </c>
      <c r="I565" s="31"/>
      <c r="J565" s="27" t="e">
        <f>VLOOKUP(I565,Sheet2!$B$1:$C$62,2,FALSE)</f>
        <v>#N/A</v>
      </c>
      <c r="K565" s="27" t="e">
        <f>VLOOKUP(J565,Sheet2!$C$1:$D$61,2,FALSE)</f>
        <v>#N/A</v>
      </c>
      <c r="L565" s="27"/>
      <c r="M565" s="27"/>
      <c r="N565" s="27"/>
      <c r="O565" s="27"/>
      <c r="P565" s="28"/>
      <c r="Q565" s="5" t="str">
        <f t="shared" si="23"/>
        <v>ทันกำหนด</v>
      </c>
      <c r="R565" s="6"/>
      <c r="S565" s="7"/>
    </row>
    <row r="566" spans="1:19" ht="27.75" customHeight="1">
      <c r="A566" s="3">
        <v>564</v>
      </c>
      <c r="B566" s="27"/>
      <c r="C566" s="29"/>
      <c r="D566" s="30"/>
      <c r="E566" s="31"/>
      <c r="F566" s="31"/>
      <c r="G566" s="31">
        <f t="shared" si="24"/>
        <v>0</v>
      </c>
      <c r="H566" s="31" t="str">
        <f t="shared" si="22"/>
        <v>ครบ</v>
      </c>
      <c r="I566" s="31"/>
      <c r="J566" s="27" t="e">
        <f>VLOOKUP(I566,Sheet2!$B$1:$C$62,2,FALSE)</f>
        <v>#N/A</v>
      </c>
      <c r="K566" s="27" t="e">
        <f>VLOOKUP(J566,Sheet2!$C$1:$D$61,2,FALSE)</f>
        <v>#N/A</v>
      </c>
      <c r="L566" s="27"/>
      <c r="M566" s="27"/>
      <c r="N566" s="27"/>
      <c r="O566" s="27"/>
      <c r="P566" s="28"/>
      <c r="Q566" s="5" t="str">
        <f t="shared" si="23"/>
        <v>ทันกำหนด</v>
      </c>
      <c r="R566" s="6"/>
      <c r="S566" s="7"/>
    </row>
    <row r="567" spans="1:19" ht="27.75" customHeight="1">
      <c r="A567" s="3">
        <v>565</v>
      </c>
      <c r="B567" s="27"/>
      <c r="C567" s="29"/>
      <c r="D567" s="30"/>
      <c r="E567" s="31"/>
      <c r="F567" s="31"/>
      <c r="G567" s="31">
        <f t="shared" si="24"/>
        <v>0</v>
      </c>
      <c r="H567" s="31" t="str">
        <f t="shared" si="22"/>
        <v>ครบ</v>
      </c>
      <c r="I567" s="31"/>
      <c r="J567" s="27" t="e">
        <f>VLOOKUP(I567,Sheet2!$B$1:$C$62,2,FALSE)</f>
        <v>#N/A</v>
      </c>
      <c r="K567" s="27" t="e">
        <f>VLOOKUP(J567,Sheet2!$C$1:$D$61,2,FALSE)</f>
        <v>#N/A</v>
      </c>
      <c r="L567" s="27"/>
      <c r="M567" s="27"/>
      <c r="N567" s="27"/>
      <c r="O567" s="27"/>
      <c r="P567" s="28"/>
      <c r="Q567" s="5" t="str">
        <f t="shared" si="23"/>
        <v>ทันกำหนด</v>
      </c>
      <c r="R567" s="6"/>
      <c r="S567" s="7"/>
    </row>
    <row r="568" spans="1:19" ht="27.75" customHeight="1">
      <c r="A568" s="3">
        <v>566</v>
      </c>
      <c r="B568" s="27"/>
      <c r="C568" s="8"/>
      <c r="D568" s="30"/>
      <c r="E568" s="31"/>
      <c r="F568" s="31"/>
      <c r="G568" s="31">
        <f t="shared" si="24"/>
        <v>0</v>
      </c>
      <c r="H568" s="31" t="str">
        <f t="shared" si="22"/>
        <v>ครบ</v>
      </c>
      <c r="I568" s="31"/>
      <c r="J568" s="27" t="e">
        <f>VLOOKUP(I568,Sheet2!$B$1:$C$62,2,FALSE)</f>
        <v>#N/A</v>
      </c>
      <c r="K568" s="27" t="e">
        <f>VLOOKUP(J568,Sheet2!$C$1:$D$61,2,FALSE)</f>
        <v>#N/A</v>
      </c>
      <c r="L568" s="27"/>
      <c r="M568" s="27"/>
      <c r="N568" s="27"/>
      <c r="O568" s="27"/>
      <c r="P568" s="28"/>
      <c r="Q568" s="5" t="str">
        <f t="shared" si="23"/>
        <v>ทันกำหนด</v>
      </c>
      <c r="R568" s="6"/>
      <c r="S568" s="7"/>
    </row>
    <row r="569" spans="1:19" ht="27.75" customHeight="1">
      <c r="A569" s="3">
        <v>567</v>
      </c>
      <c r="B569" s="27"/>
      <c r="C569" s="8"/>
      <c r="D569" s="30"/>
      <c r="E569" s="31"/>
      <c r="F569" s="31"/>
      <c r="G569" s="31">
        <f t="shared" si="24"/>
        <v>0</v>
      </c>
      <c r="H569" s="31" t="str">
        <f t="shared" si="22"/>
        <v>ครบ</v>
      </c>
      <c r="I569" s="31"/>
      <c r="J569" s="27" t="e">
        <f>VLOOKUP(I569,Sheet2!$B$1:$C$62,2,FALSE)</f>
        <v>#N/A</v>
      </c>
      <c r="K569" s="27" t="e">
        <f>VLOOKUP(J569,Sheet2!$C$1:$D$61,2,FALSE)</f>
        <v>#N/A</v>
      </c>
      <c r="L569" s="27"/>
      <c r="M569" s="27"/>
      <c r="N569" s="27"/>
      <c r="O569" s="27"/>
      <c r="P569" s="28"/>
      <c r="Q569" s="5" t="str">
        <f t="shared" si="23"/>
        <v>ทันกำหนด</v>
      </c>
      <c r="R569" s="6"/>
      <c r="S569" s="7"/>
    </row>
    <row r="570" spans="1:19" ht="27.75" customHeight="1">
      <c r="A570" s="3">
        <v>568</v>
      </c>
      <c r="B570" s="27"/>
      <c r="C570" s="8"/>
      <c r="D570" s="30"/>
      <c r="E570" s="31"/>
      <c r="F570" s="31"/>
      <c r="G570" s="31">
        <f t="shared" si="24"/>
        <v>0</v>
      </c>
      <c r="H570" s="31" t="str">
        <f t="shared" si="22"/>
        <v>ครบ</v>
      </c>
      <c r="I570" s="31"/>
      <c r="J570" s="27" t="e">
        <f>VLOOKUP(I570,Sheet2!$B$1:$C$62,2,FALSE)</f>
        <v>#N/A</v>
      </c>
      <c r="K570" s="27" t="e">
        <f>VLOOKUP(J570,Sheet2!$C$1:$D$61,2,FALSE)</f>
        <v>#N/A</v>
      </c>
      <c r="L570" s="27"/>
      <c r="M570" s="27"/>
      <c r="N570" s="27"/>
      <c r="O570" s="27"/>
      <c r="P570" s="28"/>
      <c r="Q570" s="5" t="str">
        <f t="shared" si="23"/>
        <v>ทันกำหนด</v>
      </c>
      <c r="R570" s="6"/>
      <c r="S570" s="7"/>
    </row>
    <row r="571" spans="1:19" ht="27.75" customHeight="1">
      <c r="A571" s="3">
        <v>569</v>
      </c>
      <c r="B571" s="27"/>
      <c r="C571" s="8"/>
      <c r="D571" s="30"/>
      <c r="E571" s="31"/>
      <c r="F571" s="31"/>
      <c r="G571" s="31">
        <f t="shared" si="24"/>
        <v>0</v>
      </c>
      <c r="H571" s="31" t="str">
        <f t="shared" si="22"/>
        <v>ครบ</v>
      </c>
      <c r="I571" s="31"/>
      <c r="J571" s="27" t="e">
        <f>VLOOKUP(I571,Sheet2!$B$1:$C$62,2,FALSE)</f>
        <v>#N/A</v>
      </c>
      <c r="K571" s="27" t="e">
        <f>VLOOKUP(J571,Sheet2!$C$1:$D$61,2,FALSE)</f>
        <v>#N/A</v>
      </c>
      <c r="L571" s="27"/>
      <c r="M571" s="27"/>
      <c r="N571" s="27"/>
      <c r="O571" s="27"/>
      <c r="P571" s="28"/>
      <c r="Q571" s="5" t="str">
        <f t="shared" si="23"/>
        <v>ทันกำหนด</v>
      </c>
      <c r="R571" s="6"/>
      <c r="S571" s="7"/>
    </row>
    <row r="572" spans="1:19" ht="27.75" customHeight="1">
      <c r="A572" s="3">
        <v>570</v>
      </c>
      <c r="B572" s="27"/>
      <c r="C572" s="8"/>
      <c r="D572" s="30"/>
      <c r="E572" s="31"/>
      <c r="F572" s="31"/>
      <c r="G572" s="31">
        <f t="shared" si="24"/>
        <v>0</v>
      </c>
      <c r="H572" s="31" t="str">
        <f t="shared" si="22"/>
        <v>ครบ</v>
      </c>
      <c r="I572" s="31"/>
      <c r="J572" s="27" t="e">
        <f>VLOOKUP(I572,Sheet2!$B$1:$C$62,2,FALSE)</f>
        <v>#N/A</v>
      </c>
      <c r="K572" s="27" t="e">
        <f>VLOOKUP(J572,Sheet2!$C$1:$D$61,2,FALSE)</f>
        <v>#N/A</v>
      </c>
      <c r="L572" s="27"/>
      <c r="M572" s="27"/>
      <c r="N572" s="27"/>
      <c r="O572" s="27"/>
      <c r="P572" s="28"/>
      <c r="Q572" s="5" t="str">
        <f t="shared" si="23"/>
        <v>ทันกำหนด</v>
      </c>
      <c r="R572" s="6"/>
      <c r="S572" s="7"/>
    </row>
    <row r="573" spans="1:19" ht="27.75" customHeight="1">
      <c r="A573" s="3">
        <v>571</v>
      </c>
      <c r="B573" s="27"/>
      <c r="C573" s="8"/>
      <c r="D573" s="30"/>
      <c r="E573" s="31"/>
      <c r="F573" s="31"/>
      <c r="G573" s="31">
        <f t="shared" si="24"/>
        <v>0</v>
      </c>
      <c r="H573" s="31" t="str">
        <f t="shared" si="22"/>
        <v>ครบ</v>
      </c>
      <c r="I573" s="31"/>
      <c r="J573" s="27" t="e">
        <f>VLOOKUP(I573,Sheet2!$B$1:$C$62,2,FALSE)</f>
        <v>#N/A</v>
      </c>
      <c r="K573" s="27" t="e">
        <f>VLOOKUP(J573,Sheet2!$C$1:$D$61,2,FALSE)</f>
        <v>#N/A</v>
      </c>
      <c r="L573" s="27"/>
      <c r="M573" s="27"/>
      <c r="N573" s="27"/>
      <c r="O573" s="27"/>
      <c r="P573" s="28"/>
      <c r="Q573" s="5" t="str">
        <f t="shared" si="23"/>
        <v>ทันกำหนด</v>
      </c>
      <c r="R573" s="6"/>
      <c r="S573" s="7"/>
    </row>
    <row r="574" spans="1:19" ht="27.75" customHeight="1">
      <c r="A574" s="3">
        <v>572</v>
      </c>
      <c r="B574" s="27"/>
      <c r="C574" s="8"/>
      <c r="D574" s="30"/>
      <c r="E574" s="31"/>
      <c r="F574" s="31"/>
      <c r="G574" s="31">
        <f t="shared" si="24"/>
        <v>0</v>
      </c>
      <c r="H574" s="31" t="str">
        <f t="shared" si="22"/>
        <v>ครบ</v>
      </c>
      <c r="I574" s="31"/>
      <c r="J574" s="27" t="e">
        <f>VLOOKUP(I574,Sheet2!$B$1:$C$62,2,FALSE)</f>
        <v>#N/A</v>
      </c>
      <c r="K574" s="27" t="e">
        <f>VLOOKUP(J574,Sheet2!$C$1:$D$61,2,FALSE)</f>
        <v>#N/A</v>
      </c>
      <c r="L574" s="27"/>
      <c r="M574" s="27"/>
      <c r="N574" s="27"/>
      <c r="O574" s="27"/>
      <c r="P574" s="28"/>
      <c r="Q574" s="5" t="str">
        <f t="shared" si="23"/>
        <v>ทันกำหนด</v>
      </c>
      <c r="R574" s="6"/>
      <c r="S574" s="7"/>
    </row>
    <row r="575" spans="1:19" ht="27.75" customHeight="1">
      <c r="A575" s="3">
        <v>573</v>
      </c>
      <c r="B575" s="27"/>
      <c r="C575" s="8"/>
      <c r="D575" s="30"/>
      <c r="E575" s="31"/>
      <c r="F575" s="31"/>
      <c r="G575" s="31">
        <f t="shared" si="24"/>
        <v>0</v>
      </c>
      <c r="H575" s="31" t="str">
        <f t="shared" si="22"/>
        <v>ครบ</v>
      </c>
      <c r="I575" s="31"/>
      <c r="J575" s="27" t="e">
        <f>VLOOKUP(I575,Sheet2!$B$1:$C$62,2,FALSE)</f>
        <v>#N/A</v>
      </c>
      <c r="K575" s="27" t="e">
        <f>VLOOKUP(J575,Sheet2!$C$1:$D$61,2,FALSE)</f>
        <v>#N/A</v>
      </c>
      <c r="L575" s="27"/>
      <c r="M575" s="27"/>
      <c r="N575" s="27"/>
      <c r="O575" s="27"/>
      <c r="P575" s="28"/>
      <c r="Q575" s="5" t="str">
        <f t="shared" si="23"/>
        <v>ทันกำหนด</v>
      </c>
      <c r="R575" s="6"/>
      <c r="S575" s="7"/>
    </row>
    <row r="576" spans="1:19" ht="27.75" customHeight="1">
      <c r="A576" s="3">
        <v>574</v>
      </c>
      <c r="B576" s="27"/>
      <c r="C576" s="8"/>
      <c r="D576" s="30"/>
      <c r="E576" s="31"/>
      <c r="F576" s="31"/>
      <c r="G576" s="31">
        <f t="shared" si="24"/>
        <v>0</v>
      </c>
      <c r="H576" s="31" t="str">
        <f t="shared" si="22"/>
        <v>ครบ</v>
      </c>
      <c r="I576" s="31"/>
      <c r="J576" s="27" t="e">
        <f>VLOOKUP(I576,Sheet2!$B$1:$C$62,2,FALSE)</f>
        <v>#N/A</v>
      </c>
      <c r="K576" s="27" t="e">
        <f>VLOOKUP(J576,Sheet2!$C$1:$D$61,2,FALSE)</f>
        <v>#N/A</v>
      </c>
      <c r="L576" s="27"/>
      <c r="M576" s="27"/>
      <c r="N576" s="27"/>
      <c r="O576" s="27"/>
      <c r="P576" s="28"/>
      <c r="Q576" s="5" t="str">
        <f t="shared" si="23"/>
        <v>ทันกำหนด</v>
      </c>
      <c r="R576" s="6"/>
      <c r="S576" s="7"/>
    </row>
    <row r="577" spans="1:19" ht="27.75" customHeight="1">
      <c r="A577" s="3">
        <v>575</v>
      </c>
      <c r="B577" s="27"/>
      <c r="C577" s="8"/>
      <c r="D577" s="30"/>
      <c r="E577" s="31"/>
      <c r="F577" s="31"/>
      <c r="G577" s="31">
        <f t="shared" si="24"/>
        <v>0</v>
      </c>
      <c r="H577" s="31" t="str">
        <f t="shared" si="22"/>
        <v>ครบ</v>
      </c>
      <c r="I577" s="31"/>
      <c r="J577" s="27" t="e">
        <f>VLOOKUP(I577,Sheet2!$B$1:$C$62,2,FALSE)</f>
        <v>#N/A</v>
      </c>
      <c r="K577" s="27" t="e">
        <f>VLOOKUP(J577,Sheet2!$C$1:$D$61,2,FALSE)</f>
        <v>#N/A</v>
      </c>
      <c r="L577" s="27"/>
      <c r="M577" s="27"/>
      <c r="N577" s="27"/>
      <c r="O577" s="27"/>
      <c r="P577" s="28"/>
      <c r="Q577" s="5" t="str">
        <f t="shared" si="23"/>
        <v>ทันกำหนด</v>
      </c>
      <c r="R577" s="6"/>
      <c r="S577" s="7"/>
    </row>
    <row r="578" spans="1:19" ht="27.75" customHeight="1">
      <c r="A578" s="3">
        <v>576</v>
      </c>
      <c r="B578" s="27"/>
      <c r="C578" s="8"/>
      <c r="D578" s="30"/>
      <c r="E578" s="31"/>
      <c r="F578" s="31"/>
      <c r="G578" s="31">
        <f t="shared" si="24"/>
        <v>0</v>
      </c>
      <c r="H578" s="31" t="str">
        <f t="shared" si="22"/>
        <v>ครบ</v>
      </c>
      <c r="I578" s="31"/>
      <c r="J578" s="27" t="e">
        <f>VLOOKUP(I578,Sheet2!$B$1:$C$62,2,FALSE)</f>
        <v>#N/A</v>
      </c>
      <c r="K578" s="27" t="e">
        <f>VLOOKUP(J578,Sheet2!$C$1:$D$61,2,FALSE)</f>
        <v>#N/A</v>
      </c>
      <c r="L578" s="27"/>
      <c r="M578" s="27"/>
      <c r="N578" s="27"/>
      <c r="O578" s="27"/>
      <c r="P578" s="28"/>
      <c r="Q578" s="5" t="str">
        <f t="shared" si="23"/>
        <v>ทันกำหนด</v>
      </c>
      <c r="R578" s="6"/>
      <c r="S578" s="7"/>
    </row>
    <row r="579" spans="1:19" ht="27.75" customHeight="1">
      <c r="A579" s="3">
        <v>577</v>
      </c>
      <c r="B579" s="27"/>
      <c r="C579" s="8"/>
      <c r="D579" s="30"/>
      <c r="E579" s="31"/>
      <c r="F579" s="31"/>
      <c r="G579" s="31">
        <f t="shared" si="24"/>
        <v>0</v>
      </c>
      <c r="H579" s="31" t="str">
        <f t="shared" si="22"/>
        <v>ครบ</v>
      </c>
      <c r="I579" s="31"/>
      <c r="J579" s="27" t="e">
        <f>VLOOKUP(I579,Sheet2!$B$1:$C$62,2,FALSE)</f>
        <v>#N/A</v>
      </c>
      <c r="K579" s="27" t="e">
        <f>VLOOKUP(J579,Sheet2!$C$1:$D$61,2,FALSE)</f>
        <v>#N/A</v>
      </c>
      <c r="L579" s="27"/>
      <c r="M579" s="27"/>
      <c r="N579" s="27"/>
      <c r="O579" s="27"/>
      <c r="P579" s="28"/>
      <c r="Q579" s="5" t="str">
        <f t="shared" si="23"/>
        <v>ทันกำหนด</v>
      </c>
      <c r="R579" s="6"/>
      <c r="S579" s="7"/>
    </row>
    <row r="580" spans="1:19" ht="27.75" customHeight="1">
      <c r="A580" s="3">
        <v>578</v>
      </c>
      <c r="B580" s="27"/>
      <c r="C580" s="8"/>
      <c r="D580" s="30"/>
      <c r="E580" s="31"/>
      <c r="F580" s="31"/>
      <c r="G580" s="31">
        <f t="shared" si="24"/>
        <v>0</v>
      </c>
      <c r="H580" s="31" t="str">
        <f t="shared" si="22"/>
        <v>ครบ</v>
      </c>
      <c r="I580" s="31"/>
      <c r="J580" s="27" t="e">
        <f>VLOOKUP(I580,Sheet2!$B$1:$C$62,2,FALSE)</f>
        <v>#N/A</v>
      </c>
      <c r="K580" s="27" t="e">
        <f>VLOOKUP(J580,Sheet2!$C$1:$D$61,2,FALSE)</f>
        <v>#N/A</v>
      </c>
      <c r="L580" s="27"/>
      <c r="M580" s="27"/>
      <c r="N580" s="27"/>
      <c r="O580" s="27"/>
      <c r="P580" s="28"/>
      <c r="Q580" s="5" t="str">
        <f t="shared" si="23"/>
        <v>ทันกำหนด</v>
      </c>
      <c r="R580" s="6"/>
      <c r="S580" s="7"/>
    </row>
    <row r="581" spans="1:19" ht="27.75" customHeight="1">
      <c r="A581" s="3">
        <v>579</v>
      </c>
      <c r="B581" s="27"/>
      <c r="C581" s="8"/>
      <c r="D581" s="30"/>
      <c r="E581" s="31"/>
      <c r="F581" s="31"/>
      <c r="G581" s="31">
        <f t="shared" si="24"/>
        <v>0</v>
      </c>
      <c r="H581" s="31" t="str">
        <f t="shared" si="22"/>
        <v>ครบ</v>
      </c>
      <c r="I581" s="31"/>
      <c r="J581" s="27" t="e">
        <f>VLOOKUP(I581,Sheet2!$B$1:$C$62,2,FALSE)</f>
        <v>#N/A</v>
      </c>
      <c r="K581" s="27" t="e">
        <f>VLOOKUP(J581,Sheet2!$C$1:$D$61,2,FALSE)</f>
        <v>#N/A</v>
      </c>
      <c r="L581" s="27"/>
      <c r="M581" s="27"/>
      <c r="N581" s="27"/>
      <c r="O581" s="27"/>
      <c r="P581" s="28"/>
      <c r="Q581" s="5" t="str">
        <f t="shared" si="23"/>
        <v>ทันกำหนด</v>
      </c>
      <c r="R581" s="6"/>
      <c r="S581" s="7"/>
    </row>
    <row r="582" spans="1:19" ht="27.75" customHeight="1">
      <c r="A582" s="3">
        <v>580</v>
      </c>
      <c r="B582" s="27"/>
      <c r="C582" s="8"/>
      <c r="D582" s="30"/>
      <c r="E582" s="31"/>
      <c r="F582" s="31"/>
      <c r="G582" s="31">
        <f t="shared" ref="G582:G632" si="25">$E582-$F582</f>
        <v>0</v>
      </c>
      <c r="H582" s="31" t="str">
        <f t="shared" ref="H582:H632" si="26">IF($G582=0,"ครบ","ไม่ครบ")</f>
        <v>ครบ</v>
      </c>
      <c r="I582" s="31"/>
      <c r="J582" s="27" t="e">
        <f>VLOOKUP(I582,Sheet2!$B$1:$C$62,2,FALSE)</f>
        <v>#N/A</v>
      </c>
      <c r="K582" s="27" t="e">
        <f>VLOOKUP(J582,Sheet2!$C$1:$D$61,2,FALSE)</f>
        <v>#N/A</v>
      </c>
      <c r="L582" s="27"/>
      <c r="M582" s="27"/>
      <c r="N582" s="27"/>
      <c r="O582" s="27"/>
      <c r="P582" s="28"/>
      <c r="Q582" s="5" t="str">
        <f t="shared" ref="Q582:Q632" si="27">IF($N582&gt;$M582,"เกินกำหนด","ทันกำหนด")</f>
        <v>ทันกำหนด</v>
      </c>
      <c r="R582" s="6"/>
      <c r="S582" s="7"/>
    </row>
    <row r="583" spans="1:19" ht="27.75" customHeight="1">
      <c r="A583" s="3">
        <v>581</v>
      </c>
      <c r="B583" s="27"/>
      <c r="C583" s="8"/>
      <c r="D583" s="30"/>
      <c r="E583" s="31"/>
      <c r="F583" s="31"/>
      <c r="G583" s="31">
        <f t="shared" si="25"/>
        <v>0</v>
      </c>
      <c r="H583" s="31" t="str">
        <f t="shared" si="26"/>
        <v>ครบ</v>
      </c>
      <c r="I583" s="31"/>
      <c r="J583" s="27" t="e">
        <f>VLOOKUP(I583,Sheet2!$B$1:$C$62,2,FALSE)</f>
        <v>#N/A</v>
      </c>
      <c r="K583" s="27" t="e">
        <f>VLOOKUP(J583,Sheet2!$C$1:$D$61,2,FALSE)</f>
        <v>#N/A</v>
      </c>
      <c r="L583" s="27"/>
      <c r="M583" s="27"/>
      <c r="N583" s="27"/>
      <c r="O583" s="27"/>
      <c r="P583" s="28"/>
      <c r="Q583" s="5" t="str">
        <f t="shared" si="27"/>
        <v>ทันกำหนด</v>
      </c>
      <c r="R583" s="6"/>
      <c r="S583" s="7"/>
    </row>
    <row r="584" spans="1:19" ht="27.75" customHeight="1">
      <c r="A584" s="3">
        <v>582</v>
      </c>
      <c r="B584" s="27"/>
      <c r="C584" s="8"/>
      <c r="D584" s="30"/>
      <c r="E584" s="31"/>
      <c r="F584" s="31"/>
      <c r="G584" s="31">
        <f t="shared" si="25"/>
        <v>0</v>
      </c>
      <c r="H584" s="31" t="str">
        <f t="shared" si="26"/>
        <v>ครบ</v>
      </c>
      <c r="I584" s="31"/>
      <c r="J584" s="27" t="e">
        <f>VLOOKUP(I584,Sheet2!$B$1:$C$62,2,FALSE)</f>
        <v>#N/A</v>
      </c>
      <c r="K584" s="27" t="e">
        <f>VLOOKUP(J584,Sheet2!$C$1:$D$61,2,FALSE)</f>
        <v>#N/A</v>
      </c>
      <c r="L584" s="27"/>
      <c r="M584" s="27"/>
      <c r="N584" s="27"/>
      <c r="O584" s="27"/>
      <c r="P584" s="28"/>
      <c r="Q584" s="5" t="str">
        <f t="shared" si="27"/>
        <v>ทันกำหนด</v>
      </c>
      <c r="R584" s="6"/>
      <c r="S584" s="7"/>
    </row>
    <row r="585" spans="1:19" ht="27.75" customHeight="1">
      <c r="A585" s="3">
        <v>583</v>
      </c>
      <c r="B585" s="27"/>
      <c r="C585" s="8"/>
      <c r="D585" s="30"/>
      <c r="E585" s="31"/>
      <c r="F585" s="31"/>
      <c r="G585" s="31">
        <f t="shared" si="25"/>
        <v>0</v>
      </c>
      <c r="H585" s="31" t="str">
        <f t="shared" si="26"/>
        <v>ครบ</v>
      </c>
      <c r="I585" s="31"/>
      <c r="J585" s="27" t="e">
        <f>VLOOKUP(I585,Sheet2!$B$1:$C$62,2,FALSE)</f>
        <v>#N/A</v>
      </c>
      <c r="K585" s="27" t="e">
        <f>VLOOKUP(J585,Sheet2!$C$1:$D$61,2,FALSE)</f>
        <v>#N/A</v>
      </c>
      <c r="L585" s="27"/>
      <c r="M585" s="27"/>
      <c r="N585" s="27"/>
      <c r="O585" s="27"/>
      <c r="P585" s="28"/>
      <c r="Q585" s="5" t="str">
        <f t="shared" si="27"/>
        <v>ทันกำหนด</v>
      </c>
      <c r="R585" s="6"/>
      <c r="S585" s="7"/>
    </row>
    <row r="586" spans="1:19" ht="27.75" customHeight="1">
      <c r="A586" s="3">
        <v>584</v>
      </c>
      <c r="B586" s="27"/>
      <c r="C586" s="8"/>
      <c r="D586" s="30"/>
      <c r="E586" s="31"/>
      <c r="F586" s="31"/>
      <c r="G586" s="31">
        <f t="shared" si="25"/>
        <v>0</v>
      </c>
      <c r="H586" s="31" t="str">
        <f t="shared" si="26"/>
        <v>ครบ</v>
      </c>
      <c r="I586" s="31"/>
      <c r="J586" s="27" t="e">
        <f>VLOOKUP(I586,Sheet2!$B$1:$C$62,2,FALSE)</f>
        <v>#N/A</v>
      </c>
      <c r="K586" s="27" t="e">
        <f>VLOOKUP(J586,Sheet2!$C$1:$D$61,2,FALSE)</f>
        <v>#N/A</v>
      </c>
      <c r="L586" s="27"/>
      <c r="M586" s="27"/>
      <c r="N586" s="27"/>
      <c r="O586" s="27"/>
      <c r="P586" s="28"/>
      <c r="Q586" s="5" t="str">
        <f t="shared" si="27"/>
        <v>ทันกำหนด</v>
      </c>
      <c r="R586" s="6"/>
      <c r="S586" s="7"/>
    </row>
    <row r="587" spans="1:19" ht="28.5" customHeight="1">
      <c r="A587" s="3">
        <v>585</v>
      </c>
      <c r="B587" s="27"/>
      <c r="C587" s="8"/>
      <c r="D587" s="30"/>
      <c r="E587" s="31"/>
      <c r="F587" s="31"/>
      <c r="G587" s="31">
        <f t="shared" si="25"/>
        <v>0</v>
      </c>
      <c r="H587" s="31" t="str">
        <f t="shared" si="26"/>
        <v>ครบ</v>
      </c>
      <c r="I587" s="31"/>
      <c r="J587" s="27" t="e">
        <f>VLOOKUP(I587,Sheet2!$B$1:$C$62,2,FALSE)</f>
        <v>#N/A</v>
      </c>
      <c r="K587" s="27" t="e">
        <f>VLOOKUP(J587,Sheet2!$C$1:$D$61,2,FALSE)</f>
        <v>#N/A</v>
      </c>
      <c r="L587" s="27"/>
      <c r="M587" s="27"/>
      <c r="N587" s="27"/>
      <c r="O587" s="27"/>
      <c r="P587" s="28"/>
      <c r="Q587" s="5" t="str">
        <f t="shared" si="27"/>
        <v>ทันกำหนด</v>
      </c>
      <c r="R587" s="6"/>
      <c r="S587" s="33"/>
    </row>
    <row r="588" spans="1:19">
      <c r="A588" s="3">
        <v>586</v>
      </c>
      <c r="B588" s="27"/>
      <c r="C588" s="8"/>
      <c r="D588" s="30"/>
      <c r="E588" s="31"/>
      <c r="F588" s="31"/>
      <c r="G588" s="31">
        <f t="shared" si="25"/>
        <v>0</v>
      </c>
      <c r="H588" s="31" t="str">
        <f t="shared" si="26"/>
        <v>ครบ</v>
      </c>
      <c r="I588" s="31"/>
      <c r="J588" s="27" t="e">
        <f>VLOOKUP(I588,Sheet2!$B$1:$C$62,2,FALSE)</f>
        <v>#N/A</v>
      </c>
      <c r="K588" s="27" t="e">
        <f>VLOOKUP(J588,Sheet2!$C$1:$D$61,2,FALSE)</f>
        <v>#N/A</v>
      </c>
      <c r="L588" s="27"/>
      <c r="M588" s="27"/>
      <c r="N588" s="27"/>
      <c r="O588" s="27"/>
      <c r="P588" s="28"/>
      <c r="Q588" s="5" t="str">
        <f t="shared" si="27"/>
        <v>ทันกำหนด</v>
      </c>
      <c r="R588" s="6"/>
      <c r="S588" s="33"/>
    </row>
    <row r="589" spans="1:19">
      <c r="A589" s="3">
        <v>587</v>
      </c>
      <c r="B589" s="27"/>
      <c r="C589" s="8"/>
      <c r="D589" s="30"/>
      <c r="E589" s="31"/>
      <c r="F589" s="31"/>
      <c r="G589" s="31">
        <f t="shared" si="25"/>
        <v>0</v>
      </c>
      <c r="H589" s="31" t="str">
        <f t="shared" si="26"/>
        <v>ครบ</v>
      </c>
      <c r="I589" s="31"/>
      <c r="J589" s="27" t="e">
        <f>VLOOKUP(I589,Sheet2!$B$1:$C$62,2,FALSE)</f>
        <v>#N/A</v>
      </c>
      <c r="K589" s="27" t="e">
        <f>VLOOKUP(J589,Sheet2!$C$1:$D$61,2,FALSE)</f>
        <v>#N/A</v>
      </c>
      <c r="L589" s="27"/>
      <c r="M589" s="27"/>
      <c r="N589" s="27"/>
      <c r="O589" s="27"/>
      <c r="P589" s="28"/>
      <c r="Q589" s="5" t="str">
        <f t="shared" si="27"/>
        <v>ทันกำหนด</v>
      </c>
      <c r="R589" s="6"/>
      <c r="S589" s="33"/>
    </row>
    <row r="590" spans="1:19" ht="27.75" customHeight="1">
      <c r="A590" s="3">
        <v>588</v>
      </c>
      <c r="B590" s="27"/>
      <c r="C590" s="8"/>
      <c r="D590" s="30"/>
      <c r="E590" s="31"/>
      <c r="F590" s="31"/>
      <c r="G590" s="31">
        <f t="shared" si="25"/>
        <v>0</v>
      </c>
      <c r="H590" s="31" t="str">
        <f t="shared" si="26"/>
        <v>ครบ</v>
      </c>
      <c r="I590" s="31"/>
      <c r="J590" s="27" t="e">
        <f>VLOOKUP(I590,Sheet2!$B$1:$C$62,2,FALSE)</f>
        <v>#N/A</v>
      </c>
      <c r="K590" s="27" t="e">
        <f>VLOOKUP(J590,Sheet2!$C$1:$D$61,2,FALSE)</f>
        <v>#N/A</v>
      </c>
      <c r="L590" s="27"/>
      <c r="M590" s="27"/>
      <c r="N590" s="27"/>
      <c r="O590" s="27"/>
      <c r="P590" s="28"/>
      <c r="Q590" s="5" t="str">
        <f t="shared" si="27"/>
        <v>ทันกำหนด</v>
      </c>
      <c r="R590" s="6"/>
      <c r="S590" s="7"/>
    </row>
    <row r="591" spans="1:19" ht="27.75" customHeight="1">
      <c r="A591" s="3">
        <v>589</v>
      </c>
      <c r="B591" s="27"/>
      <c r="C591" s="8"/>
      <c r="D591" s="30"/>
      <c r="E591" s="31"/>
      <c r="F591" s="31"/>
      <c r="G591" s="31">
        <f t="shared" si="25"/>
        <v>0</v>
      </c>
      <c r="H591" s="31" t="str">
        <f t="shared" si="26"/>
        <v>ครบ</v>
      </c>
      <c r="I591" s="31"/>
      <c r="J591" s="27" t="e">
        <f>VLOOKUP(I591,Sheet2!$B$1:$C$62,2,FALSE)</f>
        <v>#N/A</v>
      </c>
      <c r="K591" s="27" t="e">
        <f>VLOOKUP(J591,Sheet2!$C$1:$D$61,2,FALSE)</f>
        <v>#N/A</v>
      </c>
      <c r="L591" s="27"/>
      <c r="M591" s="27"/>
      <c r="N591" s="27"/>
      <c r="O591" s="27"/>
      <c r="P591" s="28"/>
      <c r="Q591" s="5" t="str">
        <f t="shared" si="27"/>
        <v>ทันกำหนด</v>
      </c>
      <c r="R591" s="6"/>
      <c r="S591" s="7"/>
    </row>
    <row r="592" spans="1:19" ht="27.75" customHeight="1">
      <c r="A592" s="3">
        <v>590</v>
      </c>
      <c r="B592" s="27"/>
      <c r="C592" s="8"/>
      <c r="D592" s="30"/>
      <c r="E592" s="31"/>
      <c r="F592" s="31"/>
      <c r="G592" s="31">
        <f t="shared" si="25"/>
        <v>0</v>
      </c>
      <c r="H592" s="31" t="str">
        <f t="shared" si="26"/>
        <v>ครบ</v>
      </c>
      <c r="I592" s="31"/>
      <c r="J592" s="27" t="e">
        <f>VLOOKUP(I592,Sheet2!$B$1:$C$62,2,FALSE)</f>
        <v>#N/A</v>
      </c>
      <c r="K592" s="27" t="e">
        <f>VLOOKUP(J592,Sheet2!$C$1:$D$61,2,FALSE)</f>
        <v>#N/A</v>
      </c>
      <c r="L592" s="27"/>
      <c r="M592" s="27"/>
      <c r="N592" s="27"/>
      <c r="O592" s="27"/>
      <c r="P592" s="28"/>
      <c r="Q592" s="5" t="str">
        <f t="shared" si="27"/>
        <v>ทันกำหนด</v>
      </c>
      <c r="R592" s="6"/>
      <c r="S592" s="7"/>
    </row>
    <row r="593" spans="1:19" ht="27.75" customHeight="1">
      <c r="A593" s="3">
        <v>591</v>
      </c>
      <c r="B593" s="27"/>
      <c r="C593" s="8"/>
      <c r="D593" s="30"/>
      <c r="E593" s="31"/>
      <c r="F593" s="31"/>
      <c r="G593" s="31">
        <f t="shared" si="25"/>
        <v>0</v>
      </c>
      <c r="H593" s="31" t="str">
        <f t="shared" si="26"/>
        <v>ครบ</v>
      </c>
      <c r="I593" s="31"/>
      <c r="J593" s="27" t="e">
        <f>VLOOKUP(I593,Sheet2!$B$1:$C$62,2,FALSE)</f>
        <v>#N/A</v>
      </c>
      <c r="K593" s="27" t="e">
        <f>VLOOKUP(J593,Sheet2!$C$1:$D$61,2,FALSE)</f>
        <v>#N/A</v>
      </c>
      <c r="L593" s="27"/>
      <c r="M593" s="27"/>
      <c r="N593" s="27"/>
      <c r="O593" s="27"/>
      <c r="P593" s="28"/>
      <c r="Q593" s="5" t="str">
        <f t="shared" si="27"/>
        <v>ทันกำหนด</v>
      </c>
      <c r="R593" s="6"/>
      <c r="S593" s="7"/>
    </row>
    <row r="594" spans="1:19" ht="27.75" customHeight="1">
      <c r="A594" s="3">
        <v>592</v>
      </c>
      <c r="B594" s="27"/>
      <c r="C594" s="8"/>
      <c r="D594" s="30"/>
      <c r="E594" s="31"/>
      <c r="F594" s="31"/>
      <c r="G594" s="31">
        <f t="shared" si="25"/>
        <v>0</v>
      </c>
      <c r="H594" s="31" t="str">
        <f t="shared" si="26"/>
        <v>ครบ</v>
      </c>
      <c r="I594" s="31"/>
      <c r="J594" s="27" t="e">
        <f>VLOOKUP(I594,Sheet2!$B$1:$C$62,2,FALSE)</f>
        <v>#N/A</v>
      </c>
      <c r="K594" s="27" t="e">
        <f>VLOOKUP(J594,Sheet2!$C$1:$D$61,2,FALSE)</f>
        <v>#N/A</v>
      </c>
      <c r="L594" s="27"/>
      <c r="M594" s="27"/>
      <c r="N594" s="27"/>
      <c r="O594" s="27"/>
      <c r="P594" s="28"/>
      <c r="Q594" s="5" t="str">
        <f t="shared" si="27"/>
        <v>ทันกำหนด</v>
      </c>
      <c r="R594" s="6"/>
      <c r="S594" s="7"/>
    </row>
    <row r="595" spans="1:19" ht="27.75" customHeight="1">
      <c r="A595" s="3">
        <v>593</v>
      </c>
      <c r="B595" s="27"/>
      <c r="C595" s="8"/>
      <c r="D595" s="30"/>
      <c r="E595" s="31"/>
      <c r="F595" s="31"/>
      <c r="G595" s="31">
        <f t="shared" si="25"/>
        <v>0</v>
      </c>
      <c r="H595" s="31" t="str">
        <f t="shared" si="26"/>
        <v>ครบ</v>
      </c>
      <c r="I595" s="31"/>
      <c r="J595" s="27" t="e">
        <f>VLOOKUP(I595,Sheet2!$B$1:$C$62,2,FALSE)</f>
        <v>#N/A</v>
      </c>
      <c r="K595" s="27" t="e">
        <f>VLOOKUP(J595,Sheet2!$C$1:$D$61,2,FALSE)</f>
        <v>#N/A</v>
      </c>
      <c r="L595" s="27"/>
      <c r="M595" s="27"/>
      <c r="N595" s="27"/>
      <c r="O595" s="27"/>
      <c r="P595" s="28"/>
      <c r="Q595" s="5" t="str">
        <f t="shared" si="27"/>
        <v>ทันกำหนด</v>
      </c>
      <c r="R595" s="6"/>
      <c r="S595" s="7"/>
    </row>
    <row r="596" spans="1:19" ht="27.75" customHeight="1">
      <c r="A596" s="3">
        <v>594</v>
      </c>
      <c r="B596" s="27"/>
      <c r="C596" s="8"/>
      <c r="D596" s="30"/>
      <c r="E596" s="31"/>
      <c r="F596" s="31"/>
      <c r="G596" s="31">
        <f t="shared" si="25"/>
        <v>0</v>
      </c>
      <c r="H596" s="31" t="str">
        <f t="shared" si="26"/>
        <v>ครบ</v>
      </c>
      <c r="I596" s="31"/>
      <c r="J596" s="27" t="e">
        <f>VLOOKUP(I596,Sheet2!$B$1:$C$62,2,FALSE)</f>
        <v>#N/A</v>
      </c>
      <c r="K596" s="27" t="e">
        <f>VLOOKUP(J596,Sheet2!$C$1:$D$61,2,FALSE)</f>
        <v>#N/A</v>
      </c>
      <c r="L596" s="27"/>
      <c r="M596" s="27"/>
      <c r="N596" s="27"/>
      <c r="O596" s="27"/>
      <c r="P596" s="28"/>
      <c r="Q596" s="5" t="str">
        <f t="shared" si="27"/>
        <v>ทันกำหนด</v>
      </c>
      <c r="R596" s="6"/>
      <c r="S596" s="7"/>
    </row>
    <row r="597" spans="1:19" ht="27.75" customHeight="1">
      <c r="A597" s="3">
        <v>595</v>
      </c>
      <c r="B597" s="27"/>
      <c r="C597" s="8"/>
      <c r="D597" s="30"/>
      <c r="E597" s="31"/>
      <c r="F597" s="31"/>
      <c r="G597" s="31">
        <f t="shared" si="25"/>
        <v>0</v>
      </c>
      <c r="H597" s="31" t="str">
        <f t="shared" si="26"/>
        <v>ครบ</v>
      </c>
      <c r="I597" s="31"/>
      <c r="J597" s="27" t="e">
        <f>VLOOKUP(I597,Sheet2!$B$1:$C$62,2,FALSE)</f>
        <v>#N/A</v>
      </c>
      <c r="K597" s="27" t="e">
        <f>VLOOKUP(J597,Sheet2!$C$1:$D$61,2,FALSE)</f>
        <v>#N/A</v>
      </c>
      <c r="L597" s="27"/>
      <c r="M597" s="27"/>
      <c r="N597" s="27"/>
      <c r="O597" s="27"/>
      <c r="P597" s="28"/>
      <c r="Q597" s="5" t="str">
        <f t="shared" si="27"/>
        <v>ทันกำหนด</v>
      </c>
      <c r="R597" s="6"/>
      <c r="S597" s="7"/>
    </row>
    <row r="598" spans="1:19" ht="27.75" customHeight="1">
      <c r="A598" s="3">
        <v>596</v>
      </c>
      <c r="B598" s="27"/>
      <c r="C598" s="8"/>
      <c r="D598" s="30"/>
      <c r="E598" s="31"/>
      <c r="F598" s="31"/>
      <c r="G598" s="31">
        <f t="shared" si="25"/>
        <v>0</v>
      </c>
      <c r="H598" s="31" t="str">
        <f t="shared" si="26"/>
        <v>ครบ</v>
      </c>
      <c r="I598" s="31"/>
      <c r="J598" s="27" t="e">
        <f>VLOOKUP(I598,Sheet2!$B$1:$C$62,2,FALSE)</f>
        <v>#N/A</v>
      </c>
      <c r="K598" s="27" t="e">
        <f>VLOOKUP(J598,Sheet2!$C$1:$D$61,2,FALSE)</f>
        <v>#N/A</v>
      </c>
      <c r="L598" s="27"/>
      <c r="M598" s="27"/>
      <c r="N598" s="27"/>
      <c r="O598" s="27"/>
      <c r="P598" s="28"/>
      <c r="Q598" s="5" t="str">
        <f t="shared" si="27"/>
        <v>ทันกำหนด</v>
      </c>
      <c r="R598" s="6"/>
      <c r="S598" s="7"/>
    </row>
    <row r="599" spans="1:19" ht="27.75" customHeight="1">
      <c r="A599" s="3">
        <v>597</v>
      </c>
      <c r="B599" s="27"/>
      <c r="C599" s="8"/>
      <c r="D599" s="30"/>
      <c r="E599" s="31"/>
      <c r="F599" s="31"/>
      <c r="G599" s="31">
        <f t="shared" si="25"/>
        <v>0</v>
      </c>
      <c r="H599" s="31" t="str">
        <f t="shared" si="26"/>
        <v>ครบ</v>
      </c>
      <c r="I599" s="31"/>
      <c r="J599" s="27" t="e">
        <f>VLOOKUP(I599,Sheet2!$B$1:$C$62,2,FALSE)</f>
        <v>#N/A</v>
      </c>
      <c r="K599" s="27" t="e">
        <f>VLOOKUP(J599,Sheet2!$C$1:$D$61,2,FALSE)</f>
        <v>#N/A</v>
      </c>
      <c r="L599" s="27"/>
      <c r="M599" s="27"/>
      <c r="N599" s="27"/>
      <c r="O599" s="27"/>
      <c r="P599" s="28"/>
      <c r="Q599" s="5" t="str">
        <f t="shared" si="27"/>
        <v>ทันกำหนด</v>
      </c>
      <c r="R599" s="6"/>
      <c r="S599" s="7"/>
    </row>
    <row r="600" spans="1:19" ht="28.5" customHeight="1">
      <c r="A600" s="3">
        <v>598</v>
      </c>
      <c r="B600" s="27"/>
      <c r="C600" s="8"/>
      <c r="D600" s="30"/>
      <c r="E600" s="31"/>
      <c r="F600" s="31"/>
      <c r="G600" s="31">
        <f t="shared" si="25"/>
        <v>0</v>
      </c>
      <c r="H600" s="31" t="str">
        <f t="shared" si="26"/>
        <v>ครบ</v>
      </c>
      <c r="I600" s="31"/>
      <c r="J600" s="27" t="e">
        <f>VLOOKUP(I600,Sheet2!$B$1:$C$62,2,FALSE)</f>
        <v>#N/A</v>
      </c>
      <c r="K600" s="27" t="e">
        <f>VLOOKUP(J600,Sheet2!$C$1:$D$61,2,FALSE)</f>
        <v>#N/A</v>
      </c>
      <c r="L600" s="27"/>
      <c r="M600" s="27"/>
      <c r="N600" s="27"/>
      <c r="O600" s="27"/>
      <c r="P600" s="28"/>
      <c r="Q600" s="5" t="str">
        <f t="shared" si="27"/>
        <v>ทันกำหนด</v>
      </c>
      <c r="R600" s="6"/>
      <c r="S600" s="7"/>
    </row>
    <row r="601" spans="1:19">
      <c r="A601" s="3">
        <v>599</v>
      </c>
      <c r="B601" s="27"/>
      <c r="C601" s="8"/>
      <c r="D601" s="30"/>
      <c r="E601" s="31"/>
      <c r="F601" s="31"/>
      <c r="G601" s="31">
        <f t="shared" si="25"/>
        <v>0</v>
      </c>
      <c r="H601" s="31" t="str">
        <f t="shared" si="26"/>
        <v>ครบ</v>
      </c>
      <c r="I601" s="31"/>
      <c r="J601" s="27" t="e">
        <f>VLOOKUP(I601,Sheet2!$B$1:$C$62,2,FALSE)</f>
        <v>#N/A</v>
      </c>
      <c r="K601" s="27" t="e">
        <f>VLOOKUP(J601,Sheet2!$C$1:$D$61,2,FALSE)</f>
        <v>#N/A</v>
      </c>
      <c r="L601" s="27"/>
      <c r="M601" s="27"/>
      <c r="N601" s="27"/>
      <c r="O601" s="27"/>
      <c r="P601" s="28"/>
      <c r="Q601" s="5" t="str">
        <f t="shared" si="27"/>
        <v>ทันกำหนด</v>
      </c>
      <c r="R601" s="6"/>
      <c r="S601" s="7"/>
    </row>
    <row r="602" spans="1:19">
      <c r="A602" s="3">
        <v>600</v>
      </c>
      <c r="B602" s="27"/>
      <c r="C602" s="8"/>
      <c r="D602" s="30"/>
      <c r="E602" s="31"/>
      <c r="F602" s="31"/>
      <c r="G602" s="31">
        <f t="shared" si="25"/>
        <v>0</v>
      </c>
      <c r="H602" s="31" t="str">
        <f t="shared" si="26"/>
        <v>ครบ</v>
      </c>
      <c r="I602" s="31"/>
      <c r="J602" s="27" t="e">
        <f>VLOOKUP(I602,Sheet2!$B$1:$C$62,2,FALSE)</f>
        <v>#N/A</v>
      </c>
      <c r="K602" s="27" t="e">
        <f>VLOOKUP(J602,Sheet2!$C$1:$D$61,2,FALSE)</f>
        <v>#N/A</v>
      </c>
      <c r="L602" s="27"/>
      <c r="M602" s="27"/>
      <c r="N602" s="27"/>
      <c r="O602" s="27"/>
      <c r="P602" s="28"/>
      <c r="Q602" s="5" t="str">
        <f t="shared" si="27"/>
        <v>ทันกำหนด</v>
      </c>
      <c r="R602" s="6"/>
      <c r="S602" s="7"/>
    </row>
    <row r="603" spans="1:19">
      <c r="A603" s="3">
        <v>601</v>
      </c>
      <c r="B603" s="27"/>
      <c r="C603" s="8"/>
      <c r="D603" s="30"/>
      <c r="E603" s="31"/>
      <c r="F603" s="31"/>
      <c r="G603" s="31">
        <f t="shared" si="25"/>
        <v>0</v>
      </c>
      <c r="H603" s="31" t="str">
        <f t="shared" si="26"/>
        <v>ครบ</v>
      </c>
      <c r="I603" s="31"/>
      <c r="J603" s="27" t="e">
        <f>VLOOKUP(I603,Sheet2!$B$1:$C$62,2,FALSE)</f>
        <v>#N/A</v>
      </c>
      <c r="K603" s="27" t="e">
        <f>VLOOKUP(J603,Sheet2!$C$1:$D$61,2,FALSE)</f>
        <v>#N/A</v>
      </c>
      <c r="L603" s="27"/>
      <c r="M603" s="27"/>
      <c r="N603" s="27"/>
      <c r="O603" s="27"/>
      <c r="P603" s="28"/>
      <c r="Q603" s="5" t="str">
        <f t="shared" si="27"/>
        <v>ทันกำหนด</v>
      </c>
      <c r="R603" s="6"/>
      <c r="S603" s="7"/>
    </row>
    <row r="604" spans="1:19">
      <c r="A604" s="3">
        <v>602</v>
      </c>
      <c r="B604" s="27"/>
      <c r="C604" s="8"/>
      <c r="D604" s="30"/>
      <c r="E604" s="31"/>
      <c r="F604" s="31"/>
      <c r="G604" s="31">
        <f t="shared" si="25"/>
        <v>0</v>
      </c>
      <c r="H604" s="31" t="str">
        <f t="shared" si="26"/>
        <v>ครบ</v>
      </c>
      <c r="I604" s="31"/>
      <c r="J604" s="27" t="e">
        <f>VLOOKUP(I604,Sheet2!$B$1:$C$62,2,FALSE)</f>
        <v>#N/A</v>
      </c>
      <c r="K604" s="27" t="e">
        <f>VLOOKUP(J604,Sheet2!$C$1:$D$61,2,FALSE)</f>
        <v>#N/A</v>
      </c>
      <c r="L604" s="27"/>
      <c r="M604" s="27"/>
      <c r="N604" s="27"/>
      <c r="O604" s="27"/>
      <c r="P604" s="28"/>
      <c r="Q604" s="5" t="str">
        <f t="shared" si="27"/>
        <v>ทันกำหนด</v>
      </c>
      <c r="R604" s="6"/>
      <c r="S604" s="7"/>
    </row>
    <row r="605" spans="1:19">
      <c r="A605" s="3">
        <v>603</v>
      </c>
      <c r="B605" s="27"/>
      <c r="C605" s="8"/>
      <c r="D605" s="30"/>
      <c r="E605" s="31"/>
      <c r="F605" s="31"/>
      <c r="G605" s="31">
        <f t="shared" si="25"/>
        <v>0</v>
      </c>
      <c r="H605" s="31" t="str">
        <f t="shared" si="26"/>
        <v>ครบ</v>
      </c>
      <c r="I605" s="31"/>
      <c r="J605" s="27" t="e">
        <f>VLOOKUP(I605,Sheet2!$B$1:$C$62,2,FALSE)</f>
        <v>#N/A</v>
      </c>
      <c r="K605" s="27" t="e">
        <f>VLOOKUP(J605,Sheet2!$C$1:$D$61,2,FALSE)</f>
        <v>#N/A</v>
      </c>
      <c r="L605" s="27"/>
      <c r="M605" s="27"/>
      <c r="N605" s="27"/>
      <c r="O605" s="27"/>
      <c r="P605" s="28"/>
      <c r="Q605" s="5" t="str">
        <f t="shared" si="27"/>
        <v>ทันกำหนด</v>
      </c>
      <c r="R605" s="6"/>
      <c r="S605" s="7"/>
    </row>
    <row r="606" spans="1:19">
      <c r="A606" s="3">
        <v>604</v>
      </c>
      <c r="B606" s="27"/>
      <c r="C606" s="8"/>
      <c r="D606" s="30"/>
      <c r="E606" s="31"/>
      <c r="F606" s="31"/>
      <c r="G606" s="31">
        <f t="shared" si="25"/>
        <v>0</v>
      </c>
      <c r="H606" s="31" t="str">
        <f t="shared" si="26"/>
        <v>ครบ</v>
      </c>
      <c r="I606" s="31"/>
      <c r="J606" s="27" t="e">
        <f>VLOOKUP(I606,Sheet2!$B$1:$C$62,2,FALSE)</f>
        <v>#N/A</v>
      </c>
      <c r="K606" s="27" t="e">
        <f>VLOOKUP(J606,Sheet2!$C$1:$D$61,2,FALSE)</f>
        <v>#N/A</v>
      </c>
      <c r="L606" s="27"/>
      <c r="M606" s="27"/>
      <c r="N606" s="27"/>
      <c r="O606" s="27"/>
      <c r="P606" s="28"/>
      <c r="Q606" s="5" t="str">
        <f t="shared" si="27"/>
        <v>ทันกำหนด</v>
      </c>
      <c r="R606" s="6"/>
      <c r="S606" s="7"/>
    </row>
    <row r="607" spans="1:19">
      <c r="A607" s="3">
        <v>605</v>
      </c>
      <c r="B607" s="4"/>
      <c r="C607" s="8"/>
      <c r="D607" s="30"/>
      <c r="E607" s="31"/>
      <c r="F607" s="31"/>
      <c r="G607" s="31">
        <f t="shared" si="25"/>
        <v>0</v>
      </c>
      <c r="H607" s="31" t="str">
        <f t="shared" si="26"/>
        <v>ครบ</v>
      </c>
      <c r="I607" s="31"/>
      <c r="J607" s="27" t="e">
        <f>VLOOKUP(I607,Sheet2!$B$1:$C$62,2,FALSE)</f>
        <v>#N/A</v>
      </c>
      <c r="K607" s="27" t="e">
        <f>VLOOKUP(J607,Sheet2!$C$1:$D$61,2,FALSE)</f>
        <v>#N/A</v>
      </c>
      <c r="L607" s="27"/>
      <c r="M607" s="27"/>
      <c r="N607" s="27"/>
      <c r="O607" s="27"/>
      <c r="P607" s="28"/>
      <c r="Q607" s="5" t="str">
        <f t="shared" si="27"/>
        <v>ทันกำหนด</v>
      </c>
      <c r="R607" s="6"/>
      <c r="S607" s="7"/>
    </row>
    <row r="608" spans="1:19">
      <c r="A608" s="3">
        <v>606</v>
      </c>
      <c r="B608" s="4"/>
      <c r="C608" s="8"/>
      <c r="D608" s="30"/>
      <c r="E608" s="31"/>
      <c r="F608" s="31"/>
      <c r="G608" s="31">
        <f t="shared" si="25"/>
        <v>0</v>
      </c>
      <c r="H608" s="31" t="str">
        <f t="shared" si="26"/>
        <v>ครบ</v>
      </c>
      <c r="I608" s="31"/>
      <c r="J608" s="27" t="e">
        <f>VLOOKUP(I608,Sheet2!$B$1:$C$62,2,FALSE)</f>
        <v>#N/A</v>
      </c>
      <c r="K608" s="27" t="e">
        <f>VLOOKUP(J608,Sheet2!$C$1:$D$61,2,FALSE)</f>
        <v>#N/A</v>
      </c>
      <c r="L608" s="27"/>
      <c r="M608" s="27"/>
      <c r="N608" s="27"/>
      <c r="O608" s="27"/>
      <c r="P608" s="28"/>
      <c r="Q608" s="5" t="str">
        <f t="shared" si="27"/>
        <v>ทันกำหนด</v>
      </c>
      <c r="R608" s="6"/>
      <c r="S608" s="7"/>
    </row>
    <row r="609" spans="1:19">
      <c r="A609" s="3">
        <v>607</v>
      </c>
      <c r="B609" s="4"/>
      <c r="C609" s="8"/>
      <c r="D609" s="30"/>
      <c r="E609" s="31"/>
      <c r="F609" s="31"/>
      <c r="G609" s="31">
        <f t="shared" si="25"/>
        <v>0</v>
      </c>
      <c r="H609" s="31" t="str">
        <f t="shared" si="26"/>
        <v>ครบ</v>
      </c>
      <c r="I609" s="31"/>
      <c r="J609" s="27" t="e">
        <f>VLOOKUP(I609,Sheet2!$B$1:$C$62,2,FALSE)</f>
        <v>#N/A</v>
      </c>
      <c r="K609" s="27" t="e">
        <f>VLOOKUP(J609,Sheet2!$C$1:$D$61,2,FALSE)</f>
        <v>#N/A</v>
      </c>
      <c r="L609" s="27"/>
      <c r="M609" s="27"/>
      <c r="N609" s="27"/>
      <c r="O609" s="27"/>
      <c r="P609" s="28"/>
      <c r="Q609" s="5" t="str">
        <f t="shared" si="27"/>
        <v>ทันกำหนด</v>
      </c>
      <c r="R609" s="6"/>
      <c r="S609" s="7"/>
    </row>
    <row r="610" spans="1:19">
      <c r="A610" s="3">
        <v>608</v>
      </c>
      <c r="B610" s="4"/>
      <c r="C610" s="8"/>
      <c r="D610" s="30"/>
      <c r="E610" s="31"/>
      <c r="F610" s="31"/>
      <c r="G610" s="31">
        <f t="shared" si="25"/>
        <v>0</v>
      </c>
      <c r="H610" s="31" t="str">
        <f t="shared" si="26"/>
        <v>ครบ</v>
      </c>
      <c r="I610" s="31"/>
      <c r="J610" s="27" t="e">
        <f>VLOOKUP(I610,Sheet2!$B$1:$C$62,2,FALSE)</f>
        <v>#N/A</v>
      </c>
      <c r="K610" s="27" t="e">
        <f>VLOOKUP(J610,Sheet2!$C$1:$D$61,2,FALSE)</f>
        <v>#N/A</v>
      </c>
      <c r="L610" s="27"/>
      <c r="M610" s="27"/>
      <c r="N610" s="27"/>
      <c r="O610" s="27"/>
      <c r="P610" s="28"/>
      <c r="Q610" s="5" t="str">
        <f t="shared" si="27"/>
        <v>ทันกำหนด</v>
      </c>
      <c r="R610" s="6"/>
      <c r="S610" s="33"/>
    </row>
    <row r="611" spans="1:19">
      <c r="A611" s="3">
        <v>609</v>
      </c>
      <c r="B611" s="4"/>
      <c r="C611" s="8"/>
      <c r="D611" s="30"/>
      <c r="E611" s="31"/>
      <c r="F611" s="31"/>
      <c r="G611" s="31">
        <f t="shared" si="25"/>
        <v>0</v>
      </c>
      <c r="H611" s="31" t="str">
        <f t="shared" si="26"/>
        <v>ครบ</v>
      </c>
      <c r="I611" s="31"/>
      <c r="J611" s="27" t="e">
        <f>VLOOKUP(I611,Sheet2!$B$1:$C$62,2,FALSE)</f>
        <v>#N/A</v>
      </c>
      <c r="K611" s="27" t="e">
        <f>VLOOKUP(J611,Sheet2!$C$1:$D$61,2,FALSE)</f>
        <v>#N/A</v>
      </c>
      <c r="L611" s="27"/>
      <c r="M611" s="27"/>
      <c r="N611" s="27"/>
      <c r="O611" s="27"/>
      <c r="P611" s="28"/>
      <c r="Q611" s="5" t="str">
        <f t="shared" si="27"/>
        <v>ทันกำหนด</v>
      </c>
      <c r="R611" s="6"/>
      <c r="S611" s="33"/>
    </row>
    <row r="612" spans="1:19">
      <c r="A612" s="3">
        <v>610</v>
      </c>
      <c r="B612" s="4"/>
      <c r="C612" s="8"/>
      <c r="D612" s="30"/>
      <c r="E612" s="31"/>
      <c r="F612" s="31"/>
      <c r="G612" s="31">
        <f t="shared" si="25"/>
        <v>0</v>
      </c>
      <c r="H612" s="31" t="str">
        <f t="shared" si="26"/>
        <v>ครบ</v>
      </c>
      <c r="I612" s="31"/>
      <c r="J612" s="27" t="e">
        <f>VLOOKUP(I612,Sheet2!$B$1:$C$62,2,FALSE)</f>
        <v>#N/A</v>
      </c>
      <c r="K612" s="27" t="e">
        <f>VLOOKUP(J612,Sheet2!$C$1:$D$61,2,FALSE)</f>
        <v>#N/A</v>
      </c>
      <c r="L612" s="27"/>
      <c r="M612" s="27"/>
      <c r="N612" s="27"/>
      <c r="O612" s="27"/>
      <c r="P612" s="28"/>
      <c r="Q612" s="5" t="str">
        <f t="shared" si="27"/>
        <v>ทันกำหนด</v>
      </c>
      <c r="R612" s="6"/>
      <c r="S612" s="33"/>
    </row>
    <row r="613" spans="1:19">
      <c r="A613" s="3">
        <v>611</v>
      </c>
      <c r="B613" s="4"/>
      <c r="C613" s="8"/>
      <c r="D613" s="30"/>
      <c r="E613" s="31"/>
      <c r="F613" s="31"/>
      <c r="G613" s="31">
        <f t="shared" si="25"/>
        <v>0</v>
      </c>
      <c r="H613" s="31" t="str">
        <f t="shared" si="26"/>
        <v>ครบ</v>
      </c>
      <c r="I613" s="31"/>
      <c r="J613" s="27" t="e">
        <f>VLOOKUP(I613,Sheet2!$B$1:$C$62,2,FALSE)</f>
        <v>#N/A</v>
      </c>
      <c r="K613" s="27" t="e">
        <f>VLOOKUP(J613,Sheet2!$C$1:$D$61,2,FALSE)</f>
        <v>#N/A</v>
      </c>
      <c r="L613" s="27"/>
      <c r="M613" s="27"/>
      <c r="N613" s="27"/>
      <c r="O613" s="27"/>
      <c r="P613" s="28"/>
      <c r="Q613" s="5" t="str">
        <f t="shared" si="27"/>
        <v>ทันกำหนด</v>
      </c>
      <c r="R613" s="6"/>
      <c r="S613" s="7"/>
    </row>
    <row r="614" spans="1:19">
      <c r="A614" s="3">
        <v>612</v>
      </c>
      <c r="B614" s="4"/>
      <c r="C614" s="8"/>
      <c r="D614" s="30"/>
      <c r="E614" s="31"/>
      <c r="F614" s="31"/>
      <c r="G614" s="31">
        <f t="shared" si="25"/>
        <v>0</v>
      </c>
      <c r="H614" s="31" t="str">
        <f t="shared" si="26"/>
        <v>ครบ</v>
      </c>
      <c r="I614" s="31"/>
      <c r="J614" s="27" t="e">
        <f>VLOOKUP(I614,Sheet2!$B$1:$C$62,2,FALSE)</f>
        <v>#N/A</v>
      </c>
      <c r="K614" s="27" t="e">
        <f>VLOOKUP(J614,Sheet2!$C$1:$D$61,2,FALSE)</f>
        <v>#N/A</v>
      </c>
      <c r="L614" s="27"/>
      <c r="M614" s="27"/>
      <c r="N614" s="27"/>
      <c r="O614" s="27"/>
      <c r="P614" s="28"/>
      <c r="Q614" s="5" t="str">
        <f t="shared" si="27"/>
        <v>ทันกำหนด</v>
      </c>
      <c r="R614" s="6"/>
      <c r="S614" s="7"/>
    </row>
    <row r="615" spans="1:19">
      <c r="A615" s="3">
        <v>613</v>
      </c>
      <c r="B615" s="4"/>
      <c r="C615" s="8"/>
      <c r="D615" s="30"/>
      <c r="E615" s="31"/>
      <c r="F615" s="31"/>
      <c r="G615" s="31">
        <f t="shared" si="25"/>
        <v>0</v>
      </c>
      <c r="H615" s="31" t="str">
        <f t="shared" si="26"/>
        <v>ครบ</v>
      </c>
      <c r="I615" s="31"/>
      <c r="J615" s="27" t="e">
        <f>VLOOKUP(I615,Sheet2!$B$1:$C$62,2,FALSE)</f>
        <v>#N/A</v>
      </c>
      <c r="K615" s="27" t="e">
        <f>VLOOKUP(J615,Sheet2!$C$1:$D$61,2,FALSE)</f>
        <v>#N/A</v>
      </c>
      <c r="L615" s="27"/>
      <c r="M615" s="27"/>
      <c r="N615" s="27"/>
      <c r="O615" s="27"/>
      <c r="P615" s="28"/>
      <c r="Q615" s="5" t="str">
        <f t="shared" si="27"/>
        <v>ทันกำหนด</v>
      </c>
      <c r="R615" s="6"/>
      <c r="S615" s="7"/>
    </row>
    <row r="616" spans="1:19">
      <c r="A616" s="3">
        <v>614</v>
      </c>
      <c r="B616" s="4"/>
      <c r="C616" s="8"/>
      <c r="D616" s="30"/>
      <c r="E616" s="31"/>
      <c r="F616" s="31"/>
      <c r="G616" s="31">
        <f t="shared" si="25"/>
        <v>0</v>
      </c>
      <c r="H616" s="31" t="str">
        <f t="shared" si="26"/>
        <v>ครบ</v>
      </c>
      <c r="I616" s="31"/>
      <c r="J616" s="27" t="e">
        <f>VLOOKUP(I616,Sheet2!$B$1:$C$62,2,FALSE)</f>
        <v>#N/A</v>
      </c>
      <c r="K616" s="27" t="e">
        <f>VLOOKUP(J616,Sheet2!$C$1:$D$61,2,FALSE)</f>
        <v>#N/A</v>
      </c>
      <c r="L616" s="27"/>
      <c r="M616" s="27"/>
      <c r="N616" s="27"/>
      <c r="O616" s="27"/>
      <c r="P616" s="28"/>
      <c r="Q616" s="5" t="str">
        <f t="shared" si="27"/>
        <v>ทันกำหนด</v>
      </c>
      <c r="R616" s="6"/>
      <c r="S616" s="7"/>
    </row>
    <row r="617" spans="1:19">
      <c r="A617" s="3">
        <v>615</v>
      </c>
      <c r="B617" s="4"/>
      <c r="C617" s="8"/>
      <c r="D617" s="30"/>
      <c r="E617" s="31"/>
      <c r="F617" s="31"/>
      <c r="G617" s="31">
        <f t="shared" si="25"/>
        <v>0</v>
      </c>
      <c r="H617" s="31" t="str">
        <f t="shared" si="26"/>
        <v>ครบ</v>
      </c>
      <c r="I617" s="31"/>
      <c r="J617" s="27" t="e">
        <f>VLOOKUP(I617,Sheet2!$B$1:$C$62,2,FALSE)</f>
        <v>#N/A</v>
      </c>
      <c r="K617" s="27" t="e">
        <f>VLOOKUP(J617,Sheet2!$C$1:$D$61,2,FALSE)</f>
        <v>#N/A</v>
      </c>
      <c r="L617" s="27"/>
      <c r="M617" s="27"/>
      <c r="N617" s="27"/>
      <c r="O617" s="27"/>
      <c r="P617" s="28"/>
      <c r="Q617" s="5" t="str">
        <f t="shared" si="27"/>
        <v>ทันกำหนด</v>
      </c>
      <c r="R617" s="6"/>
      <c r="S617" s="7"/>
    </row>
    <row r="618" spans="1:19">
      <c r="A618" s="3">
        <v>616</v>
      </c>
      <c r="B618" s="4"/>
      <c r="C618" s="8"/>
      <c r="D618" s="30"/>
      <c r="E618" s="31"/>
      <c r="F618" s="31"/>
      <c r="G618" s="31">
        <f t="shared" si="25"/>
        <v>0</v>
      </c>
      <c r="H618" s="31" t="str">
        <f t="shared" si="26"/>
        <v>ครบ</v>
      </c>
      <c r="I618" s="31"/>
      <c r="J618" s="27" t="e">
        <f>VLOOKUP(I618,Sheet2!$B$1:$C$62,2,FALSE)</f>
        <v>#N/A</v>
      </c>
      <c r="K618" s="27" t="e">
        <f>VLOOKUP(J618,Sheet2!$C$1:$D$61,2,FALSE)</f>
        <v>#N/A</v>
      </c>
      <c r="L618" s="27"/>
      <c r="M618" s="27"/>
      <c r="N618" s="27"/>
      <c r="O618" s="27"/>
      <c r="P618" s="28"/>
      <c r="Q618" s="5" t="str">
        <f t="shared" si="27"/>
        <v>ทันกำหนด</v>
      </c>
      <c r="R618" s="6"/>
      <c r="S618" s="7"/>
    </row>
    <row r="619" spans="1:19">
      <c r="A619" s="3">
        <v>617</v>
      </c>
      <c r="B619" s="4"/>
      <c r="C619" s="8"/>
      <c r="D619" s="30"/>
      <c r="E619" s="31"/>
      <c r="F619" s="31"/>
      <c r="G619" s="31"/>
      <c r="H619" s="31"/>
      <c r="I619" s="31"/>
      <c r="J619" s="27" t="e">
        <f>VLOOKUP(I619,Sheet2!$B$1:$C$62,2,FALSE)</f>
        <v>#N/A</v>
      </c>
      <c r="K619" s="27" t="e">
        <f>VLOOKUP(J619,Sheet2!$C$1:$D$61,2,FALSE)</f>
        <v>#N/A</v>
      </c>
      <c r="L619" s="27"/>
      <c r="M619" s="27"/>
      <c r="N619" s="27"/>
      <c r="O619" s="27"/>
      <c r="P619" s="28"/>
      <c r="Q619" s="5" t="str">
        <f t="shared" si="27"/>
        <v>ทันกำหนด</v>
      </c>
      <c r="R619" s="6"/>
      <c r="S619" s="7"/>
    </row>
    <row r="620" spans="1:19">
      <c r="A620" s="3">
        <v>618</v>
      </c>
      <c r="B620" s="4"/>
      <c r="C620" s="8"/>
      <c r="D620" s="30"/>
      <c r="E620" s="31"/>
      <c r="F620" s="31"/>
      <c r="G620" s="31">
        <f t="shared" si="25"/>
        <v>0</v>
      </c>
      <c r="H620" s="31" t="str">
        <f t="shared" si="26"/>
        <v>ครบ</v>
      </c>
      <c r="I620" s="31"/>
      <c r="J620" s="27" t="e">
        <f>VLOOKUP(I620,Sheet2!$B$1:$C$62,2,FALSE)</f>
        <v>#N/A</v>
      </c>
      <c r="K620" s="27" t="e">
        <f>VLOOKUP(J620,Sheet2!$C$1:$D$61,2,FALSE)</f>
        <v>#N/A</v>
      </c>
      <c r="L620" s="27"/>
      <c r="M620" s="27"/>
      <c r="N620" s="27"/>
      <c r="O620" s="27"/>
      <c r="P620" s="28"/>
      <c r="Q620" s="5" t="str">
        <f t="shared" si="27"/>
        <v>ทันกำหนด</v>
      </c>
      <c r="R620" s="6"/>
      <c r="S620" s="7"/>
    </row>
    <row r="621" spans="1:19">
      <c r="A621" s="3">
        <v>619</v>
      </c>
      <c r="B621" s="4"/>
      <c r="C621" s="8"/>
      <c r="D621" s="30"/>
      <c r="E621" s="31"/>
      <c r="F621" s="31"/>
      <c r="G621" s="31">
        <f t="shared" si="25"/>
        <v>0</v>
      </c>
      <c r="H621" s="31" t="str">
        <f t="shared" si="26"/>
        <v>ครบ</v>
      </c>
      <c r="I621" s="31"/>
      <c r="J621" s="27" t="e">
        <f>VLOOKUP(I621,Sheet2!$B$1:$C$62,2,FALSE)</f>
        <v>#N/A</v>
      </c>
      <c r="K621" s="27" t="e">
        <f>VLOOKUP(J621,Sheet2!$C$1:$D$61,2,FALSE)</f>
        <v>#N/A</v>
      </c>
      <c r="L621" s="27"/>
      <c r="M621" s="27"/>
      <c r="N621" s="27"/>
      <c r="O621" s="27"/>
      <c r="P621" s="28"/>
      <c r="Q621" s="5" t="str">
        <f t="shared" si="27"/>
        <v>ทันกำหนด</v>
      </c>
      <c r="R621" s="6"/>
      <c r="S621" s="33"/>
    </row>
    <row r="622" spans="1:19">
      <c r="A622" s="3">
        <v>620</v>
      </c>
      <c r="B622" s="4"/>
      <c r="C622" s="8"/>
      <c r="D622" s="30"/>
      <c r="E622" s="31"/>
      <c r="F622" s="31"/>
      <c r="G622" s="31">
        <f t="shared" si="25"/>
        <v>0</v>
      </c>
      <c r="H622" s="31" t="str">
        <f t="shared" si="26"/>
        <v>ครบ</v>
      </c>
      <c r="I622" s="31"/>
      <c r="J622" s="27" t="e">
        <f>VLOOKUP(I622,Sheet2!$B$1:$C$62,2,FALSE)</f>
        <v>#N/A</v>
      </c>
      <c r="K622" s="27" t="e">
        <f>VLOOKUP(J622,Sheet2!$C$1:$D$61,2,FALSE)</f>
        <v>#N/A</v>
      </c>
      <c r="L622" s="27"/>
      <c r="M622" s="27"/>
      <c r="N622" s="27"/>
      <c r="O622" s="27"/>
      <c r="P622" s="28"/>
      <c r="Q622" s="5" t="str">
        <f t="shared" si="27"/>
        <v>ทันกำหนด</v>
      </c>
      <c r="R622" s="6"/>
      <c r="S622" s="33"/>
    </row>
    <row r="623" spans="1:19">
      <c r="A623" s="3">
        <v>621</v>
      </c>
      <c r="B623" s="4"/>
      <c r="C623" s="8"/>
      <c r="D623" s="30"/>
      <c r="E623" s="31"/>
      <c r="F623" s="31"/>
      <c r="G623" s="31">
        <f t="shared" si="25"/>
        <v>0</v>
      </c>
      <c r="H623" s="31" t="str">
        <f t="shared" si="26"/>
        <v>ครบ</v>
      </c>
      <c r="I623" s="31"/>
      <c r="J623" s="27" t="e">
        <f>VLOOKUP(I623,Sheet2!$B$1:$C$62,2,FALSE)</f>
        <v>#N/A</v>
      </c>
      <c r="K623" s="27" t="e">
        <f>VLOOKUP(J623,Sheet2!$C$1:$D$61,2,FALSE)</f>
        <v>#N/A</v>
      </c>
      <c r="L623" s="27"/>
      <c r="M623" s="27"/>
      <c r="N623" s="27"/>
      <c r="O623" s="27"/>
      <c r="P623" s="28"/>
      <c r="Q623" s="5" t="str">
        <f t="shared" si="27"/>
        <v>ทันกำหนด</v>
      </c>
      <c r="R623" s="6"/>
      <c r="S623" s="33"/>
    </row>
    <row r="624" spans="1:19">
      <c r="A624" s="3">
        <v>622</v>
      </c>
      <c r="B624" s="4"/>
      <c r="C624" s="8"/>
      <c r="D624" s="30"/>
      <c r="E624" s="31"/>
      <c r="F624" s="31"/>
      <c r="G624" s="31">
        <f t="shared" si="25"/>
        <v>0</v>
      </c>
      <c r="H624" s="31" t="str">
        <f t="shared" si="26"/>
        <v>ครบ</v>
      </c>
      <c r="I624" s="31"/>
      <c r="J624" s="27" t="e">
        <f>VLOOKUP(I624,Sheet2!$B$1:$C$62,2,FALSE)</f>
        <v>#N/A</v>
      </c>
      <c r="K624" s="27" t="e">
        <f>VLOOKUP(J624,Sheet2!$C$1:$D$61,2,FALSE)</f>
        <v>#N/A</v>
      </c>
      <c r="L624" s="27"/>
      <c r="M624" s="27"/>
      <c r="N624" s="27"/>
      <c r="O624" s="27"/>
      <c r="P624" s="28"/>
      <c r="Q624" s="5" t="str">
        <f t="shared" si="27"/>
        <v>ทันกำหนด</v>
      </c>
      <c r="R624" s="6"/>
      <c r="S624" s="7"/>
    </row>
    <row r="625" spans="1:19">
      <c r="A625" s="3">
        <v>623</v>
      </c>
      <c r="B625" s="4"/>
      <c r="C625" s="8"/>
      <c r="D625" s="30"/>
      <c r="E625" s="31"/>
      <c r="F625" s="31"/>
      <c r="G625" s="31">
        <f t="shared" si="25"/>
        <v>0</v>
      </c>
      <c r="H625" s="31" t="str">
        <f t="shared" si="26"/>
        <v>ครบ</v>
      </c>
      <c r="I625" s="31"/>
      <c r="J625" s="27" t="e">
        <f>VLOOKUP(I625,Sheet2!$B$1:$C$62,2,FALSE)</f>
        <v>#N/A</v>
      </c>
      <c r="K625" s="27" t="e">
        <f>VLOOKUP(J625,Sheet2!$C$1:$D$61,2,FALSE)</f>
        <v>#N/A</v>
      </c>
      <c r="L625" s="27"/>
      <c r="M625" s="27"/>
      <c r="N625" s="27"/>
      <c r="O625" s="27"/>
      <c r="P625" s="28"/>
      <c r="Q625" s="5" t="str">
        <f t="shared" si="27"/>
        <v>ทันกำหนด</v>
      </c>
      <c r="R625" s="6"/>
      <c r="S625" s="7"/>
    </row>
    <row r="626" spans="1:19">
      <c r="A626" s="3">
        <v>624</v>
      </c>
      <c r="B626" s="4"/>
      <c r="C626" s="8"/>
      <c r="D626" s="30"/>
      <c r="E626" s="31"/>
      <c r="F626" s="31"/>
      <c r="G626" s="31">
        <f t="shared" si="25"/>
        <v>0</v>
      </c>
      <c r="H626" s="31" t="str">
        <f t="shared" si="26"/>
        <v>ครบ</v>
      </c>
      <c r="I626" s="31"/>
      <c r="J626" s="27" t="e">
        <f>VLOOKUP(I626,Sheet2!$B$1:$C$62,2,FALSE)</f>
        <v>#N/A</v>
      </c>
      <c r="K626" s="27" t="e">
        <f>VLOOKUP(J626,Sheet2!$C$1:$D$61,2,FALSE)</f>
        <v>#N/A</v>
      </c>
      <c r="L626" s="27"/>
      <c r="M626" s="27"/>
      <c r="N626" s="27"/>
      <c r="O626" s="27"/>
      <c r="P626" s="28"/>
      <c r="Q626" s="5" t="str">
        <f t="shared" si="27"/>
        <v>ทันกำหนด</v>
      </c>
      <c r="R626" s="6"/>
      <c r="S626" s="7"/>
    </row>
    <row r="627" spans="1:19">
      <c r="A627" s="3">
        <v>625</v>
      </c>
      <c r="B627" s="4"/>
      <c r="C627" s="8"/>
      <c r="D627" s="30"/>
      <c r="E627" s="31"/>
      <c r="F627" s="31"/>
      <c r="G627" s="31">
        <f t="shared" si="25"/>
        <v>0</v>
      </c>
      <c r="H627" s="31" t="str">
        <f t="shared" si="26"/>
        <v>ครบ</v>
      </c>
      <c r="I627" s="31"/>
      <c r="J627" s="27" t="e">
        <f>VLOOKUP(I627,Sheet2!$B$1:$C$62,2,FALSE)</f>
        <v>#N/A</v>
      </c>
      <c r="K627" s="27" t="e">
        <f>VLOOKUP(J627,Sheet2!$C$1:$D$61,2,FALSE)</f>
        <v>#N/A</v>
      </c>
      <c r="L627" s="27"/>
      <c r="M627" s="27"/>
      <c r="N627" s="27"/>
      <c r="O627" s="27"/>
      <c r="P627" s="28"/>
      <c r="Q627" s="5" t="str">
        <f t="shared" si="27"/>
        <v>ทันกำหนด</v>
      </c>
      <c r="R627" s="6"/>
      <c r="S627" s="7"/>
    </row>
    <row r="628" spans="1:19">
      <c r="A628" s="3">
        <v>626</v>
      </c>
      <c r="B628" s="4"/>
      <c r="C628" s="8"/>
      <c r="D628" s="30"/>
      <c r="E628" s="31"/>
      <c r="F628" s="31"/>
      <c r="G628" s="31">
        <f t="shared" si="25"/>
        <v>0</v>
      </c>
      <c r="H628" s="31" t="str">
        <f t="shared" si="26"/>
        <v>ครบ</v>
      </c>
      <c r="I628" s="31"/>
      <c r="J628" s="27" t="e">
        <f>VLOOKUP(I628,Sheet2!$B$1:$C$62,2,FALSE)</f>
        <v>#N/A</v>
      </c>
      <c r="K628" s="27" t="e">
        <f>VLOOKUP(J628,Sheet2!$C$1:$D$61,2,FALSE)</f>
        <v>#N/A</v>
      </c>
      <c r="L628" s="27"/>
      <c r="M628" s="27"/>
      <c r="N628" s="27"/>
      <c r="O628" s="27"/>
      <c r="P628" s="28"/>
      <c r="Q628" s="5" t="str">
        <f t="shared" si="27"/>
        <v>ทันกำหนด</v>
      </c>
      <c r="R628" s="6"/>
      <c r="S628" s="7"/>
    </row>
    <row r="629" spans="1:19">
      <c r="A629" s="3">
        <v>627</v>
      </c>
      <c r="B629" s="4"/>
      <c r="C629" s="8"/>
      <c r="D629" s="30"/>
      <c r="E629" s="31"/>
      <c r="F629" s="31"/>
      <c r="G629" s="31">
        <f t="shared" si="25"/>
        <v>0</v>
      </c>
      <c r="H629" s="31" t="str">
        <f t="shared" si="26"/>
        <v>ครบ</v>
      </c>
      <c r="I629" s="31"/>
      <c r="J629" s="27" t="e">
        <f>VLOOKUP(I629,Sheet2!$B$1:$C$62,2,FALSE)</f>
        <v>#N/A</v>
      </c>
      <c r="K629" s="27" t="e">
        <f>VLOOKUP(J629,Sheet2!$C$1:$D$61,2,FALSE)</f>
        <v>#N/A</v>
      </c>
      <c r="L629" s="27"/>
      <c r="M629" s="27"/>
      <c r="N629" s="27"/>
      <c r="O629" s="27"/>
      <c r="P629" s="28"/>
      <c r="Q629" s="5" t="str">
        <f t="shared" si="27"/>
        <v>ทันกำหนด</v>
      </c>
      <c r="R629" s="6"/>
      <c r="S629" s="7"/>
    </row>
    <row r="630" spans="1:19">
      <c r="A630" s="3">
        <v>628</v>
      </c>
      <c r="B630" s="4"/>
      <c r="C630" s="8"/>
      <c r="D630" s="30"/>
      <c r="E630" s="31"/>
      <c r="F630" s="31"/>
      <c r="G630" s="31">
        <f t="shared" si="25"/>
        <v>0</v>
      </c>
      <c r="H630" s="31" t="str">
        <f t="shared" si="26"/>
        <v>ครบ</v>
      </c>
      <c r="I630" s="31"/>
      <c r="J630" s="27" t="e">
        <f>VLOOKUP(I630,Sheet2!$B$1:$C$62,2,FALSE)</f>
        <v>#N/A</v>
      </c>
      <c r="K630" s="27" t="e">
        <f>VLOOKUP(J630,Sheet2!$C$1:$D$61,2,FALSE)</f>
        <v>#N/A</v>
      </c>
      <c r="L630" s="27"/>
      <c r="M630" s="27"/>
      <c r="N630" s="27"/>
      <c r="O630" s="27"/>
      <c r="P630" s="28"/>
      <c r="Q630" s="5" t="str">
        <f t="shared" si="27"/>
        <v>ทันกำหนด</v>
      </c>
      <c r="R630" s="6"/>
      <c r="S630" s="7"/>
    </row>
    <row r="631" spans="1:19">
      <c r="A631" s="3">
        <v>629</v>
      </c>
      <c r="B631" s="4"/>
      <c r="C631" s="8"/>
      <c r="D631" s="30"/>
      <c r="E631" s="31"/>
      <c r="F631" s="31"/>
      <c r="G631" s="31">
        <f t="shared" si="25"/>
        <v>0</v>
      </c>
      <c r="H631" s="31" t="str">
        <f t="shared" si="26"/>
        <v>ครบ</v>
      </c>
      <c r="I631" s="31"/>
      <c r="J631" s="27" t="e">
        <f>VLOOKUP(I631,Sheet2!$B$1:$C$62,2,FALSE)</f>
        <v>#N/A</v>
      </c>
      <c r="K631" s="27" t="e">
        <f>VLOOKUP(J631,Sheet2!$C$1:$D$61,2,FALSE)</f>
        <v>#N/A</v>
      </c>
      <c r="L631" s="27"/>
      <c r="M631" s="27"/>
      <c r="N631" s="27"/>
      <c r="O631" s="27"/>
      <c r="P631" s="28"/>
      <c r="Q631" s="5" t="str">
        <f t="shared" si="27"/>
        <v>ทันกำหนด</v>
      </c>
      <c r="R631" s="6"/>
      <c r="S631" s="7"/>
    </row>
    <row r="632" spans="1:19">
      <c r="A632" s="3">
        <v>630</v>
      </c>
      <c r="B632" s="4"/>
      <c r="C632" s="8"/>
      <c r="D632" s="30"/>
      <c r="E632" s="31"/>
      <c r="F632" s="31"/>
      <c r="G632" s="31">
        <f t="shared" si="25"/>
        <v>0</v>
      </c>
      <c r="H632" s="31" t="str">
        <f t="shared" si="26"/>
        <v>ครบ</v>
      </c>
      <c r="I632" s="31"/>
      <c r="J632" s="27" t="e">
        <f>VLOOKUP(I632,Sheet2!$B$1:$C$62,2,FALSE)</f>
        <v>#N/A</v>
      </c>
      <c r="K632" s="27" t="e">
        <f>VLOOKUP(J632,Sheet2!$C$1:$D$61,2,FALSE)</f>
        <v>#N/A</v>
      </c>
      <c r="L632" s="27"/>
      <c r="M632" s="27"/>
      <c r="N632" s="27"/>
      <c r="O632" s="27"/>
      <c r="P632" s="28"/>
      <c r="Q632" s="5" t="str">
        <f t="shared" si="27"/>
        <v>ทันกำหนด</v>
      </c>
      <c r="R632" s="6"/>
      <c r="S632" s="33"/>
    </row>
    <row r="633" spans="1:19">
      <c r="H633" s="40"/>
    </row>
    <row r="634" spans="1:19">
      <c r="E634" s="11" t="s">
        <v>21</v>
      </c>
      <c r="H634" s="40"/>
    </row>
    <row r="635" spans="1:19">
      <c r="C635" s="12" t="s">
        <v>22</v>
      </c>
      <c r="D635" s="16">
        <f>C628</f>
        <v>0</v>
      </c>
      <c r="E635" s="19"/>
      <c r="H635" s="40"/>
    </row>
    <row r="636" spans="1:19">
      <c r="C636" s="13" t="s">
        <v>23</v>
      </c>
      <c r="D636" s="17">
        <f>E628</f>
        <v>0</v>
      </c>
      <c r="E636" s="20"/>
      <c r="H636" s="40"/>
    </row>
    <row r="637" spans="1:19">
      <c r="C637" s="22" t="s">
        <v>24</v>
      </c>
      <c r="D637" s="23" t="str">
        <f>$Q628</f>
        <v>ทันกำหนด</v>
      </c>
      <c r="E637" s="20"/>
    </row>
    <row r="638" spans="1:19">
      <c r="C638" s="13" t="s">
        <v>25</v>
      </c>
      <c r="D638" s="17" t="e">
        <f>$D635-$D637</f>
        <v>#VALUE!</v>
      </c>
      <c r="E638" s="20"/>
    </row>
    <row r="639" spans="1:19">
      <c r="C639" s="22" t="s">
        <v>26</v>
      </c>
      <c r="D639" s="23">
        <f>$R628</f>
        <v>0</v>
      </c>
      <c r="E639" s="20"/>
    </row>
    <row r="640" spans="1:19">
      <c r="C640" s="13" t="s">
        <v>27</v>
      </c>
      <c r="D640" s="17" t="e">
        <f>($D638/$D635)*100</f>
        <v>#VALUE!</v>
      </c>
      <c r="E640" s="20" t="e">
        <f>IF(D640&gt;=90,"ผ่าน","ไม่ผ่าน")</f>
        <v>#VALUE!</v>
      </c>
    </row>
    <row r="641" spans="3:8">
      <c r="C641" s="14" t="s">
        <v>28</v>
      </c>
      <c r="D641" s="18" t="e">
        <f>(D639/D636)*100</f>
        <v>#DIV/0!</v>
      </c>
      <c r="E641" s="21" t="e">
        <f>IF(D641&lt;=5,"ผ่าน","ไม่ผ่าน")</f>
        <v>#DIV/0!</v>
      </c>
    </row>
    <row r="644" spans="3:8">
      <c r="H644" s="9">
        <v>1</v>
      </c>
    </row>
  </sheetData>
  <autoFilter ref="A2:S632" xr:uid="{00000000-0009-0000-0000-00000D000000}">
    <sortState xmlns:xlrd2="http://schemas.microsoft.com/office/spreadsheetml/2017/richdata2" ref="A3:S272">
      <sortCondition ref="A2:A521"/>
    </sortState>
  </autoFilter>
  <mergeCells count="1">
    <mergeCell ref="A1:S1"/>
  </mergeCells>
  <conditionalFormatting sqref="E635:E641">
    <cfRule type="containsText" dxfId="8" priority="468" operator="containsText" text="ผ่าน">
      <formula>NOT(ISERROR(SEARCH("ผ่าน",E635)))</formula>
    </cfRule>
  </conditionalFormatting>
  <conditionalFormatting sqref="H2:H1048576">
    <cfRule type="containsText" dxfId="7" priority="13" operator="containsText" text="ไม่ครบ">
      <formula>NOT(ISERROR(SEARCH("ไม่ครบ",H2)))</formula>
    </cfRule>
    <cfRule type="containsText" dxfId="6" priority="14" operator="containsText" text="ไม่ครบ">
      <formula>NOT(ISERROR(SEARCH("ไม่ครบ",H2)))</formula>
    </cfRule>
  </conditionalFormatting>
  <conditionalFormatting sqref="Q2:Q1048576">
    <cfRule type="containsText" dxfId="5" priority="3" operator="containsText" text="ทันกำหนด">
      <formula>NOT(ISERROR(SEARCH("ทันกำหนด",Q2)))</formula>
    </cfRule>
    <cfRule type="containsText" dxfId="4" priority="4" operator="containsText" text="เกินกำหนด">
      <formula>NOT(ISERROR(SEARCH("เกินกำหนด",Q2)))</formula>
    </cfRule>
    <cfRule type="containsText" dxfId="3" priority="5" operator="containsText" text="เกินกำหนด">
      <formula>NOT(ISERROR(SEARCH("เกินกำหนด",Q2)))</formula>
    </cfRule>
    <cfRule type="containsText" dxfId="2" priority="6" operator="containsText" text="เกินกำหนด">
      <formula>NOT(ISERROR(SEARCH("เกินกำหนด",Q2)))</formula>
    </cfRule>
  </conditionalFormatting>
  <conditionalFormatting sqref="S2:S1048576">
    <cfRule type="containsText" dxfId="1" priority="1" operator="containsText" text="งานด่วน">
      <formula>NOT(ISERROR(SEARCH("งานด่วน",S2)))</formula>
    </cfRule>
    <cfRule type="containsText" dxfId="0" priority="2" operator="containsText" text="งานด่วน">
      <formula>NOT(ISERROR(SEARCH("งานด่วน",S2)))</formula>
    </cfRule>
  </conditionalFormatting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B1:E18"/>
  <sheetViews>
    <sheetView workbookViewId="0">
      <selection activeCell="D15" sqref="D15"/>
    </sheetView>
  </sheetViews>
  <sheetFormatPr defaultRowHeight="15"/>
  <cols>
    <col min="2" max="2" width="11" customWidth="1"/>
    <col min="3" max="3" width="19.140625" bestFit="1" customWidth="1"/>
    <col min="4" max="4" width="11.85546875" bestFit="1" customWidth="1"/>
    <col min="6" max="6" width="14" bestFit="1" customWidth="1"/>
    <col min="8" max="10" width="14" bestFit="1" customWidth="1"/>
    <col min="13" max="13" width="12.85546875" bestFit="1" customWidth="1"/>
  </cols>
  <sheetData>
    <row r="1" spans="2:5">
      <c r="B1" t="s">
        <v>50</v>
      </c>
      <c r="C1" t="s">
        <v>62</v>
      </c>
      <c r="D1" t="s">
        <v>53</v>
      </c>
      <c r="E1" t="s">
        <v>403</v>
      </c>
    </row>
    <row r="2" spans="2:5">
      <c r="B2" t="s">
        <v>51</v>
      </c>
      <c r="C2" t="s">
        <v>63</v>
      </c>
      <c r="D2" t="s">
        <v>54</v>
      </c>
      <c r="E2" t="s">
        <v>52</v>
      </c>
    </row>
    <row r="3" spans="2:5">
      <c r="B3" t="s">
        <v>42</v>
      </c>
      <c r="C3" t="s">
        <v>66</v>
      </c>
      <c r="D3" t="s">
        <v>55</v>
      </c>
      <c r="E3" t="s">
        <v>404</v>
      </c>
    </row>
    <row r="4" spans="2:5">
      <c r="B4" t="s">
        <v>34</v>
      </c>
      <c r="C4" t="s">
        <v>44</v>
      </c>
      <c r="D4" t="s">
        <v>56</v>
      </c>
      <c r="E4" t="s">
        <v>405</v>
      </c>
    </row>
    <row r="5" spans="2:5">
      <c r="B5" t="s">
        <v>35</v>
      </c>
      <c r="C5" t="s">
        <v>30</v>
      </c>
      <c r="D5" t="s">
        <v>57</v>
      </c>
      <c r="E5" t="s">
        <v>406</v>
      </c>
    </row>
    <row r="6" spans="2:5">
      <c r="B6" t="s">
        <v>36</v>
      </c>
      <c r="C6" t="s">
        <v>29</v>
      </c>
      <c r="D6" s="79" t="s">
        <v>69</v>
      </c>
      <c r="E6" t="s">
        <v>407</v>
      </c>
    </row>
    <row r="7" spans="2:5">
      <c r="B7" t="s">
        <v>33</v>
      </c>
      <c r="C7" t="s">
        <v>30</v>
      </c>
      <c r="D7" s="1"/>
      <c r="E7" t="s">
        <v>408</v>
      </c>
    </row>
    <row r="8" spans="2:5">
      <c r="B8" t="s">
        <v>5</v>
      </c>
      <c r="C8" t="s">
        <v>32</v>
      </c>
      <c r="D8" s="1"/>
    </row>
    <row r="9" spans="2:5">
      <c r="D9" s="1"/>
    </row>
    <row r="10" spans="2:5">
      <c r="B10" t="s">
        <v>50</v>
      </c>
      <c r="C10" t="s">
        <v>64</v>
      </c>
      <c r="D10" s="1"/>
    </row>
    <row r="11" spans="2:5">
      <c r="B11" t="s">
        <v>51</v>
      </c>
      <c r="C11" t="s">
        <v>63</v>
      </c>
    </row>
    <row r="12" spans="2:5">
      <c r="B12" t="s">
        <v>65</v>
      </c>
      <c r="C12" t="s">
        <v>61</v>
      </c>
    </row>
    <row r="13" spans="2:5">
      <c r="B13" t="s">
        <v>42</v>
      </c>
      <c r="C13" t="s">
        <v>66</v>
      </c>
    </row>
    <row r="14" spans="2:5">
      <c r="B14" t="s">
        <v>34</v>
      </c>
      <c r="C14" t="s">
        <v>44</v>
      </c>
    </row>
    <row r="15" spans="2:5">
      <c r="B15" t="s">
        <v>35</v>
      </c>
      <c r="C15" t="s">
        <v>30</v>
      </c>
    </row>
    <row r="16" spans="2:5">
      <c r="B16" t="s">
        <v>36</v>
      </c>
      <c r="C16" t="s">
        <v>29</v>
      </c>
    </row>
    <row r="17" spans="2:3">
      <c r="B17" t="s">
        <v>33</v>
      </c>
      <c r="C17" t="s">
        <v>30</v>
      </c>
    </row>
    <row r="18" spans="2:3">
      <c r="B18" t="s">
        <v>5</v>
      </c>
      <c r="C18" t="s">
        <v>32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F011A3-B6A8-49AA-B046-D64B8514CF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ต.ค.69</vt:lpstr>
      <vt:lpstr>DECEMBER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SISTOMAT-BU10</dc:creator>
  <cp:lastModifiedBy>SIS_Bew</cp:lastModifiedBy>
  <cp:lastPrinted>2024-10-23T05:42:43Z</cp:lastPrinted>
  <dcterms:created xsi:type="dcterms:W3CDTF">2019-10-21T08:15:46Z</dcterms:created>
  <dcterms:modified xsi:type="dcterms:W3CDTF">2026-10-07T03:33:39Z</dcterms:modified>
</cp:coreProperties>
</file>